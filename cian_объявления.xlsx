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1820" windowHeight="14020" tabRatio="951" firstSheet="0" activeTab="9" autoFilterDateGrouping="1"/>
  </bookViews>
  <sheets>
    <sheet xmlns:r="http://schemas.openxmlformats.org/officeDocument/2006/relationships" name="Сравнение" sheetId="1" state="visible" r:id="rId1"/>
    <sheet xmlns:r="http://schemas.openxmlformats.org/officeDocument/2006/relationships" name="ЦИАН" sheetId="2" state="visible" r:id="rId2"/>
    <sheet xmlns:r="http://schemas.openxmlformats.org/officeDocument/2006/relationships" name="Вся Россия (регионы)" sheetId="3" state="visible" r:id="rId3"/>
    <sheet xmlns:r="http://schemas.openxmlformats.org/officeDocument/2006/relationships" name="CIAN Price" sheetId="4" state="visible" r:id="rId4"/>
    <sheet xmlns:r="http://schemas.openxmlformats.org/officeDocument/2006/relationships" name="Яндекс" sheetId="5" state="visible" r:id="rId5"/>
    <sheet xmlns:r="http://schemas.openxmlformats.org/officeDocument/2006/relationships" name="Авито" sheetId="6" state="visible" r:id="rId6"/>
    <sheet xmlns:r="http://schemas.openxmlformats.org/officeDocument/2006/relationships" name="Яндекс регионы" sheetId="7" state="visible" r:id="rId7"/>
    <sheet xmlns:r="http://schemas.openxmlformats.org/officeDocument/2006/relationships" name="Домклик" sheetId="8" state="visible" r:id="rId8"/>
    <sheet xmlns:r="http://schemas.openxmlformats.org/officeDocument/2006/relationships" name="Домклик города (РФ)" sheetId="9" state="visible" r:id="rId9"/>
    <sheet xmlns:r="http://schemas.openxmlformats.org/officeDocument/2006/relationships" name="Avito Price" sheetId="10" state="visible" r:id="rId10"/>
    <sheet xmlns:r="http://schemas.openxmlformats.org/officeDocument/2006/relationships" name="Динамика цен" sheetId="11" state="visible" r:id="rId11"/>
  </sheets>
  <definedNames>
    <definedName name="_xlnm._FilterDatabase" localSheetId="10" hidden="1">'Динамика цен'!$A$1:$G$2689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#\ ##0"/>
    <numFmt numFmtId="165" formatCode="# ##0"/>
  </numFmts>
  <fonts count="13">
    <font>
      <name val="Calibri"/>
      <family val="2"/>
      <color theme="1"/>
      <sz val="11"/>
      <scheme val="minor"/>
    </font>
    <font>
      <name val="Calibri"/>
      <b val="1"/>
      <color rgb="FF1F3864"/>
      <sz val="11"/>
    </font>
    <font>
      <name val="Calibri"/>
      <i val="1"/>
      <color rgb="FF808080"/>
      <sz val="11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7A4F12"/>
      <sz val="11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1F3864"/>
      <sz val="11"/>
    </font>
    <font>
      <name val="Calibri"/>
      <i val="1"/>
      <color rgb="FF808080"/>
      <sz val="11"/>
    </font>
    <font>
      <name val="Calibri"/>
      <b val="1"/>
      <color rgb="FF7A4F12"/>
      <sz val="11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FF2F5496"/>
      </patternFill>
    </fill>
    <fill>
      <patternFill patternType="solid">
        <fgColor rgb="FFEAF0FA"/>
      </patternFill>
    </fill>
    <fill>
      <patternFill patternType="solid">
        <fgColor rgb="FFFCE9C8"/>
      </patternFill>
    </fill>
    <fill>
      <patternFill patternType="solid">
        <fgColor rgb="FF2F5496"/>
      </patternFill>
    </fill>
    <fill>
      <patternFill patternType="solid">
        <fgColor rgb="FFEAF0FA"/>
      </patternFill>
    </fill>
    <fill>
      <patternFill patternType="solid">
        <fgColor rgb="FFFCE9C8"/>
      </patternFill>
    </fill>
    <fill>
      <patternFill patternType="solid">
        <fgColor rgb="002F5496"/>
      </patternFill>
    </fill>
    <fill>
      <patternFill patternType="solid">
        <fgColor rgb="00DDE7F0"/>
      </patternFill>
    </fill>
  </fills>
  <borders count="6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medium">
        <color rgb="FF9DB7E0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medium">
        <color rgb="FF9DB7E0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3" fillId="0" borderId="0" applyAlignment="1" pivotButton="0" quotePrefix="0" xfId="0">
      <alignment horizontal="right"/>
    </xf>
    <xf numFmtId="0" fontId="4" fillId="2" borderId="1" applyAlignment="1" pivotButton="0" quotePrefix="0" xfId="0">
      <alignment horizontal="left"/>
    </xf>
    <xf numFmtId="0" fontId="4" fillId="2" borderId="1" applyAlignment="1" pivotButton="0" quotePrefix="0" xfId="0">
      <alignment horizontal="center"/>
    </xf>
    <xf numFmtId="0" fontId="5" fillId="4" borderId="2" pivotButton="0" quotePrefix="0" xfId="0"/>
    <xf numFmtId="0" fontId="3" fillId="4" borderId="2" pivotButton="0" quotePrefix="0" xfId="0"/>
    <xf numFmtId="164" fontId="5" fillId="4" borderId="2" applyAlignment="1" pivotButton="0" quotePrefix="0" xfId="0">
      <alignment horizontal="right"/>
    </xf>
    <xf numFmtId="0" fontId="0" fillId="0" borderId="1" pivotButton="0" quotePrefix="0" xfId="0"/>
    <xf numFmtId="164" fontId="0" fillId="0" borderId="1" applyAlignment="1" pivotButton="0" quotePrefix="0" xfId="0">
      <alignment horizontal="right"/>
    </xf>
    <xf numFmtId="0" fontId="1" fillId="3" borderId="2" pivotButton="0" quotePrefix="0" xfId="0"/>
    <xf numFmtId="0" fontId="3" fillId="3" borderId="2" pivotButton="0" quotePrefix="0" xfId="0"/>
    <xf numFmtId="0" fontId="0" fillId="3" borderId="2" pivotButton="0" quotePrefix="0" xfId="0"/>
    <xf numFmtId="164" fontId="0" fillId="0" borderId="2" applyAlignment="1" pivotButton="0" quotePrefix="0" xfId="0">
      <alignment horizontal="right"/>
    </xf>
    <xf numFmtId="0" fontId="6" fillId="5" borderId="3" applyAlignment="1" pivotButton="0" quotePrefix="0" xfId="0">
      <alignment horizontal="left" vertical="center" wrapText="1"/>
    </xf>
    <xf numFmtId="0" fontId="6" fillId="5" borderId="3" applyAlignment="1" pivotButton="0" quotePrefix="0" xfId="0">
      <alignment horizontal="center" vertical="center" wrapText="1"/>
    </xf>
    <xf numFmtId="0" fontId="7" fillId="6" borderId="4" pivotButton="0" quotePrefix="0" xfId="0"/>
    <xf numFmtId="0" fontId="0" fillId="0" borderId="4" pivotButton="0" quotePrefix="0" xfId="0"/>
    <xf numFmtId="164" fontId="0" fillId="0" borderId="4" applyAlignment="1" pivotButton="0" quotePrefix="0" xfId="0">
      <alignment horizontal="right"/>
    </xf>
    <xf numFmtId="0" fontId="0" fillId="0" borderId="4" applyAlignment="1" pivotButton="0" quotePrefix="0" xfId="0">
      <alignment horizontal="center"/>
    </xf>
    <xf numFmtId="0" fontId="0" fillId="0" borderId="3" pivotButton="0" quotePrefix="0" xfId="0"/>
    <xf numFmtId="164" fontId="0" fillId="0" borderId="3" applyAlignment="1" pivotButton="0" quotePrefix="0" xfId="0">
      <alignment horizontal="right"/>
    </xf>
    <xf numFmtId="0" fontId="0" fillId="0" borderId="3" applyAlignment="1" pivotButton="0" quotePrefix="0" xfId="0">
      <alignment horizontal="center"/>
    </xf>
    <xf numFmtId="0" fontId="0" fillId="0" borderId="3" applyAlignment="1" pivotButton="0" quotePrefix="0" xfId="0">
      <alignment horizontal="right"/>
    </xf>
    <xf numFmtId="0" fontId="6" fillId="5" borderId="3" applyAlignment="1" pivotButton="0" quotePrefix="0" xfId="0">
      <alignment horizontal="left"/>
    </xf>
    <xf numFmtId="0" fontId="6" fillId="5" borderId="3" applyAlignment="1" pivotButton="0" quotePrefix="0" xfId="0">
      <alignment horizontal="center"/>
    </xf>
    <xf numFmtId="0" fontId="8" fillId="6" borderId="4" pivotButton="0" quotePrefix="0" xfId="0"/>
    <xf numFmtId="0" fontId="0" fillId="6" borderId="4" pivotButton="0" quotePrefix="0" xfId="0"/>
    <xf numFmtId="0" fontId="8" fillId="0" borderId="0" pivotButton="0" quotePrefix="0" xfId="0"/>
    <xf numFmtId="0" fontId="9" fillId="0" borderId="0" pivotButton="0" quotePrefix="0" xfId="0"/>
    <xf numFmtId="164" fontId="7" fillId="0" borderId="0" applyAlignment="1" pivotButton="0" quotePrefix="0" xfId="0">
      <alignment horizontal="right"/>
    </xf>
    <xf numFmtId="0" fontId="0" fillId="0" borderId="4" applyAlignment="1" pivotButton="0" quotePrefix="0" xfId="0">
      <alignment horizontal="right"/>
    </xf>
    <xf numFmtId="0" fontId="10" fillId="7" borderId="4" pivotButton="0" quotePrefix="0" xfId="0"/>
    <xf numFmtId="0" fontId="7" fillId="7" borderId="4" pivotButton="0" quotePrefix="0" xfId="0"/>
    <xf numFmtId="164" fontId="10" fillId="7" borderId="4" applyAlignment="1" pivotButton="0" quotePrefix="0" xfId="0">
      <alignment horizontal="right"/>
    </xf>
    <xf numFmtId="0" fontId="11" fillId="8" borderId="5" applyAlignment="1" pivotButton="0" quotePrefix="0" xfId="0">
      <alignment horizontal="left" vertical="center" wrapText="1"/>
    </xf>
    <xf numFmtId="0" fontId="11" fillId="8" borderId="5" applyAlignment="1" pivotButton="0" quotePrefix="0" xfId="0">
      <alignment horizontal="center" vertical="center" wrapText="1"/>
    </xf>
    <xf numFmtId="0" fontId="0" fillId="0" borderId="5" pivotButton="0" quotePrefix="0" xfId="0"/>
    <xf numFmtId="165" fontId="0" fillId="0" borderId="5" applyAlignment="1" pivotButton="0" quotePrefix="0" xfId="0">
      <alignment horizontal="right"/>
    </xf>
    <xf numFmtId="0" fontId="0" fillId="0" borderId="5" applyAlignment="1" pivotButton="0" quotePrefix="0" xfId="0">
      <alignment horizontal="center"/>
    </xf>
    <xf numFmtId="0" fontId="0" fillId="0" borderId="5" applyAlignment="1" pivotButton="0" quotePrefix="0" xfId="0">
      <alignment horizontal="right"/>
    </xf>
    <xf numFmtId="0" fontId="12" fillId="9" borderId="0" applyAlignment="1" pivotButton="0" quotePrefix="0" xfId="0">
      <alignment horizontal="center" wrapText="1"/>
    </xf>
  </cellXfs>
  <cellStyles count="1">
    <cellStyle name="Normal" xfId="0" builtinId="0"/>
  </cellStyles>
  <dxfs count="3">
    <dxf>
      <font>
        <b val="1"/>
        <color rgb="FF1F7A1F"/>
      </font>
    </dxf>
    <dxf>
      <font>
        <color rgb="000A7A0A"/>
      </font>
    </dxf>
    <dxf>
      <font>
        <color rgb="00C0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ables/table1.xml><?xml version="1.0" encoding="utf-8"?>
<table xmlns="http://schemas.openxmlformats.org/spreadsheetml/2006/main" id="1" name="Сравнение_данные" displayName="Сравнение_данные" ref="A1:H205" headerRowCount="1">
  <autoFilter ref="A1:H205"/>
  <tableColumns count="8">
    <tableColumn id="1" name="Сделка"/>
    <tableColumn id="2" name="Категория"/>
    <tableColumn id="3" name="Город"/>
    <tableColumn id="4" name="ЦИАН"/>
    <tableColumn id="5" name="Яндекс"/>
    <tableColumn id="6" name="Авито"/>
    <tableColumn id="7" name="Домклик"/>
    <tableColumn id="8" name="Лидер"/>
  </tableColumns>
  <tableStyleInfo name="TableStyleLight9" showFirstColumn="0" showLastColumn="0" showRowStripes="0" showColumnStripes="0"/>
</table>
</file>

<file path=xl/tables/table2.xml><?xml version="1.0" encoding="utf-8"?>
<table xmlns="http://schemas.openxmlformats.org/spreadsheetml/2006/main" id="2" name="ЦИАН_данные" displayName="ЦИАН_данные" ref="A1:D355" headerRowCount="1">
  <autoFilter ref="A1:D355"/>
  <tableColumns count="4">
    <tableColumn id="1" name="Группа"/>
    <tableColumn id="2" name="Категория"/>
    <tableColumn id="3" name="Город"/>
    <tableColumn id="4" name="2026-06-10"/>
  </tableColumns>
  <tableStyleInfo name="TableStyleLight9" showFirstColumn="0" showLastColumn="0" showRowStripes="0" showColumnStripes="0"/>
</table>
</file>

<file path=xl/tables/table3.xml><?xml version="1.0" encoding="utf-8"?>
<table xmlns="http://schemas.openxmlformats.org/spreadsheetml/2006/main" id="3" name="ЦИАН_регионы" displayName="ЦИАН_регионы" ref="A1:D1531" headerRowCount="1">
  <autoFilter ref="A1:D1531"/>
  <tableColumns count="4">
    <tableColumn id="1" name="Группа"/>
    <tableColumn id="2" name="Категория"/>
    <tableColumn id="3" name="Регион"/>
    <tableColumn id="4" name="2026-06-10"/>
  </tableColumns>
  <tableStyleInfo name="TableStyleLight9" showFirstColumn="0" showLastColumn="0" showRowStripes="0" showColumnStripes="0"/>
</table>
</file>

<file path=xl/tables/table4.xml><?xml version="1.0" encoding="utf-8"?>
<table xmlns="http://schemas.openxmlformats.org/spreadsheetml/2006/main" id="4" name="CIAN_Price" displayName="CIAN_Price" ref="A1:J641" headerRowCount="1">
  <autoFilter ref="A1:J641"/>
  <tableColumns count="10">
    <tableColumn id="1" name="Сделка"/>
    <tableColumn id="2" name="Тип недвижимости"/>
    <tableColumn id="3" name="Категория"/>
    <tableColumn id="4" name="Город"/>
    <tableColumn id="5" name="Публикация, ₽/30 дн"/>
    <tableColumn id="6" name="Топ, ₽/сут"/>
    <tableColumn id="7" name="Премиум, ₽/сут"/>
    <tableColumn id="8" name="Стандарт, ₽/сут"/>
    <tableColumn id="9" name="Примечание"/>
    <tableColumn id="10" name="Обновлено"/>
  </tableColumns>
  <tableStyleInfo name="TableStyleLight9" showFirstColumn="0" showLastColumn="0" showRowStripes="0" showColumnStripes="0"/>
</table>
</file>

<file path=xl/tables/table5.xml><?xml version="1.0" encoding="utf-8"?>
<table xmlns="http://schemas.openxmlformats.org/spreadsheetml/2006/main" id="5" name="Яндекс_данные" displayName="Яндекс_данные" ref="A1:D239" headerRowCount="1">
  <autoFilter ref="A1:D239"/>
  <tableColumns count="4">
    <tableColumn id="1" name="Группа"/>
    <tableColumn id="2" name="Категория"/>
    <tableColumn id="3" name="Город"/>
    <tableColumn id="4" name="2026-06-11"/>
  </tableColumns>
  <tableStyleInfo name="TableStyleLight9" showFirstColumn="0" showLastColumn="0" showRowStripes="0" showColumnStripes="0"/>
</table>
</file>

<file path=xl/tables/table6.xml><?xml version="1.0" encoding="utf-8"?>
<table xmlns="http://schemas.openxmlformats.org/spreadsheetml/2006/main" id="6" name="Авито_данные" displayName="Авито_данные" ref="A1:E239" headerRowCount="1">
  <autoFilter ref="A1:E239"/>
  <tableColumns count="5">
    <tableColumn id="1" name="Группа"/>
    <tableColumn id="2" name="Категория"/>
    <tableColumn id="3" name="Город"/>
    <tableColumn id="4" name="2026-06-11"/>
    <tableColumn id="5" name="2026-06-12"/>
  </tableColumns>
  <tableStyleInfo name="TableStyleLight9" showFirstColumn="0" showLastColumn="0" showRowStripes="0" showColumnStripes="0"/>
</table>
</file>

<file path=xl/tables/table7.xml><?xml version="1.0" encoding="utf-8"?>
<table xmlns="http://schemas.openxmlformats.org/spreadsheetml/2006/main" id="7" name="Яндекс_регионы" displayName="Яндекс_регионы" ref="A1:D1191" headerRowCount="1">
  <autoFilter ref="A1:D1191"/>
  <tableColumns count="4">
    <tableColumn id="1" name="Группа"/>
    <tableColumn id="2" name="Категория"/>
    <tableColumn id="3" name="Регион"/>
    <tableColumn id="4" name="2026-06-11"/>
  </tableColumns>
  <tableStyleInfo name="TableStyleLight9" showFirstColumn="0" showLastColumn="0" showRowStripes="0" showColumnStripes="0"/>
</table>
</file>

<file path=xl/tables/table8.xml><?xml version="1.0" encoding="utf-8"?>
<table xmlns="http://schemas.openxmlformats.org/spreadsheetml/2006/main" id="8" name="Домклик_данные" displayName="Домклик_данные" ref="A1:E376" headerRowCount="1">
  <autoFilter ref="A1:E376"/>
  <tableColumns count="5">
    <tableColumn id="1" name="Группа"/>
    <tableColumn id="2" name="Категория"/>
    <tableColumn id="3" name="Город"/>
    <tableColumn id="4" name="2026-06-11"/>
    <tableColumn id="5" name="2026-06-12"/>
  </tableColumns>
  <tableStyleInfo name="TableStyleLight9" showFirstColumn="0" showLastColumn="0" showRowStripes="0" showColumnStripes="0"/>
</table>
</file>

<file path=xl/tables/table9.xml><?xml version="1.0" encoding="utf-8"?>
<table xmlns="http://schemas.openxmlformats.org/spreadsheetml/2006/main" id="9" name="Домклик_города" displayName="Домклик_города" ref="A1:D2120" headerRowCount="1">
  <autoFilter ref="A1:D2120"/>
  <tableColumns count="4">
    <tableColumn id="1" name="Группа"/>
    <tableColumn id="2" name="Категория"/>
    <tableColumn id="3" name="Город"/>
    <tableColumn id="4" name="2026-06-12"/>
  </tableColumns>
  <tableStyleInfo name="TableStyleLight9" showFirstColumn="0" showLastColumn="0" showRowStripes="0" showColumnStripes="0"/>
</table>
</file>

<file path=xl/tables/table10.xml><?xml version="1.0" encoding="utf-8"?>
<table xmlns="http://schemas.openxmlformats.org/spreadsheetml/2006/main" id="10" name="AvitoPrice_данные" displayName="AvitoPrice_данные" ref="A1:J17" headerRowCount="1">
  <autoFilter ref="A1:J17"/>
  <tableColumns count="10">
    <tableColumn id="1" name="Город"/>
    <tableColumn id="2" name="Публикация 14 дн"/>
    <tableColumn id="3" name="Публикация 30 дн"/>
    <tableColumn id="4" name="Публикация 60 дн"/>
    <tableColumn id="5" name="Продвижение: Оценить (5 дн)"/>
    <tableColumn id="6" name="Продвижение: Выбирают чаще (5 дн)"/>
    <tableColumn id="7" name="Продвижение: Сильнее (5 дн)"/>
    <tableColumn id="8" name="Выделение цветом (7 дн)"/>
    <tableColumn id="9" name="XL (7 дн)"/>
    <tableColumn id="10" name="Обновлено"/>
  </tableColumns>
  <tableStyleInfo name="TableStyleLight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5"/>
  <cols>
    <col width="12" customWidth="1" min="1" max="1"/>
    <col width="26" customWidth="1" min="2" max="2"/>
    <col width="20" customWidth="1" min="3" max="3"/>
    <col width="11" customWidth="1" min="4" max="7"/>
    <col width="12" customWidth="1" min="8" max="8"/>
  </cols>
  <sheetData>
    <row r="1">
      <c r="A1" s="25" t="inlineStr">
        <is>
          <t>Сделка</t>
        </is>
      </c>
      <c r="B1" s="25" t="inlineStr">
        <is>
          <t>Категория</t>
        </is>
      </c>
      <c r="C1" s="25" t="inlineStr">
        <is>
          <t>Город</t>
        </is>
      </c>
      <c r="D1" s="26" t="inlineStr">
        <is>
          <t>ЦИАН</t>
        </is>
      </c>
      <c r="E1" s="26" t="inlineStr">
        <is>
          <t>Яндекс</t>
        </is>
      </c>
      <c r="F1" s="26" t="inlineStr">
        <is>
          <t>Авито</t>
        </is>
      </c>
      <c r="G1" s="26" t="inlineStr">
        <is>
          <t>Домклик</t>
        </is>
      </c>
      <c r="H1" s="26" t="inlineStr">
        <is>
          <t>Лидер</t>
        </is>
      </c>
    </row>
    <row r="2">
      <c r="A2" s="27" t="inlineStr">
        <is>
          <t>Продажа</t>
        </is>
      </c>
      <c r="B2" s="17" t="inlineStr">
        <is>
          <t>Квартиры — всего</t>
        </is>
      </c>
      <c r="C2" s="28" t="inlineStr">
        <is>
          <t>🇷🇺 Вся Россия</t>
        </is>
      </c>
      <c r="D2" s="19">
        <f>SUMIFS(ЦИАН!$D:$D,ЦИАН!$A:$A,"Продажи квартир",ЦИАН!$B:$B,"Квартиры в новостройках",ЦИАН!$C:$C,$C2)+SUMIFS(ЦИАН!$D:$D,ЦИАН!$A:$A,"Продажи квартир",ЦИАН!$B:$B,"Квартиры во вторичке",ЦИАН!$C:$C,$C2)</f>
        <v/>
      </c>
      <c r="E2" s="19">
        <f>SUMIFS(Яндекс!$D:$D,Яндекс!$A:$A,"Купить",Яндекс!$B:$B,"Квартира в новостройке",Яндекс!$C:$C,$C2)+SUMIFS(Яндекс!$D:$D,Яндекс!$A:$A,"Купить",Яндекс!$B:$B,"Квартира во вторичке",Яндекс!$C:$C,$C2)</f>
        <v/>
      </c>
      <c r="F2" s="19">
        <f>SUMIFS(Авито!$E:$E,Авито!$A:$A,"Продажа",Авито!$B:$B,"Квартиры",Авито!$C:$C,$C2)</f>
        <v/>
      </c>
      <c r="G2" s="19">
        <f>SUMIFS(Домклик!$D:$D,Домклик!$A:$A,"Покупка",Домклик!$B:$B,"Квартиры",Домклик!$C:$C,$C2)</f>
        <v/>
      </c>
      <c r="H2" s="18">
        <f>IFERROR(INDEX($D$1:$G$1,MATCH(MAX(D2:G2),D2:G2,0)),"")</f>
        <v/>
      </c>
    </row>
    <row r="3">
      <c r="A3" s="21" t="inlineStr">
        <is>
          <t>Продажа</t>
        </is>
      </c>
      <c r="B3" s="21" t="inlineStr">
        <is>
          <t>Квартиры — всего</t>
        </is>
      </c>
      <c r="C3" s="21" t="inlineStr">
        <is>
          <t>Москва</t>
        </is>
      </c>
      <c r="D3" s="22">
        <f>SUMIFS(ЦИАН!$D:$D,ЦИАН!$A:$A,"Продажи квартир",ЦИАН!$B:$B,"Квартиры в новостройках",ЦИАН!$C:$C,$C3)+SUMIFS(ЦИАН!$D:$D,ЦИАН!$A:$A,"Продажи квартир",ЦИАН!$B:$B,"Квартиры во вторичке",ЦИАН!$C:$C,$C3)</f>
        <v/>
      </c>
      <c r="E3" s="22">
        <f>SUMIFS(Яндекс!$D:$D,Яндекс!$A:$A,"Купить",Яндекс!$B:$B,"Квартира в новостройке",Яндекс!$C:$C,$C3)+SUMIFS(Яндекс!$D:$D,Яндекс!$A:$A,"Купить",Яндекс!$B:$B,"Квартира во вторичке",Яндекс!$C:$C,$C3)</f>
        <v/>
      </c>
      <c r="F3" s="22">
        <f>SUMIFS(Авито!$E:$E,Авито!$A:$A,"Продажа",Авито!$B:$B,"Квартиры",Авито!$C:$C,$C3)</f>
        <v/>
      </c>
      <c r="G3" s="22">
        <f>SUMIFS(Домклик!$D:$D,Домклик!$A:$A,"Покупка",Домклик!$B:$B,"Квартиры",Домклик!$C:$C,$C3)</f>
        <v/>
      </c>
      <c r="H3" s="21">
        <f>IFERROR(INDEX($D$1:$G$1,MATCH(MAX(D3:G3),D3:G3,0)),"")</f>
        <v/>
      </c>
    </row>
    <row r="4">
      <c r="A4" s="21" t="inlineStr">
        <is>
          <t>Продажа</t>
        </is>
      </c>
      <c r="B4" s="21" t="inlineStr">
        <is>
          <t>Квартиры — всего</t>
        </is>
      </c>
      <c r="C4" s="21" t="inlineStr">
        <is>
          <t>Санкт-Петербург</t>
        </is>
      </c>
      <c r="D4" s="22">
        <f>SUMIFS(ЦИАН!$D:$D,ЦИАН!$A:$A,"Продажи квартир",ЦИАН!$B:$B,"Квартиры в новостройках",ЦИАН!$C:$C,$C4)+SUMIFS(ЦИАН!$D:$D,ЦИАН!$A:$A,"Продажи квартир",ЦИАН!$B:$B,"Квартиры во вторичке",ЦИАН!$C:$C,$C4)</f>
        <v/>
      </c>
      <c r="E4" s="22">
        <f>SUMIFS(Яндекс!$D:$D,Яндекс!$A:$A,"Купить",Яндекс!$B:$B,"Квартира в новостройке",Яндекс!$C:$C,$C4)+SUMIFS(Яндекс!$D:$D,Яндекс!$A:$A,"Купить",Яндекс!$B:$B,"Квартира во вторичке",Яндекс!$C:$C,$C4)</f>
        <v/>
      </c>
      <c r="F4" s="22">
        <f>SUMIFS(Авито!$E:$E,Авито!$A:$A,"Продажа",Авито!$B:$B,"Квартиры",Авито!$C:$C,$C4)</f>
        <v/>
      </c>
      <c r="G4" s="22">
        <f>SUMIFS(Домклик!$D:$D,Домклик!$A:$A,"Покупка",Домклик!$B:$B,"Квартиры",Домклик!$C:$C,$C4)</f>
        <v/>
      </c>
      <c r="H4" s="21">
        <f>IFERROR(INDEX($D$1:$G$1,MATCH(MAX(D4:G4),D4:G4,0)),"")</f>
        <v/>
      </c>
    </row>
    <row r="5">
      <c r="A5" s="21" t="inlineStr">
        <is>
          <t>Продажа</t>
        </is>
      </c>
      <c r="B5" s="21" t="inlineStr">
        <is>
          <t>Квартиры — всего</t>
        </is>
      </c>
      <c r="C5" s="21" t="inlineStr">
        <is>
          <t>Новосибирск</t>
        </is>
      </c>
      <c r="D5" s="22">
        <f>SUMIFS(ЦИАН!$D:$D,ЦИАН!$A:$A,"Продажи квартир",ЦИАН!$B:$B,"Квартиры в новостройках",ЦИАН!$C:$C,$C5)+SUMIFS(ЦИАН!$D:$D,ЦИАН!$A:$A,"Продажи квартир",ЦИАН!$B:$B,"Квартиры во вторичке",ЦИАН!$C:$C,$C5)</f>
        <v/>
      </c>
      <c r="E5" s="22">
        <f>SUMIFS(Яндекс!$D:$D,Яндекс!$A:$A,"Купить",Яндекс!$B:$B,"Квартира в новостройке",Яндекс!$C:$C,$C5)+SUMIFS(Яндекс!$D:$D,Яндекс!$A:$A,"Купить",Яндекс!$B:$B,"Квартира во вторичке",Яндекс!$C:$C,$C5)</f>
        <v/>
      </c>
      <c r="F5" s="22">
        <f>SUMIFS(Авито!$E:$E,Авито!$A:$A,"Продажа",Авито!$B:$B,"Квартиры",Авито!$C:$C,$C5)</f>
        <v/>
      </c>
      <c r="G5" s="22">
        <f>SUMIFS(Домклик!$D:$D,Домклик!$A:$A,"Покупка",Домклик!$B:$B,"Квартиры",Домклик!$C:$C,$C5)</f>
        <v/>
      </c>
      <c r="H5" s="21">
        <f>IFERROR(INDEX($D$1:$G$1,MATCH(MAX(D5:G5),D5:G5,0)),"")</f>
        <v/>
      </c>
    </row>
    <row r="6">
      <c r="A6" s="21" t="inlineStr">
        <is>
          <t>Продажа</t>
        </is>
      </c>
      <c r="B6" s="21" t="inlineStr">
        <is>
          <t>Квартиры — всего</t>
        </is>
      </c>
      <c r="C6" s="21" t="inlineStr">
        <is>
          <t>Екатеринбург</t>
        </is>
      </c>
      <c r="D6" s="22">
        <f>SUMIFS(ЦИАН!$D:$D,ЦИАН!$A:$A,"Продажи квартир",ЦИАН!$B:$B,"Квартиры в новостройках",ЦИАН!$C:$C,$C6)+SUMIFS(ЦИАН!$D:$D,ЦИАН!$A:$A,"Продажи квартир",ЦИАН!$B:$B,"Квартиры во вторичке",ЦИАН!$C:$C,$C6)</f>
        <v/>
      </c>
      <c r="E6" s="22">
        <f>SUMIFS(Яндекс!$D:$D,Яндекс!$A:$A,"Купить",Яндекс!$B:$B,"Квартира в новостройке",Яндекс!$C:$C,$C6)+SUMIFS(Яндекс!$D:$D,Яндекс!$A:$A,"Купить",Яндекс!$B:$B,"Квартира во вторичке",Яндекс!$C:$C,$C6)</f>
        <v/>
      </c>
      <c r="F6" s="22">
        <f>SUMIFS(Авито!$E:$E,Авито!$A:$A,"Продажа",Авито!$B:$B,"Квартиры",Авито!$C:$C,$C6)</f>
        <v/>
      </c>
      <c r="G6" s="22">
        <f>SUMIFS(Домклик!$D:$D,Домклик!$A:$A,"Покупка",Домклик!$B:$B,"Квартиры",Домклик!$C:$C,$C6)</f>
        <v/>
      </c>
      <c r="H6" s="21">
        <f>IFERROR(INDEX($D$1:$G$1,MATCH(MAX(D6:G6),D6:G6,0)),"")</f>
        <v/>
      </c>
    </row>
    <row r="7">
      <c r="A7" s="21" t="inlineStr">
        <is>
          <t>Продажа</t>
        </is>
      </c>
      <c r="B7" s="21" t="inlineStr">
        <is>
          <t>Квартиры — всего</t>
        </is>
      </c>
      <c r="C7" s="21" t="inlineStr">
        <is>
          <t>Казань</t>
        </is>
      </c>
      <c r="D7" s="22">
        <f>SUMIFS(ЦИАН!$D:$D,ЦИАН!$A:$A,"Продажи квартир",ЦИАН!$B:$B,"Квартиры в новостройках",ЦИАН!$C:$C,$C7)+SUMIFS(ЦИАН!$D:$D,ЦИАН!$A:$A,"Продажи квартир",ЦИАН!$B:$B,"Квартиры во вторичке",ЦИАН!$C:$C,$C7)</f>
        <v/>
      </c>
      <c r="E7" s="22">
        <f>SUMIFS(Яндекс!$D:$D,Яндекс!$A:$A,"Купить",Яндекс!$B:$B,"Квартира в новостройке",Яндекс!$C:$C,$C7)+SUMIFS(Яндекс!$D:$D,Яндекс!$A:$A,"Купить",Яндекс!$B:$B,"Квартира во вторичке",Яндекс!$C:$C,$C7)</f>
        <v/>
      </c>
      <c r="F7" s="22">
        <f>SUMIFS(Авито!$E:$E,Авито!$A:$A,"Продажа",Авито!$B:$B,"Квартиры",Авито!$C:$C,$C7)</f>
        <v/>
      </c>
      <c r="G7" s="22">
        <f>SUMIFS(Домклик!$D:$D,Домклик!$A:$A,"Покупка",Домклик!$B:$B,"Квартиры",Домклик!$C:$C,$C7)</f>
        <v/>
      </c>
      <c r="H7" s="21">
        <f>IFERROR(INDEX($D$1:$G$1,MATCH(MAX(D7:G7),D7:G7,0)),"")</f>
        <v/>
      </c>
    </row>
    <row r="8">
      <c r="A8" s="21" t="inlineStr">
        <is>
          <t>Продажа</t>
        </is>
      </c>
      <c r="B8" s="21" t="inlineStr">
        <is>
          <t>Квартиры — всего</t>
        </is>
      </c>
      <c r="C8" s="21" t="inlineStr">
        <is>
          <t>Красноярск</t>
        </is>
      </c>
      <c r="D8" s="22">
        <f>SUMIFS(ЦИАН!$D:$D,ЦИАН!$A:$A,"Продажи квартир",ЦИАН!$B:$B,"Квартиры в новостройках",ЦИАН!$C:$C,$C8)+SUMIFS(ЦИАН!$D:$D,ЦИАН!$A:$A,"Продажи квартир",ЦИАН!$B:$B,"Квартиры во вторичке",ЦИАН!$C:$C,$C8)</f>
        <v/>
      </c>
      <c r="E8" s="22">
        <f>SUMIFS(Яндекс!$D:$D,Яндекс!$A:$A,"Купить",Яндекс!$B:$B,"Квартира в новостройке",Яндекс!$C:$C,$C8)+SUMIFS(Яндекс!$D:$D,Яндекс!$A:$A,"Купить",Яндекс!$B:$B,"Квартира во вторичке",Яндекс!$C:$C,$C8)</f>
        <v/>
      </c>
      <c r="F8" s="22">
        <f>SUMIFS(Авито!$E:$E,Авито!$A:$A,"Продажа",Авито!$B:$B,"Квартиры",Авито!$C:$C,$C8)</f>
        <v/>
      </c>
      <c r="G8" s="22">
        <f>SUMIFS(Домклик!$D:$D,Домклик!$A:$A,"Покупка",Домклик!$B:$B,"Квартиры",Домклик!$C:$C,$C8)</f>
        <v/>
      </c>
      <c r="H8" s="21">
        <f>IFERROR(INDEX($D$1:$G$1,MATCH(MAX(D8:G8),D8:G8,0)),"")</f>
        <v/>
      </c>
    </row>
    <row r="9">
      <c r="A9" s="21" t="inlineStr">
        <is>
          <t>Продажа</t>
        </is>
      </c>
      <c r="B9" s="21" t="inlineStr">
        <is>
          <t>Квартиры — всего</t>
        </is>
      </c>
      <c r="C9" s="21" t="inlineStr">
        <is>
          <t>Нижний Новгород</t>
        </is>
      </c>
      <c r="D9" s="22">
        <f>SUMIFS(ЦИАН!$D:$D,ЦИАН!$A:$A,"Продажи квартир",ЦИАН!$B:$B,"Квартиры в новостройках",ЦИАН!$C:$C,$C9)+SUMIFS(ЦИАН!$D:$D,ЦИАН!$A:$A,"Продажи квартир",ЦИАН!$B:$B,"Квартиры во вторичке",ЦИАН!$C:$C,$C9)</f>
        <v/>
      </c>
      <c r="E9" s="22">
        <f>SUMIFS(Яндекс!$D:$D,Яндекс!$A:$A,"Купить",Яндекс!$B:$B,"Квартира в новостройке",Яндекс!$C:$C,$C9)+SUMIFS(Яндекс!$D:$D,Яндекс!$A:$A,"Купить",Яндекс!$B:$B,"Квартира во вторичке",Яндекс!$C:$C,$C9)</f>
        <v/>
      </c>
      <c r="F9" s="22">
        <f>SUMIFS(Авито!$E:$E,Авито!$A:$A,"Продажа",Авито!$B:$B,"Квартиры",Авито!$C:$C,$C9)</f>
        <v/>
      </c>
      <c r="G9" s="22">
        <f>SUMIFS(Домклик!$D:$D,Домклик!$A:$A,"Покупка",Домклик!$B:$B,"Квартиры",Домклик!$C:$C,$C9)</f>
        <v/>
      </c>
      <c r="H9" s="21">
        <f>IFERROR(INDEX($D$1:$G$1,MATCH(MAX(D9:G9),D9:G9,0)),"")</f>
        <v/>
      </c>
    </row>
    <row r="10">
      <c r="A10" s="21" t="inlineStr">
        <is>
          <t>Продажа</t>
        </is>
      </c>
      <c r="B10" s="21" t="inlineStr">
        <is>
          <t>Квартиры — всего</t>
        </is>
      </c>
      <c r="C10" s="21" t="inlineStr">
        <is>
          <t>Челябинск</t>
        </is>
      </c>
      <c r="D10" s="22">
        <f>SUMIFS(ЦИАН!$D:$D,ЦИАН!$A:$A,"Продажи квартир",ЦИАН!$B:$B,"Квартиры в новостройках",ЦИАН!$C:$C,$C10)+SUMIFS(ЦИАН!$D:$D,ЦИАН!$A:$A,"Продажи квартир",ЦИАН!$B:$B,"Квартиры во вторичке",ЦИАН!$C:$C,$C10)</f>
        <v/>
      </c>
      <c r="E10" s="22">
        <f>SUMIFS(Яндекс!$D:$D,Яндекс!$A:$A,"Купить",Яндекс!$B:$B,"Квартира в новостройке",Яндекс!$C:$C,$C10)+SUMIFS(Яндекс!$D:$D,Яндекс!$A:$A,"Купить",Яндекс!$B:$B,"Квартира во вторичке",Яндекс!$C:$C,$C10)</f>
        <v/>
      </c>
      <c r="F10" s="22">
        <f>SUMIFS(Авито!$E:$E,Авито!$A:$A,"Продажа",Авито!$B:$B,"Квартиры",Авито!$C:$C,$C10)</f>
        <v/>
      </c>
      <c r="G10" s="22">
        <f>SUMIFS(Домклик!$D:$D,Домклик!$A:$A,"Покупка",Домклик!$B:$B,"Квартиры",Домклик!$C:$C,$C10)</f>
        <v/>
      </c>
      <c r="H10" s="21">
        <f>IFERROR(INDEX($D$1:$G$1,MATCH(MAX(D10:G10),D10:G10,0)),"")</f>
        <v/>
      </c>
    </row>
    <row r="11">
      <c r="A11" s="21" t="inlineStr">
        <is>
          <t>Продажа</t>
        </is>
      </c>
      <c r="B11" s="21" t="inlineStr">
        <is>
          <t>Квартиры — всего</t>
        </is>
      </c>
      <c r="C11" s="21" t="inlineStr">
        <is>
          <t>Уфа</t>
        </is>
      </c>
      <c r="D11" s="22">
        <f>SUMIFS(ЦИАН!$D:$D,ЦИАН!$A:$A,"Продажи квартир",ЦИАН!$B:$B,"Квартиры в новостройках",ЦИАН!$C:$C,$C11)+SUMIFS(ЦИАН!$D:$D,ЦИАН!$A:$A,"Продажи квартир",ЦИАН!$B:$B,"Квартиры во вторичке",ЦИАН!$C:$C,$C11)</f>
        <v/>
      </c>
      <c r="E11" s="22">
        <f>SUMIFS(Яндекс!$D:$D,Яндекс!$A:$A,"Купить",Яндекс!$B:$B,"Квартира в новостройке",Яндекс!$C:$C,$C11)+SUMIFS(Яндекс!$D:$D,Яндекс!$A:$A,"Купить",Яндекс!$B:$B,"Квартира во вторичке",Яндекс!$C:$C,$C11)</f>
        <v/>
      </c>
      <c r="F11" s="22">
        <f>SUMIFS(Авито!$E:$E,Авито!$A:$A,"Продажа",Авито!$B:$B,"Квартиры",Авито!$C:$C,$C11)</f>
        <v/>
      </c>
      <c r="G11" s="22">
        <f>SUMIFS(Домклик!$D:$D,Домклик!$A:$A,"Покупка",Домклик!$B:$B,"Квартиры",Домклик!$C:$C,$C11)</f>
        <v/>
      </c>
      <c r="H11" s="21">
        <f>IFERROR(INDEX($D$1:$G$1,MATCH(MAX(D11:G11),D11:G11,0)),"")</f>
        <v/>
      </c>
    </row>
    <row r="12">
      <c r="A12" s="21" t="inlineStr">
        <is>
          <t>Продажа</t>
        </is>
      </c>
      <c r="B12" s="21" t="inlineStr">
        <is>
          <t>Квартиры — всего</t>
        </is>
      </c>
      <c r="C12" s="21" t="inlineStr">
        <is>
          <t>Краснодар</t>
        </is>
      </c>
      <c r="D12" s="22">
        <f>SUMIFS(ЦИАН!$D:$D,ЦИАН!$A:$A,"Продажи квартир",ЦИАН!$B:$B,"Квартиры в новостройках",ЦИАН!$C:$C,$C12)+SUMIFS(ЦИАН!$D:$D,ЦИАН!$A:$A,"Продажи квартир",ЦИАН!$B:$B,"Квартиры во вторичке",ЦИАН!$C:$C,$C12)</f>
        <v/>
      </c>
      <c r="E12" s="22">
        <f>SUMIFS(Яндекс!$D:$D,Яндекс!$A:$A,"Купить",Яндекс!$B:$B,"Квартира в новостройке",Яндекс!$C:$C,$C12)+SUMIFS(Яндекс!$D:$D,Яндекс!$A:$A,"Купить",Яндекс!$B:$B,"Квартира во вторичке",Яндекс!$C:$C,$C12)</f>
        <v/>
      </c>
      <c r="F12" s="22">
        <f>SUMIFS(Авито!$E:$E,Авито!$A:$A,"Продажа",Авито!$B:$B,"Квартиры",Авито!$C:$C,$C12)</f>
        <v/>
      </c>
      <c r="G12" s="22">
        <f>SUMIFS(Домклик!$D:$D,Домклик!$A:$A,"Покупка",Домклик!$B:$B,"Квартиры",Домклик!$C:$C,$C12)</f>
        <v/>
      </c>
      <c r="H12" s="21">
        <f>IFERROR(INDEX($D$1:$G$1,MATCH(MAX(D12:G12),D12:G12,0)),"")</f>
        <v/>
      </c>
    </row>
    <row r="13">
      <c r="A13" s="21" t="inlineStr">
        <is>
          <t>Продажа</t>
        </is>
      </c>
      <c r="B13" s="21" t="inlineStr">
        <is>
          <t>Квартиры — всего</t>
        </is>
      </c>
      <c r="C13" s="21" t="inlineStr">
        <is>
          <t>Самара</t>
        </is>
      </c>
      <c r="D13" s="22">
        <f>SUMIFS(ЦИАН!$D:$D,ЦИАН!$A:$A,"Продажи квартир",ЦИАН!$B:$B,"Квартиры в новостройках",ЦИАН!$C:$C,$C13)+SUMIFS(ЦИАН!$D:$D,ЦИАН!$A:$A,"Продажи квартир",ЦИАН!$B:$B,"Квартиры во вторичке",ЦИАН!$C:$C,$C13)</f>
        <v/>
      </c>
      <c r="E13" s="22">
        <f>SUMIFS(Яндекс!$D:$D,Яндекс!$A:$A,"Купить",Яндекс!$B:$B,"Квартира в новостройке",Яндекс!$C:$C,$C13)+SUMIFS(Яндекс!$D:$D,Яндекс!$A:$A,"Купить",Яндекс!$B:$B,"Квартира во вторичке",Яндекс!$C:$C,$C13)</f>
        <v/>
      </c>
      <c r="F13" s="22">
        <f>SUMIFS(Авито!$E:$E,Авито!$A:$A,"Продажа",Авито!$B:$B,"Квартиры",Авито!$C:$C,$C13)</f>
        <v/>
      </c>
      <c r="G13" s="22">
        <f>SUMIFS(Домклик!$D:$D,Домклик!$A:$A,"Покупка",Домклик!$B:$B,"Квартиры",Домклик!$C:$C,$C13)</f>
        <v/>
      </c>
      <c r="H13" s="21">
        <f>IFERROR(INDEX($D$1:$G$1,MATCH(MAX(D13:G13),D13:G13,0)),"")</f>
        <v/>
      </c>
    </row>
    <row r="14">
      <c r="A14" s="21" t="inlineStr">
        <is>
          <t>Продажа</t>
        </is>
      </c>
      <c r="B14" s="21" t="inlineStr">
        <is>
          <t>Квартиры — всего</t>
        </is>
      </c>
      <c r="C14" s="21" t="inlineStr">
        <is>
          <t>Ростов-на-Дону</t>
        </is>
      </c>
      <c r="D14" s="22">
        <f>SUMIFS(ЦИАН!$D:$D,ЦИАН!$A:$A,"Продажи квартир",ЦИАН!$B:$B,"Квартиры в новостройках",ЦИАН!$C:$C,$C14)+SUMIFS(ЦИАН!$D:$D,ЦИАН!$A:$A,"Продажи квартир",ЦИАН!$B:$B,"Квартиры во вторичке",ЦИАН!$C:$C,$C14)</f>
        <v/>
      </c>
      <c r="E14" s="22">
        <f>SUMIFS(Яндекс!$D:$D,Яндекс!$A:$A,"Купить",Яндекс!$B:$B,"Квартира в новостройке",Яндекс!$C:$C,$C14)+SUMIFS(Яндекс!$D:$D,Яндекс!$A:$A,"Купить",Яндекс!$B:$B,"Квартира во вторичке",Яндекс!$C:$C,$C14)</f>
        <v/>
      </c>
      <c r="F14" s="22">
        <f>SUMIFS(Авито!$E:$E,Авито!$A:$A,"Продажа",Авито!$B:$B,"Квартиры",Авито!$C:$C,$C14)</f>
        <v/>
      </c>
      <c r="G14" s="22">
        <f>SUMIFS(Домклик!$D:$D,Домклик!$A:$A,"Покупка",Домклик!$B:$B,"Квартиры",Домклик!$C:$C,$C14)</f>
        <v/>
      </c>
      <c r="H14" s="21">
        <f>IFERROR(INDEX($D$1:$G$1,MATCH(MAX(D14:G14),D14:G14,0)),"")</f>
        <v/>
      </c>
    </row>
    <row r="15">
      <c r="A15" s="21" t="inlineStr">
        <is>
          <t>Продажа</t>
        </is>
      </c>
      <c r="B15" s="21" t="inlineStr">
        <is>
          <t>Квартиры — всего</t>
        </is>
      </c>
      <c r="C15" s="21" t="inlineStr">
        <is>
          <t>Омск</t>
        </is>
      </c>
      <c r="D15" s="22">
        <f>SUMIFS(ЦИАН!$D:$D,ЦИАН!$A:$A,"Продажи квартир",ЦИАН!$B:$B,"Квартиры в новостройках",ЦИАН!$C:$C,$C15)+SUMIFS(ЦИАН!$D:$D,ЦИАН!$A:$A,"Продажи квартир",ЦИАН!$B:$B,"Квартиры во вторичке",ЦИАН!$C:$C,$C15)</f>
        <v/>
      </c>
      <c r="E15" s="22">
        <f>SUMIFS(Яндекс!$D:$D,Яндекс!$A:$A,"Купить",Яндекс!$B:$B,"Квартира в новостройке",Яндекс!$C:$C,$C15)+SUMIFS(Яндекс!$D:$D,Яндекс!$A:$A,"Купить",Яндекс!$B:$B,"Квартира во вторичке",Яндекс!$C:$C,$C15)</f>
        <v/>
      </c>
      <c r="F15" s="22">
        <f>SUMIFS(Авито!$E:$E,Авито!$A:$A,"Продажа",Авито!$B:$B,"Квартиры",Авито!$C:$C,$C15)</f>
        <v/>
      </c>
      <c r="G15" s="22">
        <f>SUMIFS(Домклик!$D:$D,Домклик!$A:$A,"Покупка",Домклик!$B:$B,"Квартиры",Домклик!$C:$C,$C15)</f>
        <v/>
      </c>
      <c r="H15" s="21">
        <f>IFERROR(INDEX($D$1:$G$1,MATCH(MAX(D15:G15),D15:G15,0)),"")</f>
        <v/>
      </c>
    </row>
    <row r="16">
      <c r="A16" s="21" t="inlineStr">
        <is>
          <t>Продажа</t>
        </is>
      </c>
      <c r="B16" s="21" t="inlineStr">
        <is>
          <t>Квартиры — всего</t>
        </is>
      </c>
      <c r="C16" s="21" t="inlineStr">
        <is>
          <t>Воронеж</t>
        </is>
      </c>
      <c r="D16" s="22">
        <f>SUMIFS(ЦИАН!$D:$D,ЦИАН!$A:$A,"Продажи квартир",ЦИАН!$B:$B,"Квартиры в новостройках",ЦИАН!$C:$C,$C16)+SUMIFS(ЦИАН!$D:$D,ЦИАН!$A:$A,"Продажи квартир",ЦИАН!$B:$B,"Квартиры во вторичке",ЦИАН!$C:$C,$C16)</f>
        <v/>
      </c>
      <c r="E16" s="22">
        <f>SUMIFS(Яндекс!$D:$D,Яндекс!$A:$A,"Купить",Яндекс!$B:$B,"Квартира в новостройке",Яндекс!$C:$C,$C16)+SUMIFS(Яндекс!$D:$D,Яндекс!$A:$A,"Купить",Яндекс!$B:$B,"Квартира во вторичке",Яндекс!$C:$C,$C16)</f>
        <v/>
      </c>
      <c r="F16" s="22">
        <f>SUMIFS(Авито!$E:$E,Авито!$A:$A,"Продажа",Авито!$B:$B,"Квартиры",Авито!$C:$C,$C16)</f>
        <v/>
      </c>
      <c r="G16" s="22">
        <f>SUMIFS(Домклик!$D:$D,Домклик!$A:$A,"Покупка",Домклик!$B:$B,"Квартиры",Домклик!$C:$C,$C16)</f>
        <v/>
      </c>
      <c r="H16" s="21">
        <f>IFERROR(INDEX($D$1:$G$1,MATCH(MAX(D16:G16),D16:G16,0)),"")</f>
        <v/>
      </c>
    </row>
    <row r="17">
      <c r="A17" s="21" t="inlineStr">
        <is>
          <t>Продажа</t>
        </is>
      </c>
      <c r="B17" s="21" t="inlineStr">
        <is>
          <t>Квартиры — всего</t>
        </is>
      </c>
      <c r="C17" s="21" t="inlineStr">
        <is>
          <t>Пермь</t>
        </is>
      </c>
      <c r="D17" s="22">
        <f>SUMIFS(ЦИАН!$D:$D,ЦИАН!$A:$A,"Продажи квартир",ЦИАН!$B:$B,"Квартиры в новостройках",ЦИАН!$C:$C,$C17)+SUMIFS(ЦИАН!$D:$D,ЦИАН!$A:$A,"Продажи квартир",ЦИАН!$B:$B,"Квартиры во вторичке",ЦИАН!$C:$C,$C17)</f>
        <v/>
      </c>
      <c r="E17" s="22">
        <f>SUMIFS(Яндекс!$D:$D,Яндекс!$A:$A,"Купить",Яндекс!$B:$B,"Квартира в новостройке",Яндекс!$C:$C,$C17)+SUMIFS(Яндекс!$D:$D,Яндекс!$A:$A,"Купить",Яндекс!$B:$B,"Квартира во вторичке",Яндекс!$C:$C,$C17)</f>
        <v/>
      </c>
      <c r="F17" s="22">
        <f>SUMIFS(Авито!$E:$E,Авито!$A:$A,"Продажа",Авито!$B:$B,"Квартиры",Авито!$C:$C,$C17)</f>
        <v/>
      </c>
      <c r="G17" s="22">
        <f>SUMIFS(Домклик!$D:$D,Домклик!$A:$A,"Покупка",Домклик!$B:$B,"Квартиры",Домклик!$C:$C,$C17)</f>
        <v/>
      </c>
      <c r="H17" s="21">
        <f>IFERROR(INDEX($D$1:$G$1,MATCH(MAX(D17:G17),D17:G17,0)),"")</f>
        <v/>
      </c>
    </row>
    <row r="18">
      <c r="A18" s="21" t="inlineStr">
        <is>
          <t>Продажа</t>
        </is>
      </c>
      <c r="B18" s="21" t="inlineStr">
        <is>
          <t>Квартиры — всего</t>
        </is>
      </c>
      <c r="C18" s="21" t="inlineStr">
        <is>
          <t>Волгоград</t>
        </is>
      </c>
      <c r="D18" s="22">
        <f>SUMIFS(ЦИАН!$D:$D,ЦИАН!$A:$A,"Продажи квартир",ЦИАН!$B:$B,"Квартиры в новостройках",ЦИАН!$C:$C,$C18)+SUMIFS(ЦИАН!$D:$D,ЦИАН!$A:$A,"Продажи квартир",ЦИАН!$B:$B,"Квартиры во вторичке",ЦИАН!$C:$C,$C18)</f>
        <v/>
      </c>
      <c r="E18" s="22">
        <f>SUMIFS(Яндекс!$D:$D,Яндекс!$A:$A,"Купить",Яндекс!$B:$B,"Квартира в новостройке",Яндекс!$C:$C,$C18)+SUMIFS(Яндекс!$D:$D,Яндекс!$A:$A,"Купить",Яндекс!$B:$B,"Квартира во вторичке",Яндекс!$C:$C,$C18)</f>
        <v/>
      </c>
      <c r="F18" s="22">
        <f>SUMIFS(Авито!$E:$E,Авито!$A:$A,"Продажа",Авито!$B:$B,"Квартиры",Авито!$C:$C,$C18)</f>
        <v/>
      </c>
      <c r="G18" s="22">
        <f>SUMIFS(Домклик!$D:$D,Домклик!$A:$A,"Покупка",Домклик!$B:$B,"Квартиры",Домклик!$C:$C,$C18)</f>
        <v/>
      </c>
      <c r="H18" s="21">
        <f>IFERROR(INDEX($D$1:$G$1,MATCH(MAX(D18:G18),D18:G18,0)),"")</f>
        <v/>
      </c>
    </row>
    <row r="19">
      <c r="A19" s="27" t="inlineStr">
        <is>
          <t>Продажа</t>
        </is>
      </c>
      <c r="B19" s="17" t="inlineStr">
        <is>
          <t>Квартиры — новостройки</t>
        </is>
      </c>
      <c r="C19" s="28" t="inlineStr">
        <is>
          <t>🇷🇺 Вся Россия</t>
        </is>
      </c>
      <c r="D19" s="19">
        <f>SUMIFS(ЦИАН!$D:$D,ЦИАН!$A:$A,"Продажи квартир",ЦИАН!$B:$B,"Квартиры в новостройках",ЦИАН!$C:$C,$C19)</f>
        <v/>
      </c>
      <c r="E19" s="19">
        <f>SUMIFS(Яндекс!$D:$D,Яндекс!$A:$A,"Купить",Яндекс!$B:$B,"Квартира в новостройке",Яндекс!$C:$C,$C19)</f>
        <v/>
      </c>
      <c r="F19" s="19">
        <f>SUMIFS(Авито!$E:$E,Авито!$A:$A,"Продажа",Авито!$B:$B,"Квартиры новостройка",Авито!$C:$C,$C19)</f>
        <v/>
      </c>
      <c r="G19" s="19">
        <f>SUMIFS(Домклик!$D:$D,Домклик!$A:$A,"Покупка",Домклик!$B:$B,"Квартиры новостройки",Домклик!$C:$C,$C19)</f>
        <v/>
      </c>
      <c r="H19" s="18">
        <f>IFERROR(INDEX($D$1:$G$1,MATCH(MAX(D19:G19),D19:G19,0)),"")</f>
        <v/>
      </c>
    </row>
    <row r="20">
      <c r="A20" s="21" t="inlineStr">
        <is>
          <t>Продажа</t>
        </is>
      </c>
      <c r="B20" s="21" t="inlineStr">
        <is>
          <t>Квартиры — новостройки</t>
        </is>
      </c>
      <c r="C20" s="21" t="inlineStr">
        <is>
          <t>Москва</t>
        </is>
      </c>
      <c r="D20" s="22">
        <f>SUMIFS(ЦИАН!$D:$D,ЦИАН!$A:$A,"Продажи квартир",ЦИАН!$B:$B,"Квартиры в новостройках",ЦИАН!$C:$C,$C20)</f>
        <v/>
      </c>
      <c r="E20" s="22">
        <f>SUMIFS(Яндекс!$D:$D,Яндекс!$A:$A,"Купить",Яндекс!$B:$B,"Квартира в новостройке",Яндекс!$C:$C,$C20)</f>
        <v/>
      </c>
      <c r="F20" s="22">
        <f>SUMIFS(Авито!$E:$E,Авито!$A:$A,"Продажа",Авито!$B:$B,"Квартиры новостройка",Авито!$C:$C,$C20)</f>
        <v/>
      </c>
      <c r="G20" s="22">
        <f>SUMIFS(Домклик!$D:$D,Домклик!$A:$A,"Покупка",Домклик!$B:$B,"Квартиры новостройки",Домклик!$C:$C,$C20)</f>
        <v/>
      </c>
      <c r="H20" s="21">
        <f>IFERROR(INDEX($D$1:$G$1,MATCH(MAX(D20:G20),D20:G20,0)),"")</f>
        <v/>
      </c>
    </row>
    <row r="21">
      <c r="A21" s="21" t="inlineStr">
        <is>
          <t>Продажа</t>
        </is>
      </c>
      <c r="B21" s="21" t="inlineStr">
        <is>
          <t>Квартиры — новостройки</t>
        </is>
      </c>
      <c r="C21" s="21" t="inlineStr">
        <is>
          <t>Санкт-Петербург</t>
        </is>
      </c>
      <c r="D21" s="22">
        <f>SUMIFS(ЦИАН!$D:$D,ЦИАН!$A:$A,"Продажи квартир",ЦИАН!$B:$B,"Квартиры в новостройках",ЦИАН!$C:$C,$C21)</f>
        <v/>
      </c>
      <c r="E21" s="22">
        <f>SUMIFS(Яндекс!$D:$D,Яндекс!$A:$A,"Купить",Яндекс!$B:$B,"Квартира в новостройке",Яндекс!$C:$C,$C21)</f>
        <v/>
      </c>
      <c r="F21" s="22">
        <f>SUMIFS(Авито!$E:$E,Авито!$A:$A,"Продажа",Авито!$B:$B,"Квартиры новостройка",Авито!$C:$C,$C21)</f>
        <v/>
      </c>
      <c r="G21" s="22">
        <f>SUMIFS(Домклик!$D:$D,Домклик!$A:$A,"Покупка",Домклик!$B:$B,"Квартиры новостройки",Домклик!$C:$C,$C21)</f>
        <v/>
      </c>
      <c r="H21" s="21">
        <f>IFERROR(INDEX($D$1:$G$1,MATCH(MAX(D21:G21),D21:G21,0)),"")</f>
        <v/>
      </c>
    </row>
    <row r="22">
      <c r="A22" s="21" t="inlineStr">
        <is>
          <t>Продажа</t>
        </is>
      </c>
      <c r="B22" s="21" t="inlineStr">
        <is>
          <t>Квартиры — новостройки</t>
        </is>
      </c>
      <c r="C22" s="21" t="inlineStr">
        <is>
          <t>Новосибирск</t>
        </is>
      </c>
      <c r="D22" s="22">
        <f>SUMIFS(ЦИАН!$D:$D,ЦИАН!$A:$A,"Продажи квартир",ЦИАН!$B:$B,"Квартиры в новостройках",ЦИАН!$C:$C,$C22)</f>
        <v/>
      </c>
      <c r="E22" s="22">
        <f>SUMIFS(Яндекс!$D:$D,Яндекс!$A:$A,"Купить",Яндекс!$B:$B,"Квартира в новостройке",Яндекс!$C:$C,$C22)</f>
        <v/>
      </c>
      <c r="F22" s="22">
        <f>SUMIFS(Авито!$E:$E,Авито!$A:$A,"Продажа",Авито!$B:$B,"Квартиры новостройка",Авито!$C:$C,$C22)</f>
        <v/>
      </c>
      <c r="G22" s="22">
        <f>SUMIFS(Домклик!$D:$D,Домклик!$A:$A,"Покупка",Домклик!$B:$B,"Квартиры новостройки",Домклик!$C:$C,$C22)</f>
        <v/>
      </c>
      <c r="H22" s="21">
        <f>IFERROR(INDEX($D$1:$G$1,MATCH(MAX(D22:G22),D22:G22,0)),"")</f>
        <v/>
      </c>
    </row>
    <row r="23">
      <c r="A23" s="21" t="inlineStr">
        <is>
          <t>Продажа</t>
        </is>
      </c>
      <c r="B23" s="21" t="inlineStr">
        <is>
          <t>Квартиры — новостройки</t>
        </is>
      </c>
      <c r="C23" s="21" t="inlineStr">
        <is>
          <t>Екатеринбург</t>
        </is>
      </c>
      <c r="D23" s="22">
        <f>SUMIFS(ЦИАН!$D:$D,ЦИАН!$A:$A,"Продажи квартир",ЦИАН!$B:$B,"Квартиры в новостройках",ЦИАН!$C:$C,$C23)</f>
        <v/>
      </c>
      <c r="E23" s="22">
        <f>SUMIFS(Яндекс!$D:$D,Яндекс!$A:$A,"Купить",Яндекс!$B:$B,"Квартира в новостройке",Яндекс!$C:$C,$C23)</f>
        <v/>
      </c>
      <c r="F23" s="22">
        <f>SUMIFS(Авито!$E:$E,Авито!$A:$A,"Продажа",Авито!$B:$B,"Квартиры новостройка",Авито!$C:$C,$C23)</f>
        <v/>
      </c>
      <c r="G23" s="22">
        <f>SUMIFS(Домклик!$D:$D,Домклик!$A:$A,"Покупка",Домклик!$B:$B,"Квартиры новостройки",Домклик!$C:$C,$C23)</f>
        <v/>
      </c>
      <c r="H23" s="21">
        <f>IFERROR(INDEX($D$1:$G$1,MATCH(MAX(D23:G23),D23:G23,0)),"")</f>
        <v/>
      </c>
    </row>
    <row r="24">
      <c r="A24" s="21" t="inlineStr">
        <is>
          <t>Продажа</t>
        </is>
      </c>
      <c r="B24" s="21" t="inlineStr">
        <is>
          <t>Квартиры — новостройки</t>
        </is>
      </c>
      <c r="C24" s="21" t="inlineStr">
        <is>
          <t>Казань</t>
        </is>
      </c>
      <c r="D24" s="22">
        <f>SUMIFS(ЦИАН!$D:$D,ЦИАН!$A:$A,"Продажи квартир",ЦИАН!$B:$B,"Квартиры в новостройках",ЦИАН!$C:$C,$C24)</f>
        <v/>
      </c>
      <c r="E24" s="22">
        <f>SUMIFS(Яндекс!$D:$D,Яндекс!$A:$A,"Купить",Яндекс!$B:$B,"Квартира в новостройке",Яндекс!$C:$C,$C24)</f>
        <v/>
      </c>
      <c r="F24" s="22">
        <f>SUMIFS(Авито!$E:$E,Авито!$A:$A,"Продажа",Авито!$B:$B,"Квартиры новостройка",Авито!$C:$C,$C24)</f>
        <v/>
      </c>
      <c r="G24" s="22">
        <f>SUMIFS(Домклик!$D:$D,Домклик!$A:$A,"Покупка",Домклик!$B:$B,"Квартиры новостройки",Домклик!$C:$C,$C24)</f>
        <v/>
      </c>
      <c r="H24" s="21">
        <f>IFERROR(INDEX($D$1:$G$1,MATCH(MAX(D24:G24),D24:G24,0)),"")</f>
        <v/>
      </c>
    </row>
    <row r="25">
      <c r="A25" s="21" t="inlineStr">
        <is>
          <t>Продажа</t>
        </is>
      </c>
      <c r="B25" s="21" t="inlineStr">
        <is>
          <t>Квартиры — новостройки</t>
        </is>
      </c>
      <c r="C25" s="21" t="inlineStr">
        <is>
          <t>Красноярск</t>
        </is>
      </c>
      <c r="D25" s="22">
        <f>SUMIFS(ЦИАН!$D:$D,ЦИАН!$A:$A,"Продажи квартир",ЦИАН!$B:$B,"Квартиры в новостройках",ЦИАН!$C:$C,$C25)</f>
        <v/>
      </c>
      <c r="E25" s="22">
        <f>SUMIFS(Яндекс!$D:$D,Яндекс!$A:$A,"Купить",Яндекс!$B:$B,"Квартира в новостройке",Яндекс!$C:$C,$C25)</f>
        <v/>
      </c>
      <c r="F25" s="22">
        <f>SUMIFS(Авито!$E:$E,Авито!$A:$A,"Продажа",Авито!$B:$B,"Квартиры новостройка",Авито!$C:$C,$C25)</f>
        <v/>
      </c>
      <c r="G25" s="22">
        <f>SUMIFS(Домклик!$D:$D,Домклик!$A:$A,"Покупка",Домклик!$B:$B,"Квартиры новостройки",Домклик!$C:$C,$C25)</f>
        <v/>
      </c>
      <c r="H25" s="21">
        <f>IFERROR(INDEX($D$1:$G$1,MATCH(MAX(D25:G25),D25:G25,0)),"")</f>
        <v/>
      </c>
    </row>
    <row r="26">
      <c r="A26" s="21" t="inlineStr">
        <is>
          <t>Продажа</t>
        </is>
      </c>
      <c r="B26" s="21" t="inlineStr">
        <is>
          <t>Квартиры — новостройки</t>
        </is>
      </c>
      <c r="C26" s="21" t="inlineStr">
        <is>
          <t>Нижний Новгород</t>
        </is>
      </c>
      <c r="D26" s="22">
        <f>SUMIFS(ЦИАН!$D:$D,ЦИАН!$A:$A,"Продажи квартир",ЦИАН!$B:$B,"Квартиры в новостройках",ЦИАН!$C:$C,$C26)</f>
        <v/>
      </c>
      <c r="E26" s="22">
        <f>SUMIFS(Яндекс!$D:$D,Яндекс!$A:$A,"Купить",Яндекс!$B:$B,"Квартира в новостройке",Яндекс!$C:$C,$C26)</f>
        <v/>
      </c>
      <c r="F26" s="22">
        <f>SUMIFS(Авито!$E:$E,Авито!$A:$A,"Продажа",Авито!$B:$B,"Квартиры новостройка",Авито!$C:$C,$C26)</f>
        <v/>
      </c>
      <c r="G26" s="22">
        <f>SUMIFS(Домклик!$D:$D,Домклик!$A:$A,"Покупка",Домклик!$B:$B,"Квартиры новостройки",Домклик!$C:$C,$C26)</f>
        <v/>
      </c>
      <c r="H26" s="21">
        <f>IFERROR(INDEX($D$1:$G$1,MATCH(MAX(D26:G26),D26:G26,0)),"")</f>
        <v/>
      </c>
    </row>
    <row r="27">
      <c r="A27" s="21" t="inlineStr">
        <is>
          <t>Продажа</t>
        </is>
      </c>
      <c r="B27" s="21" t="inlineStr">
        <is>
          <t>Квартиры — новостройки</t>
        </is>
      </c>
      <c r="C27" s="21" t="inlineStr">
        <is>
          <t>Челябинск</t>
        </is>
      </c>
      <c r="D27" s="22">
        <f>SUMIFS(ЦИАН!$D:$D,ЦИАН!$A:$A,"Продажи квартир",ЦИАН!$B:$B,"Квартиры в новостройках",ЦИАН!$C:$C,$C27)</f>
        <v/>
      </c>
      <c r="E27" s="22">
        <f>SUMIFS(Яндекс!$D:$D,Яндекс!$A:$A,"Купить",Яндекс!$B:$B,"Квартира в новостройке",Яндекс!$C:$C,$C27)</f>
        <v/>
      </c>
      <c r="F27" s="22">
        <f>SUMIFS(Авито!$E:$E,Авито!$A:$A,"Продажа",Авито!$B:$B,"Квартиры новостройка",Авито!$C:$C,$C27)</f>
        <v/>
      </c>
      <c r="G27" s="22">
        <f>SUMIFS(Домклик!$D:$D,Домклик!$A:$A,"Покупка",Домклик!$B:$B,"Квартиры новостройки",Домклик!$C:$C,$C27)</f>
        <v/>
      </c>
      <c r="H27" s="21">
        <f>IFERROR(INDEX($D$1:$G$1,MATCH(MAX(D27:G27),D27:G27,0)),"")</f>
        <v/>
      </c>
    </row>
    <row r="28">
      <c r="A28" s="21" t="inlineStr">
        <is>
          <t>Продажа</t>
        </is>
      </c>
      <c r="B28" s="21" t="inlineStr">
        <is>
          <t>Квартиры — новостройки</t>
        </is>
      </c>
      <c r="C28" s="21" t="inlineStr">
        <is>
          <t>Уфа</t>
        </is>
      </c>
      <c r="D28" s="22">
        <f>SUMIFS(ЦИАН!$D:$D,ЦИАН!$A:$A,"Продажи квартир",ЦИАН!$B:$B,"Квартиры в новостройках",ЦИАН!$C:$C,$C28)</f>
        <v/>
      </c>
      <c r="E28" s="22">
        <f>SUMIFS(Яндекс!$D:$D,Яндекс!$A:$A,"Купить",Яндекс!$B:$B,"Квартира в новостройке",Яндекс!$C:$C,$C28)</f>
        <v/>
      </c>
      <c r="F28" s="22">
        <f>SUMIFS(Авито!$E:$E,Авито!$A:$A,"Продажа",Авито!$B:$B,"Квартиры новостройка",Авито!$C:$C,$C28)</f>
        <v/>
      </c>
      <c r="G28" s="22">
        <f>SUMIFS(Домклик!$D:$D,Домклик!$A:$A,"Покупка",Домклик!$B:$B,"Квартиры новостройки",Домклик!$C:$C,$C28)</f>
        <v/>
      </c>
      <c r="H28" s="21">
        <f>IFERROR(INDEX($D$1:$G$1,MATCH(MAX(D28:G28),D28:G28,0)),"")</f>
        <v/>
      </c>
    </row>
    <row r="29">
      <c r="A29" s="21" t="inlineStr">
        <is>
          <t>Продажа</t>
        </is>
      </c>
      <c r="B29" s="21" t="inlineStr">
        <is>
          <t>Квартиры — новостройки</t>
        </is>
      </c>
      <c r="C29" s="21" t="inlineStr">
        <is>
          <t>Краснодар</t>
        </is>
      </c>
      <c r="D29" s="22">
        <f>SUMIFS(ЦИАН!$D:$D,ЦИАН!$A:$A,"Продажи квартир",ЦИАН!$B:$B,"Квартиры в новостройках",ЦИАН!$C:$C,$C29)</f>
        <v/>
      </c>
      <c r="E29" s="22">
        <f>SUMIFS(Яндекс!$D:$D,Яндекс!$A:$A,"Купить",Яндекс!$B:$B,"Квартира в новостройке",Яндекс!$C:$C,$C29)</f>
        <v/>
      </c>
      <c r="F29" s="22">
        <f>SUMIFS(Авито!$E:$E,Авито!$A:$A,"Продажа",Авито!$B:$B,"Квартиры новостройка",Авито!$C:$C,$C29)</f>
        <v/>
      </c>
      <c r="G29" s="22">
        <f>SUMIFS(Домклик!$D:$D,Домклик!$A:$A,"Покупка",Домклик!$B:$B,"Квартиры новостройки",Домклик!$C:$C,$C29)</f>
        <v/>
      </c>
      <c r="H29" s="21">
        <f>IFERROR(INDEX($D$1:$G$1,MATCH(MAX(D29:G29),D29:G29,0)),"")</f>
        <v/>
      </c>
    </row>
    <row r="30">
      <c r="A30" s="21" t="inlineStr">
        <is>
          <t>Продажа</t>
        </is>
      </c>
      <c r="B30" s="21" t="inlineStr">
        <is>
          <t>Квартиры — новостройки</t>
        </is>
      </c>
      <c r="C30" s="21" t="inlineStr">
        <is>
          <t>Самара</t>
        </is>
      </c>
      <c r="D30" s="22">
        <f>SUMIFS(ЦИАН!$D:$D,ЦИАН!$A:$A,"Продажи квартир",ЦИАН!$B:$B,"Квартиры в новостройках",ЦИАН!$C:$C,$C30)</f>
        <v/>
      </c>
      <c r="E30" s="22">
        <f>SUMIFS(Яндекс!$D:$D,Яндекс!$A:$A,"Купить",Яндекс!$B:$B,"Квартира в новостройке",Яндекс!$C:$C,$C30)</f>
        <v/>
      </c>
      <c r="F30" s="22">
        <f>SUMIFS(Авито!$E:$E,Авито!$A:$A,"Продажа",Авито!$B:$B,"Квартиры новостройка",Авито!$C:$C,$C30)</f>
        <v/>
      </c>
      <c r="G30" s="22">
        <f>SUMIFS(Домклик!$D:$D,Домклик!$A:$A,"Покупка",Домклик!$B:$B,"Квартиры новостройки",Домклик!$C:$C,$C30)</f>
        <v/>
      </c>
      <c r="H30" s="21">
        <f>IFERROR(INDEX($D$1:$G$1,MATCH(MAX(D30:G30),D30:G30,0)),"")</f>
        <v/>
      </c>
    </row>
    <row r="31">
      <c r="A31" s="21" t="inlineStr">
        <is>
          <t>Продажа</t>
        </is>
      </c>
      <c r="B31" s="21" t="inlineStr">
        <is>
          <t>Квартиры — новостройки</t>
        </is>
      </c>
      <c r="C31" s="21" t="inlineStr">
        <is>
          <t>Ростов-на-Дону</t>
        </is>
      </c>
      <c r="D31" s="22">
        <f>SUMIFS(ЦИАН!$D:$D,ЦИАН!$A:$A,"Продажи квартир",ЦИАН!$B:$B,"Квартиры в новостройках",ЦИАН!$C:$C,$C31)</f>
        <v/>
      </c>
      <c r="E31" s="22">
        <f>SUMIFS(Яндекс!$D:$D,Яндекс!$A:$A,"Купить",Яндекс!$B:$B,"Квартира в новостройке",Яндекс!$C:$C,$C31)</f>
        <v/>
      </c>
      <c r="F31" s="22">
        <f>SUMIFS(Авито!$E:$E,Авито!$A:$A,"Продажа",Авито!$B:$B,"Квартиры новостройка",Авито!$C:$C,$C31)</f>
        <v/>
      </c>
      <c r="G31" s="22">
        <f>SUMIFS(Домклик!$D:$D,Домклик!$A:$A,"Покупка",Домклик!$B:$B,"Квартиры новостройки",Домклик!$C:$C,$C31)</f>
        <v/>
      </c>
      <c r="H31" s="21">
        <f>IFERROR(INDEX($D$1:$G$1,MATCH(MAX(D31:G31),D31:G31,0)),"")</f>
        <v/>
      </c>
    </row>
    <row r="32">
      <c r="A32" s="21" t="inlineStr">
        <is>
          <t>Продажа</t>
        </is>
      </c>
      <c r="B32" s="21" t="inlineStr">
        <is>
          <t>Квартиры — новостройки</t>
        </is>
      </c>
      <c r="C32" s="21" t="inlineStr">
        <is>
          <t>Омск</t>
        </is>
      </c>
      <c r="D32" s="22">
        <f>SUMIFS(ЦИАН!$D:$D,ЦИАН!$A:$A,"Продажи квартир",ЦИАН!$B:$B,"Квартиры в новостройках",ЦИАН!$C:$C,$C32)</f>
        <v/>
      </c>
      <c r="E32" s="22">
        <f>SUMIFS(Яндекс!$D:$D,Яндекс!$A:$A,"Купить",Яндекс!$B:$B,"Квартира в новостройке",Яндекс!$C:$C,$C32)</f>
        <v/>
      </c>
      <c r="F32" s="22">
        <f>SUMIFS(Авито!$E:$E,Авито!$A:$A,"Продажа",Авито!$B:$B,"Квартиры новостройка",Авито!$C:$C,$C32)</f>
        <v/>
      </c>
      <c r="G32" s="22">
        <f>SUMIFS(Домклик!$D:$D,Домклик!$A:$A,"Покупка",Домклик!$B:$B,"Квартиры новостройки",Домклик!$C:$C,$C32)</f>
        <v/>
      </c>
      <c r="H32" s="21">
        <f>IFERROR(INDEX($D$1:$G$1,MATCH(MAX(D32:G32),D32:G32,0)),"")</f>
        <v/>
      </c>
    </row>
    <row r="33">
      <c r="A33" s="21" t="inlineStr">
        <is>
          <t>Продажа</t>
        </is>
      </c>
      <c r="B33" s="21" t="inlineStr">
        <is>
          <t>Квартиры — новостройки</t>
        </is>
      </c>
      <c r="C33" s="21" t="inlineStr">
        <is>
          <t>Воронеж</t>
        </is>
      </c>
      <c r="D33" s="22">
        <f>SUMIFS(ЦИАН!$D:$D,ЦИАН!$A:$A,"Продажи квартир",ЦИАН!$B:$B,"Квартиры в новостройках",ЦИАН!$C:$C,$C33)</f>
        <v/>
      </c>
      <c r="E33" s="22">
        <f>SUMIFS(Яндекс!$D:$D,Яндекс!$A:$A,"Купить",Яндекс!$B:$B,"Квартира в новостройке",Яндекс!$C:$C,$C33)</f>
        <v/>
      </c>
      <c r="F33" s="22">
        <f>SUMIFS(Авито!$E:$E,Авито!$A:$A,"Продажа",Авито!$B:$B,"Квартиры новостройка",Авито!$C:$C,$C33)</f>
        <v/>
      </c>
      <c r="G33" s="22">
        <f>SUMIFS(Домклик!$D:$D,Домклик!$A:$A,"Покупка",Домклик!$B:$B,"Квартиры новостройки",Домклик!$C:$C,$C33)</f>
        <v/>
      </c>
      <c r="H33" s="21">
        <f>IFERROR(INDEX($D$1:$G$1,MATCH(MAX(D33:G33),D33:G33,0)),"")</f>
        <v/>
      </c>
    </row>
    <row r="34">
      <c r="A34" s="21" t="inlineStr">
        <is>
          <t>Продажа</t>
        </is>
      </c>
      <c r="B34" s="21" t="inlineStr">
        <is>
          <t>Квартиры — новостройки</t>
        </is>
      </c>
      <c r="C34" s="21" t="inlineStr">
        <is>
          <t>Пермь</t>
        </is>
      </c>
      <c r="D34" s="22">
        <f>SUMIFS(ЦИАН!$D:$D,ЦИАН!$A:$A,"Продажи квартир",ЦИАН!$B:$B,"Квартиры в новостройках",ЦИАН!$C:$C,$C34)</f>
        <v/>
      </c>
      <c r="E34" s="22">
        <f>SUMIFS(Яндекс!$D:$D,Яндекс!$A:$A,"Купить",Яндекс!$B:$B,"Квартира в новостройке",Яндекс!$C:$C,$C34)</f>
        <v/>
      </c>
      <c r="F34" s="22">
        <f>SUMIFS(Авито!$E:$E,Авито!$A:$A,"Продажа",Авито!$B:$B,"Квартиры новостройка",Авито!$C:$C,$C34)</f>
        <v/>
      </c>
      <c r="G34" s="22">
        <f>SUMIFS(Домклик!$D:$D,Домклик!$A:$A,"Покупка",Домклик!$B:$B,"Квартиры новостройки",Домклик!$C:$C,$C34)</f>
        <v/>
      </c>
      <c r="H34" s="21">
        <f>IFERROR(INDEX($D$1:$G$1,MATCH(MAX(D34:G34),D34:G34,0)),"")</f>
        <v/>
      </c>
    </row>
    <row r="35">
      <c r="A35" s="21" t="inlineStr">
        <is>
          <t>Продажа</t>
        </is>
      </c>
      <c r="B35" s="21" t="inlineStr">
        <is>
          <t>Квартиры — новостройки</t>
        </is>
      </c>
      <c r="C35" s="21" t="inlineStr">
        <is>
          <t>Волгоград</t>
        </is>
      </c>
      <c r="D35" s="22">
        <f>SUMIFS(ЦИАН!$D:$D,ЦИАН!$A:$A,"Продажи квартир",ЦИАН!$B:$B,"Квартиры в новостройках",ЦИАН!$C:$C,$C35)</f>
        <v/>
      </c>
      <c r="E35" s="22">
        <f>SUMIFS(Яндекс!$D:$D,Яндекс!$A:$A,"Купить",Яндекс!$B:$B,"Квартира в новостройке",Яндекс!$C:$C,$C35)</f>
        <v/>
      </c>
      <c r="F35" s="22">
        <f>SUMIFS(Авито!$E:$E,Авито!$A:$A,"Продажа",Авито!$B:$B,"Квартиры новостройка",Авито!$C:$C,$C35)</f>
        <v/>
      </c>
      <c r="G35" s="22">
        <f>SUMIFS(Домклик!$D:$D,Домклик!$A:$A,"Покупка",Домклик!$B:$B,"Квартиры новостройки",Домклик!$C:$C,$C35)</f>
        <v/>
      </c>
      <c r="H35" s="21">
        <f>IFERROR(INDEX($D$1:$G$1,MATCH(MAX(D35:G35),D35:G35,0)),"")</f>
        <v/>
      </c>
    </row>
    <row r="36">
      <c r="A36" s="27" t="inlineStr">
        <is>
          <t>Продажа</t>
        </is>
      </c>
      <c r="B36" s="17" t="inlineStr">
        <is>
          <t>Квартиры — вторичка</t>
        </is>
      </c>
      <c r="C36" s="28" t="inlineStr">
        <is>
          <t>🇷🇺 Вся Россия</t>
        </is>
      </c>
      <c r="D36" s="19">
        <f>SUMIFS(ЦИАН!$D:$D,ЦИАН!$A:$A,"Продажи квартир",ЦИАН!$B:$B,"Квартиры во вторичке",ЦИАН!$C:$C,$C36)</f>
        <v/>
      </c>
      <c r="E36" s="19">
        <f>SUMIFS(Яндекс!$D:$D,Яндекс!$A:$A,"Купить",Яндекс!$B:$B,"Квартира во вторичке",Яндекс!$C:$C,$C36)</f>
        <v/>
      </c>
      <c r="F36" s="19">
        <f>SUMIFS(Авито!$E:$E,Авито!$A:$A,"Продажа",Авито!$B:$B,"Квартиры вторичка",Авито!$C:$C,$C36)</f>
        <v/>
      </c>
      <c r="G36" s="19">
        <f>SUMIFS(Домклик!$D:$D,Домклик!$A:$A,"Покупка",Домклик!$B:$B,"Квартиры вторичка",Домклик!$C:$C,$C36)</f>
        <v/>
      </c>
      <c r="H36" s="18">
        <f>IFERROR(INDEX($D$1:$G$1,MATCH(MAX(D36:G36),D36:G36,0)),"")</f>
        <v/>
      </c>
    </row>
    <row r="37">
      <c r="A37" s="21" t="inlineStr">
        <is>
          <t>Продажа</t>
        </is>
      </c>
      <c r="B37" s="21" t="inlineStr">
        <is>
          <t>Квартиры — вторичка</t>
        </is>
      </c>
      <c r="C37" s="21" t="inlineStr">
        <is>
          <t>Москва</t>
        </is>
      </c>
      <c r="D37" s="22">
        <f>SUMIFS(ЦИАН!$D:$D,ЦИАН!$A:$A,"Продажи квартир",ЦИАН!$B:$B,"Квартиры во вторичке",ЦИАН!$C:$C,$C37)</f>
        <v/>
      </c>
      <c r="E37" s="22">
        <f>SUMIFS(Яндекс!$D:$D,Яндекс!$A:$A,"Купить",Яндекс!$B:$B,"Квартира во вторичке",Яндекс!$C:$C,$C37)</f>
        <v/>
      </c>
      <c r="F37" s="22">
        <f>SUMIFS(Авито!$E:$E,Авито!$A:$A,"Продажа",Авито!$B:$B,"Квартиры вторичка",Авито!$C:$C,$C37)</f>
        <v/>
      </c>
      <c r="G37" s="22">
        <f>SUMIFS(Домклик!$D:$D,Домклик!$A:$A,"Покупка",Домклик!$B:$B,"Квартиры вторичка",Домклик!$C:$C,$C37)</f>
        <v/>
      </c>
      <c r="H37" s="21">
        <f>IFERROR(INDEX($D$1:$G$1,MATCH(MAX(D37:G37),D37:G37,0)),"")</f>
        <v/>
      </c>
    </row>
    <row r="38">
      <c r="A38" s="21" t="inlineStr">
        <is>
          <t>Продажа</t>
        </is>
      </c>
      <c r="B38" s="21" t="inlineStr">
        <is>
          <t>Квартиры — вторичка</t>
        </is>
      </c>
      <c r="C38" s="21" t="inlineStr">
        <is>
          <t>Санкт-Петербург</t>
        </is>
      </c>
      <c r="D38" s="22">
        <f>SUMIFS(ЦИАН!$D:$D,ЦИАН!$A:$A,"Продажи квартир",ЦИАН!$B:$B,"Квартиры во вторичке",ЦИАН!$C:$C,$C38)</f>
        <v/>
      </c>
      <c r="E38" s="22">
        <f>SUMIFS(Яндекс!$D:$D,Яндекс!$A:$A,"Купить",Яндекс!$B:$B,"Квартира во вторичке",Яндекс!$C:$C,$C38)</f>
        <v/>
      </c>
      <c r="F38" s="22">
        <f>SUMIFS(Авито!$E:$E,Авито!$A:$A,"Продажа",Авито!$B:$B,"Квартиры вторичка",Авито!$C:$C,$C38)</f>
        <v/>
      </c>
      <c r="G38" s="22">
        <f>SUMIFS(Домклик!$D:$D,Домклик!$A:$A,"Покупка",Домклик!$B:$B,"Квартиры вторичка",Домклик!$C:$C,$C38)</f>
        <v/>
      </c>
      <c r="H38" s="21">
        <f>IFERROR(INDEX($D$1:$G$1,MATCH(MAX(D38:G38),D38:G38,0)),"")</f>
        <v/>
      </c>
    </row>
    <row r="39">
      <c r="A39" s="21" t="inlineStr">
        <is>
          <t>Продажа</t>
        </is>
      </c>
      <c r="B39" s="21" t="inlineStr">
        <is>
          <t>Квартиры — вторичка</t>
        </is>
      </c>
      <c r="C39" s="21" t="inlineStr">
        <is>
          <t>Новосибирск</t>
        </is>
      </c>
      <c r="D39" s="22">
        <f>SUMIFS(ЦИАН!$D:$D,ЦИАН!$A:$A,"Продажи квартир",ЦИАН!$B:$B,"Квартиры во вторичке",ЦИАН!$C:$C,$C39)</f>
        <v/>
      </c>
      <c r="E39" s="22">
        <f>SUMIFS(Яндекс!$D:$D,Яндекс!$A:$A,"Купить",Яндекс!$B:$B,"Квартира во вторичке",Яндекс!$C:$C,$C39)</f>
        <v/>
      </c>
      <c r="F39" s="22">
        <f>SUMIFS(Авито!$E:$E,Авито!$A:$A,"Продажа",Авито!$B:$B,"Квартиры вторичка",Авито!$C:$C,$C39)</f>
        <v/>
      </c>
      <c r="G39" s="22">
        <f>SUMIFS(Домклик!$D:$D,Домклик!$A:$A,"Покупка",Домклик!$B:$B,"Квартиры вторичка",Домклик!$C:$C,$C39)</f>
        <v/>
      </c>
      <c r="H39" s="21">
        <f>IFERROR(INDEX($D$1:$G$1,MATCH(MAX(D39:G39),D39:G39,0)),"")</f>
        <v/>
      </c>
    </row>
    <row r="40">
      <c r="A40" s="21" t="inlineStr">
        <is>
          <t>Продажа</t>
        </is>
      </c>
      <c r="B40" s="21" t="inlineStr">
        <is>
          <t>Квартиры — вторичка</t>
        </is>
      </c>
      <c r="C40" s="21" t="inlineStr">
        <is>
          <t>Екатеринбург</t>
        </is>
      </c>
      <c r="D40" s="22">
        <f>SUMIFS(ЦИАН!$D:$D,ЦИАН!$A:$A,"Продажи квартир",ЦИАН!$B:$B,"Квартиры во вторичке",ЦИАН!$C:$C,$C40)</f>
        <v/>
      </c>
      <c r="E40" s="22">
        <f>SUMIFS(Яндекс!$D:$D,Яндекс!$A:$A,"Купить",Яндекс!$B:$B,"Квартира во вторичке",Яндекс!$C:$C,$C40)</f>
        <v/>
      </c>
      <c r="F40" s="22">
        <f>SUMIFS(Авито!$E:$E,Авито!$A:$A,"Продажа",Авито!$B:$B,"Квартиры вторичка",Авито!$C:$C,$C40)</f>
        <v/>
      </c>
      <c r="G40" s="22">
        <f>SUMIFS(Домклик!$D:$D,Домклик!$A:$A,"Покупка",Домклик!$B:$B,"Квартиры вторичка",Домклик!$C:$C,$C40)</f>
        <v/>
      </c>
      <c r="H40" s="21">
        <f>IFERROR(INDEX($D$1:$G$1,MATCH(MAX(D40:G40),D40:G40,0)),"")</f>
        <v/>
      </c>
    </row>
    <row r="41">
      <c r="A41" s="21" t="inlineStr">
        <is>
          <t>Продажа</t>
        </is>
      </c>
      <c r="B41" s="21" t="inlineStr">
        <is>
          <t>Квартиры — вторичка</t>
        </is>
      </c>
      <c r="C41" s="21" t="inlineStr">
        <is>
          <t>Казань</t>
        </is>
      </c>
      <c r="D41" s="22">
        <f>SUMIFS(ЦИАН!$D:$D,ЦИАН!$A:$A,"Продажи квартир",ЦИАН!$B:$B,"Квартиры во вторичке",ЦИАН!$C:$C,$C41)</f>
        <v/>
      </c>
      <c r="E41" s="22">
        <f>SUMIFS(Яндекс!$D:$D,Яндекс!$A:$A,"Купить",Яндекс!$B:$B,"Квартира во вторичке",Яндекс!$C:$C,$C41)</f>
        <v/>
      </c>
      <c r="F41" s="22">
        <f>SUMIFS(Авито!$E:$E,Авито!$A:$A,"Продажа",Авито!$B:$B,"Квартиры вторичка",Авито!$C:$C,$C41)</f>
        <v/>
      </c>
      <c r="G41" s="22">
        <f>SUMIFS(Домклик!$D:$D,Домклик!$A:$A,"Покупка",Домклик!$B:$B,"Квартиры вторичка",Домклик!$C:$C,$C41)</f>
        <v/>
      </c>
      <c r="H41" s="21">
        <f>IFERROR(INDEX($D$1:$G$1,MATCH(MAX(D41:G41),D41:G41,0)),"")</f>
        <v/>
      </c>
    </row>
    <row r="42">
      <c r="A42" s="21" t="inlineStr">
        <is>
          <t>Продажа</t>
        </is>
      </c>
      <c r="B42" s="21" t="inlineStr">
        <is>
          <t>Квартиры — вторичка</t>
        </is>
      </c>
      <c r="C42" s="21" t="inlineStr">
        <is>
          <t>Красноярск</t>
        </is>
      </c>
      <c r="D42" s="22">
        <f>SUMIFS(ЦИАН!$D:$D,ЦИАН!$A:$A,"Продажи квартир",ЦИАН!$B:$B,"Квартиры во вторичке",ЦИАН!$C:$C,$C42)</f>
        <v/>
      </c>
      <c r="E42" s="22">
        <f>SUMIFS(Яндекс!$D:$D,Яндекс!$A:$A,"Купить",Яндекс!$B:$B,"Квартира во вторичке",Яндекс!$C:$C,$C42)</f>
        <v/>
      </c>
      <c r="F42" s="22">
        <f>SUMIFS(Авито!$E:$E,Авито!$A:$A,"Продажа",Авито!$B:$B,"Квартиры вторичка",Авито!$C:$C,$C42)</f>
        <v/>
      </c>
      <c r="G42" s="22">
        <f>SUMIFS(Домклик!$D:$D,Домклик!$A:$A,"Покупка",Домклик!$B:$B,"Квартиры вторичка",Домклик!$C:$C,$C42)</f>
        <v/>
      </c>
      <c r="H42" s="21">
        <f>IFERROR(INDEX($D$1:$G$1,MATCH(MAX(D42:G42),D42:G42,0)),"")</f>
        <v/>
      </c>
    </row>
    <row r="43">
      <c r="A43" s="21" t="inlineStr">
        <is>
          <t>Продажа</t>
        </is>
      </c>
      <c r="B43" s="21" t="inlineStr">
        <is>
          <t>Квартиры — вторичка</t>
        </is>
      </c>
      <c r="C43" s="21" t="inlineStr">
        <is>
          <t>Нижний Новгород</t>
        </is>
      </c>
      <c r="D43" s="22">
        <f>SUMIFS(ЦИАН!$D:$D,ЦИАН!$A:$A,"Продажи квартир",ЦИАН!$B:$B,"Квартиры во вторичке",ЦИАН!$C:$C,$C43)</f>
        <v/>
      </c>
      <c r="E43" s="22">
        <f>SUMIFS(Яндекс!$D:$D,Яндекс!$A:$A,"Купить",Яндекс!$B:$B,"Квартира во вторичке",Яндекс!$C:$C,$C43)</f>
        <v/>
      </c>
      <c r="F43" s="22">
        <f>SUMIFS(Авито!$E:$E,Авито!$A:$A,"Продажа",Авито!$B:$B,"Квартиры вторичка",Авито!$C:$C,$C43)</f>
        <v/>
      </c>
      <c r="G43" s="22">
        <f>SUMIFS(Домклик!$D:$D,Домклик!$A:$A,"Покупка",Домклик!$B:$B,"Квартиры вторичка",Домклик!$C:$C,$C43)</f>
        <v/>
      </c>
      <c r="H43" s="21">
        <f>IFERROR(INDEX($D$1:$G$1,MATCH(MAX(D43:G43),D43:G43,0)),"")</f>
        <v/>
      </c>
    </row>
    <row r="44">
      <c r="A44" s="21" t="inlineStr">
        <is>
          <t>Продажа</t>
        </is>
      </c>
      <c r="B44" s="21" t="inlineStr">
        <is>
          <t>Квартиры — вторичка</t>
        </is>
      </c>
      <c r="C44" s="21" t="inlineStr">
        <is>
          <t>Челябинск</t>
        </is>
      </c>
      <c r="D44" s="22">
        <f>SUMIFS(ЦИАН!$D:$D,ЦИАН!$A:$A,"Продажи квартир",ЦИАН!$B:$B,"Квартиры во вторичке",ЦИАН!$C:$C,$C44)</f>
        <v/>
      </c>
      <c r="E44" s="22">
        <f>SUMIFS(Яндекс!$D:$D,Яндекс!$A:$A,"Купить",Яндекс!$B:$B,"Квартира во вторичке",Яндекс!$C:$C,$C44)</f>
        <v/>
      </c>
      <c r="F44" s="22">
        <f>SUMIFS(Авито!$E:$E,Авито!$A:$A,"Продажа",Авито!$B:$B,"Квартиры вторичка",Авито!$C:$C,$C44)</f>
        <v/>
      </c>
      <c r="G44" s="22">
        <f>SUMIFS(Домклик!$D:$D,Домклик!$A:$A,"Покупка",Домклик!$B:$B,"Квартиры вторичка",Домклик!$C:$C,$C44)</f>
        <v/>
      </c>
      <c r="H44" s="21">
        <f>IFERROR(INDEX($D$1:$G$1,MATCH(MAX(D44:G44),D44:G44,0)),"")</f>
        <v/>
      </c>
    </row>
    <row r="45">
      <c r="A45" s="21" t="inlineStr">
        <is>
          <t>Продажа</t>
        </is>
      </c>
      <c r="B45" s="21" t="inlineStr">
        <is>
          <t>Квартиры — вторичка</t>
        </is>
      </c>
      <c r="C45" s="21" t="inlineStr">
        <is>
          <t>Уфа</t>
        </is>
      </c>
      <c r="D45" s="22">
        <f>SUMIFS(ЦИАН!$D:$D,ЦИАН!$A:$A,"Продажи квартир",ЦИАН!$B:$B,"Квартиры во вторичке",ЦИАН!$C:$C,$C45)</f>
        <v/>
      </c>
      <c r="E45" s="22">
        <f>SUMIFS(Яндекс!$D:$D,Яндекс!$A:$A,"Купить",Яндекс!$B:$B,"Квартира во вторичке",Яндекс!$C:$C,$C45)</f>
        <v/>
      </c>
      <c r="F45" s="22">
        <f>SUMIFS(Авито!$E:$E,Авито!$A:$A,"Продажа",Авито!$B:$B,"Квартиры вторичка",Авито!$C:$C,$C45)</f>
        <v/>
      </c>
      <c r="G45" s="22">
        <f>SUMIFS(Домклик!$D:$D,Домклик!$A:$A,"Покупка",Домклик!$B:$B,"Квартиры вторичка",Домклик!$C:$C,$C45)</f>
        <v/>
      </c>
      <c r="H45" s="21">
        <f>IFERROR(INDEX($D$1:$G$1,MATCH(MAX(D45:G45),D45:G45,0)),"")</f>
        <v/>
      </c>
    </row>
    <row r="46">
      <c r="A46" s="21" t="inlineStr">
        <is>
          <t>Продажа</t>
        </is>
      </c>
      <c r="B46" s="21" t="inlineStr">
        <is>
          <t>Квартиры — вторичка</t>
        </is>
      </c>
      <c r="C46" s="21" t="inlineStr">
        <is>
          <t>Краснодар</t>
        </is>
      </c>
      <c r="D46" s="22">
        <f>SUMIFS(ЦИАН!$D:$D,ЦИАН!$A:$A,"Продажи квартир",ЦИАН!$B:$B,"Квартиры во вторичке",ЦИАН!$C:$C,$C46)</f>
        <v/>
      </c>
      <c r="E46" s="22">
        <f>SUMIFS(Яндекс!$D:$D,Яндекс!$A:$A,"Купить",Яндекс!$B:$B,"Квартира во вторичке",Яндекс!$C:$C,$C46)</f>
        <v/>
      </c>
      <c r="F46" s="22">
        <f>SUMIFS(Авито!$E:$E,Авито!$A:$A,"Продажа",Авито!$B:$B,"Квартиры вторичка",Авито!$C:$C,$C46)</f>
        <v/>
      </c>
      <c r="G46" s="22">
        <f>SUMIFS(Домклик!$D:$D,Домклик!$A:$A,"Покупка",Домклик!$B:$B,"Квартиры вторичка",Домклик!$C:$C,$C46)</f>
        <v/>
      </c>
      <c r="H46" s="21">
        <f>IFERROR(INDEX($D$1:$G$1,MATCH(MAX(D46:G46),D46:G46,0)),"")</f>
        <v/>
      </c>
    </row>
    <row r="47">
      <c r="A47" s="21" t="inlineStr">
        <is>
          <t>Продажа</t>
        </is>
      </c>
      <c r="B47" s="21" t="inlineStr">
        <is>
          <t>Квартиры — вторичка</t>
        </is>
      </c>
      <c r="C47" s="21" t="inlineStr">
        <is>
          <t>Самара</t>
        </is>
      </c>
      <c r="D47" s="22">
        <f>SUMIFS(ЦИАН!$D:$D,ЦИАН!$A:$A,"Продажи квартир",ЦИАН!$B:$B,"Квартиры во вторичке",ЦИАН!$C:$C,$C47)</f>
        <v/>
      </c>
      <c r="E47" s="22">
        <f>SUMIFS(Яндекс!$D:$D,Яндекс!$A:$A,"Купить",Яндекс!$B:$B,"Квартира во вторичке",Яндекс!$C:$C,$C47)</f>
        <v/>
      </c>
      <c r="F47" s="22">
        <f>SUMIFS(Авито!$E:$E,Авито!$A:$A,"Продажа",Авито!$B:$B,"Квартиры вторичка",Авито!$C:$C,$C47)</f>
        <v/>
      </c>
      <c r="G47" s="22">
        <f>SUMIFS(Домклик!$D:$D,Домклик!$A:$A,"Покупка",Домклик!$B:$B,"Квартиры вторичка",Домклик!$C:$C,$C47)</f>
        <v/>
      </c>
      <c r="H47" s="21">
        <f>IFERROR(INDEX($D$1:$G$1,MATCH(MAX(D47:G47),D47:G47,0)),"")</f>
        <v/>
      </c>
    </row>
    <row r="48">
      <c r="A48" s="21" t="inlineStr">
        <is>
          <t>Продажа</t>
        </is>
      </c>
      <c r="B48" s="21" t="inlineStr">
        <is>
          <t>Квартиры — вторичка</t>
        </is>
      </c>
      <c r="C48" s="21" t="inlineStr">
        <is>
          <t>Ростов-на-Дону</t>
        </is>
      </c>
      <c r="D48" s="22">
        <f>SUMIFS(ЦИАН!$D:$D,ЦИАН!$A:$A,"Продажи квартир",ЦИАН!$B:$B,"Квартиры во вторичке",ЦИАН!$C:$C,$C48)</f>
        <v/>
      </c>
      <c r="E48" s="22">
        <f>SUMIFS(Яндекс!$D:$D,Яндекс!$A:$A,"Купить",Яндекс!$B:$B,"Квартира во вторичке",Яндекс!$C:$C,$C48)</f>
        <v/>
      </c>
      <c r="F48" s="22">
        <f>SUMIFS(Авито!$E:$E,Авито!$A:$A,"Продажа",Авито!$B:$B,"Квартиры вторичка",Авито!$C:$C,$C48)</f>
        <v/>
      </c>
      <c r="G48" s="22">
        <f>SUMIFS(Домклик!$D:$D,Домклик!$A:$A,"Покупка",Домклик!$B:$B,"Квартиры вторичка",Домклик!$C:$C,$C48)</f>
        <v/>
      </c>
      <c r="H48" s="21">
        <f>IFERROR(INDEX($D$1:$G$1,MATCH(MAX(D48:G48),D48:G48,0)),"")</f>
        <v/>
      </c>
    </row>
    <row r="49">
      <c r="A49" s="21" t="inlineStr">
        <is>
          <t>Продажа</t>
        </is>
      </c>
      <c r="B49" s="21" t="inlineStr">
        <is>
          <t>Квартиры — вторичка</t>
        </is>
      </c>
      <c r="C49" s="21" t="inlineStr">
        <is>
          <t>Омск</t>
        </is>
      </c>
      <c r="D49" s="22">
        <f>SUMIFS(ЦИАН!$D:$D,ЦИАН!$A:$A,"Продажи квартир",ЦИАН!$B:$B,"Квартиры во вторичке",ЦИАН!$C:$C,$C49)</f>
        <v/>
      </c>
      <c r="E49" s="22">
        <f>SUMIFS(Яндекс!$D:$D,Яндекс!$A:$A,"Купить",Яндекс!$B:$B,"Квартира во вторичке",Яндекс!$C:$C,$C49)</f>
        <v/>
      </c>
      <c r="F49" s="22">
        <f>SUMIFS(Авито!$E:$E,Авито!$A:$A,"Продажа",Авито!$B:$B,"Квартиры вторичка",Авито!$C:$C,$C49)</f>
        <v/>
      </c>
      <c r="G49" s="22">
        <f>SUMIFS(Домклик!$D:$D,Домклик!$A:$A,"Покупка",Домклик!$B:$B,"Квартиры вторичка",Домклик!$C:$C,$C49)</f>
        <v/>
      </c>
      <c r="H49" s="21">
        <f>IFERROR(INDEX($D$1:$G$1,MATCH(MAX(D49:G49),D49:G49,0)),"")</f>
        <v/>
      </c>
    </row>
    <row r="50">
      <c r="A50" s="21" t="inlineStr">
        <is>
          <t>Продажа</t>
        </is>
      </c>
      <c r="B50" s="21" t="inlineStr">
        <is>
          <t>Квартиры — вторичка</t>
        </is>
      </c>
      <c r="C50" s="21" t="inlineStr">
        <is>
          <t>Воронеж</t>
        </is>
      </c>
      <c r="D50" s="22">
        <f>SUMIFS(ЦИАН!$D:$D,ЦИАН!$A:$A,"Продажи квартир",ЦИАН!$B:$B,"Квартиры во вторичке",ЦИАН!$C:$C,$C50)</f>
        <v/>
      </c>
      <c r="E50" s="22">
        <f>SUMIFS(Яндекс!$D:$D,Яндекс!$A:$A,"Купить",Яндекс!$B:$B,"Квартира во вторичке",Яндекс!$C:$C,$C50)</f>
        <v/>
      </c>
      <c r="F50" s="22">
        <f>SUMIFS(Авито!$E:$E,Авито!$A:$A,"Продажа",Авито!$B:$B,"Квартиры вторичка",Авито!$C:$C,$C50)</f>
        <v/>
      </c>
      <c r="G50" s="22">
        <f>SUMIFS(Домклик!$D:$D,Домклик!$A:$A,"Покупка",Домклик!$B:$B,"Квартиры вторичка",Домклик!$C:$C,$C50)</f>
        <v/>
      </c>
      <c r="H50" s="21">
        <f>IFERROR(INDEX($D$1:$G$1,MATCH(MAX(D50:G50),D50:G50,0)),"")</f>
        <v/>
      </c>
    </row>
    <row r="51">
      <c r="A51" s="21" t="inlineStr">
        <is>
          <t>Продажа</t>
        </is>
      </c>
      <c r="B51" s="21" t="inlineStr">
        <is>
          <t>Квартиры — вторичка</t>
        </is>
      </c>
      <c r="C51" s="21" t="inlineStr">
        <is>
          <t>Пермь</t>
        </is>
      </c>
      <c r="D51" s="22">
        <f>SUMIFS(ЦИАН!$D:$D,ЦИАН!$A:$A,"Продажи квартир",ЦИАН!$B:$B,"Квартиры во вторичке",ЦИАН!$C:$C,$C51)</f>
        <v/>
      </c>
      <c r="E51" s="22">
        <f>SUMIFS(Яндекс!$D:$D,Яндекс!$A:$A,"Купить",Яндекс!$B:$B,"Квартира во вторичке",Яндекс!$C:$C,$C51)</f>
        <v/>
      </c>
      <c r="F51" s="22">
        <f>SUMIFS(Авито!$E:$E,Авито!$A:$A,"Продажа",Авито!$B:$B,"Квартиры вторичка",Авито!$C:$C,$C51)</f>
        <v/>
      </c>
      <c r="G51" s="22">
        <f>SUMIFS(Домклик!$D:$D,Домклик!$A:$A,"Покупка",Домклик!$B:$B,"Квартиры вторичка",Домклик!$C:$C,$C51)</f>
        <v/>
      </c>
      <c r="H51" s="21">
        <f>IFERROR(INDEX($D$1:$G$1,MATCH(MAX(D51:G51),D51:G51,0)),"")</f>
        <v/>
      </c>
    </row>
    <row r="52">
      <c r="A52" s="21" t="inlineStr">
        <is>
          <t>Продажа</t>
        </is>
      </c>
      <c r="B52" s="21" t="inlineStr">
        <is>
          <t>Квартиры — вторичка</t>
        </is>
      </c>
      <c r="C52" s="21" t="inlineStr">
        <is>
          <t>Волгоград</t>
        </is>
      </c>
      <c r="D52" s="22">
        <f>SUMIFS(ЦИАН!$D:$D,ЦИАН!$A:$A,"Продажи квартир",ЦИАН!$B:$B,"Квартиры во вторичке",ЦИАН!$C:$C,$C52)</f>
        <v/>
      </c>
      <c r="E52" s="22">
        <f>SUMIFS(Яндекс!$D:$D,Яндекс!$A:$A,"Купить",Яндекс!$B:$B,"Квартира во вторичке",Яндекс!$C:$C,$C52)</f>
        <v/>
      </c>
      <c r="F52" s="22">
        <f>SUMIFS(Авито!$E:$E,Авито!$A:$A,"Продажа",Авито!$B:$B,"Квартиры вторичка",Авито!$C:$C,$C52)</f>
        <v/>
      </c>
      <c r="G52" s="22">
        <f>SUMIFS(Домклик!$D:$D,Домклик!$A:$A,"Покупка",Домклик!$B:$B,"Квартиры вторичка",Домклик!$C:$C,$C52)</f>
        <v/>
      </c>
      <c r="H52" s="21">
        <f>IFERROR(INDEX($D$1:$G$1,MATCH(MAX(D52:G52),D52:G52,0)),"")</f>
        <v/>
      </c>
    </row>
    <row r="53">
      <c r="A53" s="27" t="inlineStr">
        <is>
          <t>Продажа</t>
        </is>
      </c>
      <c r="B53" s="17" t="inlineStr">
        <is>
          <t>Комнаты</t>
        </is>
      </c>
      <c r="C53" s="28" t="inlineStr">
        <is>
          <t>🇷🇺 Вся Россия</t>
        </is>
      </c>
      <c r="D53" s="19">
        <f>SUMIFS(ЦИАН!$D:$D,ЦИАН!$A:$A,"Продажи квартир",ЦИАН!$B:$B,"Комнаты",ЦИАН!$C:$C,$C53)</f>
        <v/>
      </c>
      <c r="E53" s="19">
        <f>SUMIFS(Яндекс!$D:$D,Яндекс!$A:$A,"Купить",Яндекс!$B:$B,"Комната",Яндекс!$C:$C,$C53)</f>
        <v/>
      </c>
      <c r="F53" s="19">
        <f>SUMIFS(Авито!$E:$E,Авито!$A:$A,"Продажа",Авито!$B:$B,"Комнаты",Авито!$C:$C,$C53)</f>
        <v/>
      </c>
      <c r="G53" s="19">
        <f>SUMIFS(Домклик!$D:$D,Домклик!$A:$A,"Покупка",Домклик!$B:$B,"Комнаты",Домклик!$C:$C,$C53)</f>
        <v/>
      </c>
      <c r="H53" s="18">
        <f>IFERROR(INDEX($D$1:$G$1,MATCH(MAX(D53:G53),D53:G53,0)),"")</f>
        <v/>
      </c>
    </row>
    <row r="54">
      <c r="A54" s="21" t="inlineStr">
        <is>
          <t>Продажа</t>
        </is>
      </c>
      <c r="B54" s="21" t="inlineStr">
        <is>
          <t>Комнаты</t>
        </is>
      </c>
      <c r="C54" s="21" t="inlineStr">
        <is>
          <t>Москва</t>
        </is>
      </c>
      <c r="D54" s="22">
        <f>SUMIFS(ЦИАН!$D:$D,ЦИАН!$A:$A,"Продажи квартир",ЦИАН!$B:$B,"Комнаты",ЦИАН!$C:$C,$C54)</f>
        <v/>
      </c>
      <c r="E54" s="22">
        <f>SUMIFS(Яндекс!$D:$D,Яндекс!$A:$A,"Купить",Яндекс!$B:$B,"Комната",Яндекс!$C:$C,$C54)</f>
        <v/>
      </c>
      <c r="F54" s="22">
        <f>SUMIFS(Авито!$E:$E,Авито!$A:$A,"Продажа",Авито!$B:$B,"Комнаты",Авито!$C:$C,$C54)</f>
        <v/>
      </c>
      <c r="G54" s="22">
        <f>SUMIFS(Домклик!$D:$D,Домклик!$A:$A,"Покупка",Домклик!$B:$B,"Комнаты",Домклик!$C:$C,$C54)</f>
        <v/>
      </c>
      <c r="H54" s="21">
        <f>IFERROR(INDEX($D$1:$G$1,MATCH(MAX(D54:G54),D54:G54,0)),"")</f>
        <v/>
      </c>
    </row>
    <row r="55">
      <c r="A55" s="21" t="inlineStr">
        <is>
          <t>Продажа</t>
        </is>
      </c>
      <c r="B55" s="21" t="inlineStr">
        <is>
          <t>Комнаты</t>
        </is>
      </c>
      <c r="C55" s="21" t="inlineStr">
        <is>
          <t>Санкт-Петербург</t>
        </is>
      </c>
      <c r="D55" s="22">
        <f>SUMIFS(ЦИАН!$D:$D,ЦИАН!$A:$A,"Продажи квартир",ЦИАН!$B:$B,"Комнаты",ЦИАН!$C:$C,$C55)</f>
        <v/>
      </c>
      <c r="E55" s="22">
        <f>SUMIFS(Яндекс!$D:$D,Яндекс!$A:$A,"Купить",Яндекс!$B:$B,"Комната",Яндекс!$C:$C,$C55)</f>
        <v/>
      </c>
      <c r="F55" s="22">
        <f>SUMIFS(Авито!$E:$E,Авито!$A:$A,"Продажа",Авито!$B:$B,"Комнаты",Авито!$C:$C,$C55)</f>
        <v/>
      </c>
      <c r="G55" s="22">
        <f>SUMIFS(Домклик!$D:$D,Домклик!$A:$A,"Покупка",Домклик!$B:$B,"Комнаты",Домклик!$C:$C,$C55)</f>
        <v/>
      </c>
      <c r="H55" s="21">
        <f>IFERROR(INDEX($D$1:$G$1,MATCH(MAX(D55:G55),D55:G55,0)),"")</f>
        <v/>
      </c>
    </row>
    <row r="56">
      <c r="A56" s="21" t="inlineStr">
        <is>
          <t>Продажа</t>
        </is>
      </c>
      <c r="B56" s="21" t="inlineStr">
        <is>
          <t>Комнаты</t>
        </is>
      </c>
      <c r="C56" s="21" t="inlineStr">
        <is>
          <t>Новосибирск</t>
        </is>
      </c>
      <c r="D56" s="22">
        <f>SUMIFS(ЦИАН!$D:$D,ЦИАН!$A:$A,"Продажи квартир",ЦИАН!$B:$B,"Комнаты",ЦИАН!$C:$C,$C56)</f>
        <v/>
      </c>
      <c r="E56" s="22">
        <f>SUMIFS(Яндекс!$D:$D,Яндекс!$A:$A,"Купить",Яндекс!$B:$B,"Комната",Яндекс!$C:$C,$C56)</f>
        <v/>
      </c>
      <c r="F56" s="22">
        <f>SUMIFS(Авито!$E:$E,Авито!$A:$A,"Продажа",Авито!$B:$B,"Комнаты",Авито!$C:$C,$C56)</f>
        <v/>
      </c>
      <c r="G56" s="22">
        <f>SUMIFS(Домклик!$D:$D,Домклик!$A:$A,"Покупка",Домклик!$B:$B,"Комнаты",Домклик!$C:$C,$C56)</f>
        <v/>
      </c>
      <c r="H56" s="21">
        <f>IFERROR(INDEX($D$1:$G$1,MATCH(MAX(D56:G56),D56:G56,0)),"")</f>
        <v/>
      </c>
    </row>
    <row r="57">
      <c r="A57" s="21" t="inlineStr">
        <is>
          <t>Продажа</t>
        </is>
      </c>
      <c r="B57" s="21" t="inlineStr">
        <is>
          <t>Комнаты</t>
        </is>
      </c>
      <c r="C57" s="21" t="inlineStr">
        <is>
          <t>Екатеринбург</t>
        </is>
      </c>
      <c r="D57" s="22">
        <f>SUMIFS(ЦИАН!$D:$D,ЦИАН!$A:$A,"Продажи квартир",ЦИАН!$B:$B,"Комнаты",ЦИАН!$C:$C,$C57)</f>
        <v/>
      </c>
      <c r="E57" s="22">
        <f>SUMIFS(Яндекс!$D:$D,Яндекс!$A:$A,"Купить",Яндекс!$B:$B,"Комната",Яндекс!$C:$C,$C57)</f>
        <v/>
      </c>
      <c r="F57" s="22">
        <f>SUMIFS(Авито!$E:$E,Авито!$A:$A,"Продажа",Авито!$B:$B,"Комнаты",Авито!$C:$C,$C57)</f>
        <v/>
      </c>
      <c r="G57" s="22">
        <f>SUMIFS(Домклик!$D:$D,Домклик!$A:$A,"Покупка",Домклик!$B:$B,"Комнаты",Домклик!$C:$C,$C57)</f>
        <v/>
      </c>
      <c r="H57" s="21">
        <f>IFERROR(INDEX($D$1:$G$1,MATCH(MAX(D57:G57),D57:G57,0)),"")</f>
        <v/>
      </c>
    </row>
    <row r="58">
      <c r="A58" s="21" t="inlineStr">
        <is>
          <t>Продажа</t>
        </is>
      </c>
      <c r="B58" s="21" t="inlineStr">
        <is>
          <t>Комнаты</t>
        </is>
      </c>
      <c r="C58" s="21" t="inlineStr">
        <is>
          <t>Казань</t>
        </is>
      </c>
      <c r="D58" s="22">
        <f>SUMIFS(ЦИАН!$D:$D,ЦИАН!$A:$A,"Продажи квартир",ЦИАН!$B:$B,"Комнаты",ЦИАН!$C:$C,$C58)</f>
        <v/>
      </c>
      <c r="E58" s="22">
        <f>SUMIFS(Яндекс!$D:$D,Яндекс!$A:$A,"Купить",Яндекс!$B:$B,"Комната",Яндекс!$C:$C,$C58)</f>
        <v/>
      </c>
      <c r="F58" s="22">
        <f>SUMIFS(Авито!$E:$E,Авито!$A:$A,"Продажа",Авито!$B:$B,"Комнаты",Авито!$C:$C,$C58)</f>
        <v/>
      </c>
      <c r="G58" s="22">
        <f>SUMIFS(Домклик!$D:$D,Домклик!$A:$A,"Покупка",Домклик!$B:$B,"Комнаты",Домклик!$C:$C,$C58)</f>
        <v/>
      </c>
      <c r="H58" s="21">
        <f>IFERROR(INDEX($D$1:$G$1,MATCH(MAX(D58:G58),D58:G58,0)),"")</f>
        <v/>
      </c>
    </row>
    <row r="59">
      <c r="A59" s="21" t="inlineStr">
        <is>
          <t>Продажа</t>
        </is>
      </c>
      <c r="B59" s="21" t="inlineStr">
        <is>
          <t>Комнаты</t>
        </is>
      </c>
      <c r="C59" s="21" t="inlineStr">
        <is>
          <t>Красноярск</t>
        </is>
      </c>
      <c r="D59" s="22">
        <f>SUMIFS(ЦИАН!$D:$D,ЦИАН!$A:$A,"Продажи квартир",ЦИАН!$B:$B,"Комнаты",ЦИАН!$C:$C,$C59)</f>
        <v/>
      </c>
      <c r="E59" s="22">
        <f>SUMIFS(Яндекс!$D:$D,Яндекс!$A:$A,"Купить",Яндекс!$B:$B,"Комната",Яндекс!$C:$C,$C59)</f>
        <v/>
      </c>
      <c r="F59" s="22">
        <f>SUMIFS(Авито!$E:$E,Авито!$A:$A,"Продажа",Авито!$B:$B,"Комнаты",Авито!$C:$C,$C59)</f>
        <v/>
      </c>
      <c r="G59" s="22">
        <f>SUMIFS(Домклик!$D:$D,Домклик!$A:$A,"Покупка",Домклик!$B:$B,"Комнаты",Домклик!$C:$C,$C59)</f>
        <v/>
      </c>
      <c r="H59" s="21">
        <f>IFERROR(INDEX($D$1:$G$1,MATCH(MAX(D59:G59),D59:G59,0)),"")</f>
        <v/>
      </c>
    </row>
    <row r="60">
      <c r="A60" s="21" t="inlineStr">
        <is>
          <t>Продажа</t>
        </is>
      </c>
      <c r="B60" s="21" t="inlineStr">
        <is>
          <t>Комнаты</t>
        </is>
      </c>
      <c r="C60" s="21" t="inlineStr">
        <is>
          <t>Нижний Новгород</t>
        </is>
      </c>
      <c r="D60" s="22">
        <f>SUMIFS(ЦИАН!$D:$D,ЦИАН!$A:$A,"Продажи квартир",ЦИАН!$B:$B,"Комнаты",ЦИАН!$C:$C,$C60)</f>
        <v/>
      </c>
      <c r="E60" s="22">
        <f>SUMIFS(Яндекс!$D:$D,Яндекс!$A:$A,"Купить",Яндекс!$B:$B,"Комната",Яндекс!$C:$C,$C60)</f>
        <v/>
      </c>
      <c r="F60" s="22">
        <f>SUMIFS(Авито!$E:$E,Авито!$A:$A,"Продажа",Авито!$B:$B,"Комнаты",Авито!$C:$C,$C60)</f>
        <v/>
      </c>
      <c r="G60" s="22">
        <f>SUMIFS(Домклик!$D:$D,Домклик!$A:$A,"Покупка",Домклик!$B:$B,"Комнаты",Домклик!$C:$C,$C60)</f>
        <v/>
      </c>
      <c r="H60" s="21">
        <f>IFERROR(INDEX($D$1:$G$1,MATCH(MAX(D60:G60),D60:G60,0)),"")</f>
        <v/>
      </c>
    </row>
    <row r="61">
      <c r="A61" s="21" t="inlineStr">
        <is>
          <t>Продажа</t>
        </is>
      </c>
      <c r="B61" s="21" t="inlineStr">
        <is>
          <t>Комнаты</t>
        </is>
      </c>
      <c r="C61" s="21" t="inlineStr">
        <is>
          <t>Челябинск</t>
        </is>
      </c>
      <c r="D61" s="22">
        <f>SUMIFS(ЦИАН!$D:$D,ЦИАН!$A:$A,"Продажи квартир",ЦИАН!$B:$B,"Комнаты",ЦИАН!$C:$C,$C61)</f>
        <v/>
      </c>
      <c r="E61" s="22">
        <f>SUMIFS(Яндекс!$D:$D,Яндекс!$A:$A,"Купить",Яндекс!$B:$B,"Комната",Яндекс!$C:$C,$C61)</f>
        <v/>
      </c>
      <c r="F61" s="22">
        <f>SUMIFS(Авито!$E:$E,Авито!$A:$A,"Продажа",Авито!$B:$B,"Комнаты",Авито!$C:$C,$C61)</f>
        <v/>
      </c>
      <c r="G61" s="22">
        <f>SUMIFS(Домклик!$D:$D,Домклик!$A:$A,"Покупка",Домклик!$B:$B,"Комнаты",Домклик!$C:$C,$C61)</f>
        <v/>
      </c>
      <c r="H61" s="21">
        <f>IFERROR(INDEX($D$1:$G$1,MATCH(MAX(D61:G61),D61:G61,0)),"")</f>
        <v/>
      </c>
    </row>
    <row r="62">
      <c r="A62" s="21" t="inlineStr">
        <is>
          <t>Продажа</t>
        </is>
      </c>
      <c r="B62" s="21" t="inlineStr">
        <is>
          <t>Комнаты</t>
        </is>
      </c>
      <c r="C62" s="21" t="inlineStr">
        <is>
          <t>Уфа</t>
        </is>
      </c>
      <c r="D62" s="22">
        <f>SUMIFS(ЦИАН!$D:$D,ЦИАН!$A:$A,"Продажи квартир",ЦИАН!$B:$B,"Комнаты",ЦИАН!$C:$C,$C62)</f>
        <v/>
      </c>
      <c r="E62" s="22">
        <f>SUMIFS(Яндекс!$D:$D,Яндекс!$A:$A,"Купить",Яндекс!$B:$B,"Комната",Яндекс!$C:$C,$C62)</f>
        <v/>
      </c>
      <c r="F62" s="22">
        <f>SUMIFS(Авито!$E:$E,Авито!$A:$A,"Продажа",Авито!$B:$B,"Комнаты",Авито!$C:$C,$C62)</f>
        <v/>
      </c>
      <c r="G62" s="22">
        <f>SUMIFS(Домклик!$D:$D,Домклик!$A:$A,"Покупка",Домклик!$B:$B,"Комнаты",Домклик!$C:$C,$C62)</f>
        <v/>
      </c>
      <c r="H62" s="21">
        <f>IFERROR(INDEX($D$1:$G$1,MATCH(MAX(D62:G62),D62:G62,0)),"")</f>
        <v/>
      </c>
    </row>
    <row r="63">
      <c r="A63" s="21" t="inlineStr">
        <is>
          <t>Продажа</t>
        </is>
      </c>
      <c r="B63" s="21" t="inlineStr">
        <is>
          <t>Комнаты</t>
        </is>
      </c>
      <c r="C63" s="21" t="inlineStr">
        <is>
          <t>Краснодар</t>
        </is>
      </c>
      <c r="D63" s="22">
        <f>SUMIFS(ЦИАН!$D:$D,ЦИАН!$A:$A,"Продажи квартир",ЦИАН!$B:$B,"Комнаты",ЦИАН!$C:$C,$C63)</f>
        <v/>
      </c>
      <c r="E63" s="22">
        <f>SUMIFS(Яндекс!$D:$D,Яндекс!$A:$A,"Купить",Яндекс!$B:$B,"Комната",Яндекс!$C:$C,$C63)</f>
        <v/>
      </c>
      <c r="F63" s="22">
        <f>SUMIFS(Авито!$E:$E,Авито!$A:$A,"Продажа",Авито!$B:$B,"Комнаты",Авито!$C:$C,$C63)</f>
        <v/>
      </c>
      <c r="G63" s="22">
        <f>SUMIFS(Домклик!$D:$D,Домклик!$A:$A,"Покупка",Домклик!$B:$B,"Комнаты",Домклик!$C:$C,$C63)</f>
        <v/>
      </c>
      <c r="H63" s="21">
        <f>IFERROR(INDEX($D$1:$G$1,MATCH(MAX(D63:G63),D63:G63,0)),"")</f>
        <v/>
      </c>
    </row>
    <row r="64">
      <c r="A64" s="21" t="inlineStr">
        <is>
          <t>Продажа</t>
        </is>
      </c>
      <c r="B64" s="21" t="inlineStr">
        <is>
          <t>Комнаты</t>
        </is>
      </c>
      <c r="C64" s="21" t="inlineStr">
        <is>
          <t>Самара</t>
        </is>
      </c>
      <c r="D64" s="22">
        <f>SUMIFS(ЦИАН!$D:$D,ЦИАН!$A:$A,"Продажи квартир",ЦИАН!$B:$B,"Комнаты",ЦИАН!$C:$C,$C64)</f>
        <v/>
      </c>
      <c r="E64" s="22">
        <f>SUMIFS(Яндекс!$D:$D,Яндекс!$A:$A,"Купить",Яндекс!$B:$B,"Комната",Яндекс!$C:$C,$C64)</f>
        <v/>
      </c>
      <c r="F64" s="22">
        <f>SUMIFS(Авито!$E:$E,Авито!$A:$A,"Продажа",Авито!$B:$B,"Комнаты",Авито!$C:$C,$C64)</f>
        <v/>
      </c>
      <c r="G64" s="22">
        <f>SUMIFS(Домклик!$D:$D,Домклик!$A:$A,"Покупка",Домклик!$B:$B,"Комнаты",Домклик!$C:$C,$C64)</f>
        <v/>
      </c>
      <c r="H64" s="21">
        <f>IFERROR(INDEX($D$1:$G$1,MATCH(MAX(D64:G64),D64:G64,0)),"")</f>
        <v/>
      </c>
    </row>
    <row r="65">
      <c r="A65" s="21" t="inlineStr">
        <is>
          <t>Продажа</t>
        </is>
      </c>
      <c r="B65" s="21" t="inlineStr">
        <is>
          <t>Комнаты</t>
        </is>
      </c>
      <c r="C65" s="21" t="inlineStr">
        <is>
          <t>Ростов-на-Дону</t>
        </is>
      </c>
      <c r="D65" s="22">
        <f>SUMIFS(ЦИАН!$D:$D,ЦИАН!$A:$A,"Продажи квартир",ЦИАН!$B:$B,"Комнаты",ЦИАН!$C:$C,$C65)</f>
        <v/>
      </c>
      <c r="E65" s="22">
        <f>SUMIFS(Яндекс!$D:$D,Яндекс!$A:$A,"Купить",Яндекс!$B:$B,"Комната",Яндекс!$C:$C,$C65)</f>
        <v/>
      </c>
      <c r="F65" s="22">
        <f>SUMIFS(Авито!$E:$E,Авито!$A:$A,"Продажа",Авито!$B:$B,"Комнаты",Авито!$C:$C,$C65)</f>
        <v/>
      </c>
      <c r="G65" s="22">
        <f>SUMIFS(Домклик!$D:$D,Домклик!$A:$A,"Покупка",Домклик!$B:$B,"Комнаты",Домклик!$C:$C,$C65)</f>
        <v/>
      </c>
      <c r="H65" s="21">
        <f>IFERROR(INDEX($D$1:$G$1,MATCH(MAX(D65:G65),D65:G65,0)),"")</f>
        <v/>
      </c>
    </row>
    <row r="66">
      <c r="A66" s="21" t="inlineStr">
        <is>
          <t>Продажа</t>
        </is>
      </c>
      <c r="B66" s="21" t="inlineStr">
        <is>
          <t>Комнаты</t>
        </is>
      </c>
      <c r="C66" s="21" t="inlineStr">
        <is>
          <t>Омск</t>
        </is>
      </c>
      <c r="D66" s="22">
        <f>SUMIFS(ЦИАН!$D:$D,ЦИАН!$A:$A,"Продажи квартир",ЦИАН!$B:$B,"Комнаты",ЦИАН!$C:$C,$C66)</f>
        <v/>
      </c>
      <c r="E66" s="22">
        <f>SUMIFS(Яндекс!$D:$D,Яндекс!$A:$A,"Купить",Яндекс!$B:$B,"Комната",Яндекс!$C:$C,$C66)</f>
        <v/>
      </c>
      <c r="F66" s="22">
        <f>SUMIFS(Авито!$E:$E,Авито!$A:$A,"Продажа",Авито!$B:$B,"Комнаты",Авито!$C:$C,$C66)</f>
        <v/>
      </c>
      <c r="G66" s="22">
        <f>SUMIFS(Домклик!$D:$D,Домклик!$A:$A,"Покупка",Домклик!$B:$B,"Комнаты",Домклик!$C:$C,$C66)</f>
        <v/>
      </c>
      <c r="H66" s="21">
        <f>IFERROR(INDEX($D$1:$G$1,MATCH(MAX(D66:G66),D66:G66,0)),"")</f>
        <v/>
      </c>
    </row>
    <row r="67">
      <c r="A67" s="21" t="inlineStr">
        <is>
          <t>Продажа</t>
        </is>
      </c>
      <c r="B67" s="21" t="inlineStr">
        <is>
          <t>Комнаты</t>
        </is>
      </c>
      <c r="C67" s="21" t="inlineStr">
        <is>
          <t>Воронеж</t>
        </is>
      </c>
      <c r="D67" s="22">
        <f>SUMIFS(ЦИАН!$D:$D,ЦИАН!$A:$A,"Продажи квартир",ЦИАН!$B:$B,"Комнаты",ЦИАН!$C:$C,$C67)</f>
        <v/>
      </c>
      <c r="E67" s="22">
        <f>SUMIFS(Яндекс!$D:$D,Яндекс!$A:$A,"Купить",Яндекс!$B:$B,"Комната",Яндекс!$C:$C,$C67)</f>
        <v/>
      </c>
      <c r="F67" s="22">
        <f>SUMIFS(Авито!$E:$E,Авито!$A:$A,"Продажа",Авито!$B:$B,"Комнаты",Авито!$C:$C,$C67)</f>
        <v/>
      </c>
      <c r="G67" s="22">
        <f>SUMIFS(Домклик!$D:$D,Домклик!$A:$A,"Покупка",Домклик!$B:$B,"Комнаты",Домклик!$C:$C,$C67)</f>
        <v/>
      </c>
      <c r="H67" s="21">
        <f>IFERROR(INDEX($D$1:$G$1,MATCH(MAX(D67:G67),D67:G67,0)),"")</f>
        <v/>
      </c>
    </row>
    <row r="68">
      <c r="A68" s="21" t="inlineStr">
        <is>
          <t>Продажа</t>
        </is>
      </c>
      <c r="B68" s="21" t="inlineStr">
        <is>
          <t>Комнаты</t>
        </is>
      </c>
      <c r="C68" s="21" t="inlineStr">
        <is>
          <t>Пермь</t>
        </is>
      </c>
      <c r="D68" s="22">
        <f>SUMIFS(ЦИАН!$D:$D,ЦИАН!$A:$A,"Продажи квартир",ЦИАН!$B:$B,"Комнаты",ЦИАН!$C:$C,$C68)</f>
        <v/>
      </c>
      <c r="E68" s="22">
        <f>SUMIFS(Яндекс!$D:$D,Яндекс!$A:$A,"Купить",Яндекс!$B:$B,"Комната",Яндекс!$C:$C,$C68)</f>
        <v/>
      </c>
      <c r="F68" s="22">
        <f>SUMIFS(Авито!$E:$E,Авито!$A:$A,"Продажа",Авито!$B:$B,"Комнаты",Авито!$C:$C,$C68)</f>
        <v/>
      </c>
      <c r="G68" s="22">
        <f>SUMIFS(Домклик!$D:$D,Домклик!$A:$A,"Покупка",Домклик!$B:$B,"Комнаты",Домклик!$C:$C,$C68)</f>
        <v/>
      </c>
      <c r="H68" s="21">
        <f>IFERROR(INDEX($D$1:$G$1,MATCH(MAX(D68:G68),D68:G68,0)),"")</f>
        <v/>
      </c>
    </row>
    <row r="69">
      <c r="A69" s="21" t="inlineStr">
        <is>
          <t>Продажа</t>
        </is>
      </c>
      <c r="B69" s="21" t="inlineStr">
        <is>
          <t>Комнаты</t>
        </is>
      </c>
      <c r="C69" s="21" t="inlineStr">
        <is>
          <t>Волгоград</t>
        </is>
      </c>
      <c r="D69" s="22">
        <f>SUMIFS(ЦИАН!$D:$D,ЦИАН!$A:$A,"Продажи квартир",ЦИАН!$B:$B,"Комнаты",ЦИАН!$C:$C,$C69)</f>
        <v/>
      </c>
      <c r="E69" s="22">
        <f>SUMIFS(Яндекс!$D:$D,Яндекс!$A:$A,"Купить",Яндекс!$B:$B,"Комната",Яндекс!$C:$C,$C69)</f>
        <v/>
      </c>
      <c r="F69" s="22">
        <f>SUMIFS(Авито!$E:$E,Авито!$A:$A,"Продажа",Авито!$B:$B,"Комнаты",Авито!$C:$C,$C69)</f>
        <v/>
      </c>
      <c r="G69" s="22">
        <f>SUMIFS(Домклик!$D:$D,Домклик!$A:$A,"Покупка",Домклик!$B:$B,"Комнаты",Домклик!$C:$C,$C69)</f>
        <v/>
      </c>
      <c r="H69" s="21">
        <f>IFERROR(INDEX($D$1:$G$1,MATCH(MAX(D69:G69),D69:G69,0)),"")</f>
        <v/>
      </c>
    </row>
    <row r="70">
      <c r="A70" s="27" t="inlineStr">
        <is>
          <t>Продажа</t>
        </is>
      </c>
      <c r="B70" s="17" t="inlineStr">
        <is>
          <t>Дома и коттеджи</t>
        </is>
      </c>
      <c r="C70" s="28" t="inlineStr">
        <is>
          <t>🇷🇺 Вся Россия</t>
        </is>
      </c>
      <c r="D70" s="19">
        <f>SUMIFS(ЦИАН!$D:$D,ЦИАН!$A:$A,"Продажи квартир",ЦИАН!$B:$B,"Дома и коттеджи",ЦИАН!$C:$C,$C70)</f>
        <v/>
      </c>
      <c r="E70" s="19">
        <f>SUMIFS(Яндекс!$D:$D,Яндекс!$A:$A,"Купить",Яндекс!$B:$B,"Дом или коттедж",Яндекс!$C:$C,$C70)</f>
        <v/>
      </c>
      <c r="F70" s="19">
        <f>SUMIFS(Авито!$E:$E,Авито!$A:$A,"Продажа",Авито!$B:$B,"Дома, дачи, коттеджи",Авито!$C:$C,$C70)</f>
        <v/>
      </c>
      <c r="G70" s="19">
        <f>SUMIFS(Домклик!$D:$D,Домклик!$A:$A,"Покупка",Домклик!$B:$B,"Дом",Домклик!$C:$C,$C70)</f>
        <v/>
      </c>
      <c r="H70" s="18">
        <f>IFERROR(INDEX($D$1:$G$1,MATCH(MAX(D70:G70),D70:G70,0)),"")</f>
        <v/>
      </c>
    </row>
    <row r="71">
      <c r="A71" s="21" t="inlineStr">
        <is>
          <t>Продажа</t>
        </is>
      </c>
      <c r="B71" s="21" t="inlineStr">
        <is>
          <t>Дома и коттеджи</t>
        </is>
      </c>
      <c r="C71" s="21" t="inlineStr">
        <is>
          <t>Москва</t>
        </is>
      </c>
      <c r="D71" s="22">
        <f>SUMIFS(ЦИАН!$D:$D,ЦИАН!$A:$A,"Продажи квартир",ЦИАН!$B:$B,"Дома и коттеджи",ЦИАН!$C:$C,$C71)</f>
        <v/>
      </c>
      <c r="E71" s="22">
        <f>SUMIFS(Яндекс!$D:$D,Яндекс!$A:$A,"Купить",Яндекс!$B:$B,"Дом или коттедж",Яндекс!$C:$C,$C71)</f>
        <v/>
      </c>
      <c r="F71" s="22">
        <f>SUMIFS(Авито!$E:$E,Авито!$A:$A,"Продажа",Авито!$B:$B,"Дома, дачи, коттеджи",Авито!$C:$C,$C71)</f>
        <v/>
      </c>
      <c r="G71" s="22">
        <f>SUMIFS(Домклик!$D:$D,Домклик!$A:$A,"Покупка",Домклик!$B:$B,"Дом",Домклик!$C:$C,$C71)</f>
        <v/>
      </c>
      <c r="H71" s="21">
        <f>IFERROR(INDEX($D$1:$G$1,MATCH(MAX(D71:G71),D71:G71,0)),"")</f>
        <v/>
      </c>
    </row>
    <row r="72">
      <c r="A72" s="21" t="inlineStr">
        <is>
          <t>Продажа</t>
        </is>
      </c>
      <c r="B72" s="21" t="inlineStr">
        <is>
          <t>Дома и коттеджи</t>
        </is>
      </c>
      <c r="C72" s="21" t="inlineStr">
        <is>
          <t>Санкт-Петербург</t>
        </is>
      </c>
      <c r="D72" s="22">
        <f>SUMIFS(ЦИАН!$D:$D,ЦИАН!$A:$A,"Продажи квартир",ЦИАН!$B:$B,"Дома и коттеджи",ЦИАН!$C:$C,$C72)</f>
        <v/>
      </c>
      <c r="E72" s="22">
        <f>SUMIFS(Яндекс!$D:$D,Яндекс!$A:$A,"Купить",Яндекс!$B:$B,"Дом или коттедж",Яндекс!$C:$C,$C72)</f>
        <v/>
      </c>
      <c r="F72" s="22">
        <f>SUMIFS(Авито!$E:$E,Авито!$A:$A,"Продажа",Авито!$B:$B,"Дома, дачи, коттеджи",Авито!$C:$C,$C72)</f>
        <v/>
      </c>
      <c r="G72" s="22">
        <f>SUMIFS(Домклик!$D:$D,Домклик!$A:$A,"Покупка",Домклик!$B:$B,"Дом",Домклик!$C:$C,$C72)</f>
        <v/>
      </c>
      <c r="H72" s="21">
        <f>IFERROR(INDEX($D$1:$G$1,MATCH(MAX(D72:G72),D72:G72,0)),"")</f>
        <v/>
      </c>
    </row>
    <row r="73">
      <c r="A73" s="21" t="inlineStr">
        <is>
          <t>Продажа</t>
        </is>
      </c>
      <c r="B73" s="21" t="inlineStr">
        <is>
          <t>Дома и коттеджи</t>
        </is>
      </c>
      <c r="C73" s="21" t="inlineStr">
        <is>
          <t>Новосибирск</t>
        </is>
      </c>
      <c r="D73" s="22">
        <f>SUMIFS(ЦИАН!$D:$D,ЦИАН!$A:$A,"Продажи квартир",ЦИАН!$B:$B,"Дома и коттеджи",ЦИАН!$C:$C,$C73)</f>
        <v/>
      </c>
      <c r="E73" s="22">
        <f>SUMIFS(Яндекс!$D:$D,Яндекс!$A:$A,"Купить",Яндекс!$B:$B,"Дом или коттедж",Яндекс!$C:$C,$C73)</f>
        <v/>
      </c>
      <c r="F73" s="22">
        <f>SUMIFS(Авито!$E:$E,Авито!$A:$A,"Продажа",Авито!$B:$B,"Дома, дачи, коттеджи",Авито!$C:$C,$C73)</f>
        <v/>
      </c>
      <c r="G73" s="22">
        <f>SUMIFS(Домклик!$D:$D,Домклик!$A:$A,"Покупка",Домклик!$B:$B,"Дом",Домклик!$C:$C,$C73)</f>
        <v/>
      </c>
      <c r="H73" s="21">
        <f>IFERROR(INDEX($D$1:$G$1,MATCH(MAX(D73:G73),D73:G73,0)),"")</f>
        <v/>
      </c>
    </row>
    <row r="74">
      <c r="A74" s="21" t="inlineStr">
        <is>
          <t>Продажа</t>
        </is>
      </c>
      <c r="B74" s="21" t="inlineStr">
        <is>
          <t>Дома и коттеджи</t>
        </is>
      </c>
      <c r="C74" s="21" t="inlineStr">
        <is>
          <t>Екатеринбург</t>
        </is>
      </c>
      <c r="D74" s="22">
        <f>SUMIFS(ЦИАН!$D:$D,ЦИАН!$A:$A,"Продажи квартир",ЦИАН!$B:$B,"Дома и коттеджи",ЦИАН!$C:$C,$C74)</f>
        <v/>
      </c>
      <c r="E74" s="22">
        <f>SUMIFS(Яндекс!$D:$D,Яндекс!$A:$A,"Купить",Яндекс!$B:$B,"Дом или коттедж",Яндекс!$C:$C,$C74)</f>
        <v/>
      </c>
      <c r="F74" s="22">
        <f>SUMIFS(Авито!$E:$E,Авито!$A:$A,"Продажа",Авито!$B:$B,"Дома, дачи, коттеджи",Авито!$C:$C,$C74)</f>
        <v/>
      </c>
      <c r="G74" s="22">
        <f>SUMIFS(Домклик!$D:$D,Домклик!$A:$A,"Покупка",Домклик!$B:$B,"Дом",Домклик!$C:$C,$C74)</f>
        <v/>
      </c>
      <c r="H74" s="21">
        <f>IFERROR(INDEX($D$1:$G$1,MATCH(MAX(D74:G74),D74:G74,0)),"")</f>
        <v/>
      </c>
    </row>
    <row r="75">
      <c r="A75" s="21" t="inlineStr">
        <is>
          <t>Продажа</t>
        </is>
      </c>
      <c r="B75" s="21" t="inlineStr">
        <is>
          <t>Дома и коттеджи</t>
        </is>
      </c>
      <c r="C75" s="21" t="inlineStr">
        <is>
          <t>Казань</t>
        </is>
      </c>
      <c r="D75" s="22">
        <f>SUMIFS(ЦИАН!$D:$D,ЦИАН!$A:$A,"Продажи квартир",ЦИАН!$B:$B,"Дома и коттеджи",ЦИАН!$C:$C,$C75)</f>
        <v/>
      </c>
      <c r="E75" s="22">
        <f>SUMIFS(Яндекс!$D:$D,Яндекс!$A:$A,"Купить",Яндекс!$B:$B,"Дом или коттедж",Яндекс!$C:$C,$C75)</f>
        <v/>
      </c>
      <c r="F75" s="22">
        <f>SUMIFS(Авито!$E:$E,Авито!$A:$A,"Продажа",Авито!$B:$B,"Дома, дачи, коттеджи",Авито!$C:$C,$C75)</f>
        <v/>
      </c>
      <c r="G75" s="22">
        <f>SUMIFS(Домклик!$D:$D,Домклик!$A:$A,"Покупка",Домклик!$B:$B,"Дом",Домклик!$C:$C,$C75)</f>
        <v/>
      </c>
      <c r="H75" s="21">
        <f>IFERROR(INDEX($D$1:$G$1,MATCH(MAX(D75:G75),D75:G75,0)),"")</f>
        <v/>
      </c>
    </row>
    <row r="76">
      <c r="A76" s="21" t="inlineStr">
        <is>
          <t>Продажа</t>
        </is>
      </c>
      <c r="B76" s="21" t="inlineStr">
        <is>
          <t>Дома и коттеджи</t>
        </is>
      </c>
      <c r="C76" s="21" t="inlineStr">
        <is>
          <t>Красноярск</t>
        </is>
      </c>
      <c r="D76" s="22">
        <f>SUMIFS(ЦИАН!$D:$D,ЦИАН!$A:$A,"Продажи квартир",ЦИАН!$B:$B,"Дома и коттеджи",ЦИАН!$C:$C,$C76)</f>
        <v/>
      </c>
      <c r="E76" s="22">
        <f>SUMIFS(Яндекс!$D:$D,Яндекс!$A:$A,"Купить",Яндекс!$B:$B,"Дом или коттедж",Яндекс!$C:$C,$C76)</f>
        <v/>
      </c>
      <c r="F76" s="22">
        <f>SUMIFS(Авито!$E:$E,Авито!$A:$A,"Продажа",Авито!$B:$B,"Дома, дачи, коттеджи",Авито!$C:$C,$C76)</f>
        <v/>
      </c>
      <c r="G76" s="22">
        <f>SUMIFS(Домклик!$D:$D,Домклик!$A:$A,"Покупка",Домклик!$B:$B,"Дом",Домклик!$C:$C,$C76)</f>
        <v/>
      </c>
      <c r="H76" s="21">
        <f>IFERROR(INDEX($D$1:$G$1,MATCH(MAX(D76:G76),D76:G76,0)),"")</f>
        <v/>
      </c>
    </row>
    <row r="77">
      <c r="A77" s="21" t="inlineStr">
        <is>
          <t>Продажа</t>
        </is>
      </c>
      <c r="B77" s="21" t="inlineStr">
        <is>
          <t>Дома и коттеджи</t>
        </is>
      </c>
      <c r="C77" s="21" t="inlineStr">
        <is>
          <t>Нижний Новгород</t>
        </is>
      </c>
      <c r="D77" s="22">
        <f>SUMIFS(ЦИАН!$D:$D,ЦИАН!$A:$A,"Продажи квартир",ЦИАН!$B:$B,"Дома и коттеджи",ЦИАН!$C:$C,$C77)</f>
        <v/>
      </c>
      <c r="E77" s="22">
        <f>SUMIFS(Яндекс!$D:$D,Яндекс!$A:$A,"Купить",Яндекс!$B:$B,"Дом или коттедж",Яндекс!$C:$C,$C77)</f>
        <v/>
      </c>
      <c r="F77" s="22">
        <f>SUMIFS(Авито!$E:$E,Авито!$A:$A,"Продажа",Авито!$B:$B,"Дома, дачи, коттеджи",Авито!$C:$C,$C77)</f>
        <v/>
      </c>
      <c r="G77" s="22">
        <f>SUMIFS(Домклик!$D:$D,Домклик!$A:$A,"Покупка",Домклик!$B:$B,"Дом",Домклик!$C:$C,$C77)</f>
        <v/>
      </c>
      <c r="H77" s="21">
        <f>IFERROR(INDEX($D$1:$G$1,MATCH(MAX(D77:G77),D77:G77,0)),"")</f>
        <v/>
      </c>
    </row>
    <row r="78">
      <c r="A78" s="21" t="inlineStr">
        <is>
          <t>Продажа</t>
        </is>
      </c>
      <c r="B78" s="21" t="inlineStr">
        <is>
          <t>Дома и коттеджи</t>
        </is>
      </c>
      <c r="C78" s="21" t="inlineStr">
        <is>
          <t>Челябинск</t>
        </is>
      </c>
      <c r="D78" s="22">
        <f>SUMIFS(ЦИАН!$D:$D,ЦИАН!$A:$A,"Продажи квартир",ЦИАН!$B:$B,"Дома и коттеджи",ЦИАН!$C:$C,$C78)</f>
        <v/>
      </c>
      <c r="E78" s="22">
        <f>SUMIFS(Яндекс!$D:$D,Яндекс!$A:$A,"Купить",Яндекс!$B:$B,"Дом или коттедж",Яндекс!$C:$C,$C78)</f>
        <v/>
      </c>
      <c r="F78" s="22">
        <f>SUMIFS(Авито!$E:$E,Авито!$A:$A,"Продажа",Авито!$B:$B,"Дома, дачи, коттеджи",Авито!$C:$C,$C78)</f>
        <v/>
      </c>
      <c r="G78" s="22">
        <f>SUMIFS(Домклик!$D:$D,Домклик!$A:$A,"Покупка",Домклик!$B:$B,"Дом",Домклик!$C:$C,$C78)</f>
        <v/>
      </c>
      <c r="H78" s="21">
        <f>IFERROR(INDEX($D$1:$G$1,MATCH(MAX(D78:G78),D78:G78,0)),"")</f>
        <v/>
      </c>
    </row>
    <row r="79">
      <c r="A79" s="21" t="inlineStr">
        <is>
          <t>Продажа</t>
        </is>
      </c>
      <c r="B79" s="21" t="inlineStr">
        <is>
          <t>Дома и коттеджи</t>
        </is>
      </c>
      <c r="C79" s="21" t="inlineStr">
        <is>
          <t>Уфа</t>
        </is>
      </c>
      <c r="D79" s="22">
        <f>SUMIFS(ЦИАН!$D:$D,ЦИАН!$A:$A,"Продажи квартир",ЦИАН!$B:$B,"Дома и коттеджи",ЦИАН!$C:$C,$C79)</f>
        <v/>
      </c>
      <c r="E79" s="22">
        <f>SUMIFS(Яндекс!$D:$D,Яндекс!$A:$A,"Купить",Яндекс!$B:$B,"Дом или коттедж",Яндекс!$C:$C,$C79)</f>
        <v/>
      </c>
      <c r="F79" s="22">
        <f>SUMIFS(Авито!$E:$E,Авито!$A:$A,"Продажа",Авито!$B:$B,"Дома, дачи, коттеджи",Авито!$C:$C,$C79)</f>
        <v/>
      </c>
      <c r="G79" s="22">
        <f>SUMIFS(Домклик!$D:$D,Домклик!$A:$A,"Покупка",Домклик!$B:$B,"Дом",Домклик!$C:$C,$C79)</f>
        <v/>
      </c>
      <c r="H79" s="21">
        <f>IFERROR(INDEX($D$1:$G$1,MATCH(MAX(D79:G79),D79:G79,0)),"")</f>
        <v/>
      </c>
    </row>
    <row r="80">
      <c r="A80" s="21" t="inlineStr">
        <is>
          <t>Продажа</t>
        </is>
      </c>
      <c r="B80" s="21" t="inlineStr">
        <is>
          <t>Дома и коттеджи</t>
        </is>
      </c>
      <c r="C80" s="21" t="inlineStr">
        <is>
          <t>Краснодар</t>
        </is>
      </c>
      <c r="D80" s="22">
        <f>SUMIFS(ЦИАН!$D:$D,ЦИАН!$A:$A,"Продажи квартир",ЦИАН!$B:$B,"Дома и коттеджи",ЦИАН!$C:$C,$C80)</f>
        <v/>
      </c>
      <c r="E80" s="22">
        <f>SUMIFS(Яндекс!$D:$D,Яндекс!$A:$A,"Купить",Яндекс!$B:$B,"Дом или коттедж",Яндекс!$C:$C,$C80)</f>
        <v/>
      </c>
      <c r="F80" s="22">
        <f>SUMIFS(Авито!$E:$E,Авито!$A:$A,"Продажа",Авито!$B:$B,"Дома, дачи, коттеджи",Авито!$C:$C,$C80)</f>
        <v/>
      </c>
      <c r="G80" s="22">
        <f>SUMIFS(Домклик!$D:$D,Домклик!$A:$A,"Покупка",Домклик!$B:$B,"Дом",Домклик!$C:$C,$C80)</f>
        <v/>
      </c>
      <c r="H80" s="21">
        <f>IFERROR(INDEX($D$1:$G$1,MATCH(MAX(D80:G80),D80:G80,0)),"")</f>
        <v/>
      </c>
    </row>
    <row r="81">
      <c r="A81" s="21" t="inlineStr">
        <is>
          <t>Продажа</t>
        </is>
      </c>
      <c r="B81" s="21" t="inlineStr">
        <is>
          <t>Дома и коттеджи</t>
        </is>
      </c>
      <c r="C81" s="21" t="inlineStr">
        <is>
          <t>Самара</t>
        </is>
      </c>
      <c r="D81" s="22">
        <f>SUMIFS(ЦИАН!$D:$D,ЦИАН!$A:$A,"Продажи квартир",ЦИАН!$B:$B,"Дома и коттеджи",ЦИАН!$C:$C,$C81)</f>
        <v/>
      </c>
      <c r="E81" s="22">
        <f>SUMIFS(Яндекс!$D:$D,Яндекс!$A:$A,"Купить",Яндекс!$B:$B,"Дом или коттедж",Яндекс!$C:$C,$C81)</f>
        <v/>
      </c>
      <c r="F81" s="22">
        <f>SUMIFS(Авито!$E:$E,Авито!$A:$A,"Продажа",Авито!$B:$B,"Дома, дачи, коттеджи",Авито!$C:$C,$C81)</f>
        <v/>
      </c>
      <c r="G81" s="22">
        <f>SUMIFS(Домклик!$D:$D,Домклик!$A:$A,"Покупка",Домклик!$B:$B,"Дом",Домклик!$C:$C,$C81)</f>
        <v/>
      </c>
      <c r="H81" s="21">
        <f>IFERROR(INDEX($D$1:$G$1,MATCH(MAX(D81:G81),D81:G81,0)),"")</f>
        <v/>
      </c>
    </row>
    <row r="82">
      <c r="A82" s="21" t="inlineStr">
        <is>
          <t>Продажа</t>
        </is>
      </c>
      <c r="B82" s="21" t="inlineStr">
        <is>
          <t>Дома и коттеджи</t>
        </is>
      </c>
      <c r="C82" s="21" t="inlineStr">
        <is>
          <t>Ростов-на-Дону</t>
        </is>
      </c>
      <c r="D82" s="22">
        <f>SUMIFS(ЦИАН!$D:$D,ЦИАН!$A:$A,"Продажи квартир",ЦИАН!$B:$B,"Дома и коттеджи",ЦИАН!$C:$C,$C82)</f>
        <v/>
      </c>
      <c r="E82" s="22">
        <f>SUMIFS(Яндекс!$D:$D,Яндекс!$A:$A,"Купить",Яндекс!$B:$B,"Дом или коттедж",Яндекс!$C:$C,$C82)</f>
        <v/>
      </c>
      <c r="F82" s="22">
        <f>SUMIFS(Авито!$E:$E,Авито!$A:$A,"Продажа",Авито!$B:$B,"Дома, дачи, коттеджи",Авито!$C:$C,$C82)</f>
        <v/>
      </c>
      <c r="G82" s="22">
        <f>SUMIFS(Домклик!$D:$D,Домклик!$A:$A,"Покупка",Домклик!$B:$B,"Дом",Домклик!$C:$C,$C82)</f>
        <v/>
      </c>
      <c r="H82" s="21">
        <f>IFERROR(INDEX($D$1:$G$1,MATCH(MAX(D82:G82),D82:G82,0)),"")</f>
        <v/>
      </c>
    </row>
    <row r="83">
      <c r="A83" s="21" t="inlineStr">
        <is>
          <t>Продажа</t>
        </is>
      </c>
      <c r="B83" s="21" t="inlineStr">
        <is>
          <t>Дома и коттеджи</t>
        </is>
      </c>
      <c r="C83" s="21" t="inlineStr">
        <is>
          <t>Омск</t>
        </is>
      </c>
      <c r="D83" s="22">
        <f>SUMIFS(ЦИАН!$D:$D,ЦИАН!$A:$A,"Продажи квартир",ЦИАН!$B:$B,"Дома и коттеджи",ЦИАН!$C:$C,$C83)</f>
        <v/>
      </c>
      <c r="E83" s="22">
        <f>SUMIFS(Яндекс!$D:$D,Яндекс!$A:$A,"Купить",Яндекс!$B:$B,"Дом или коттедж",Яндекс!$C:$C,$C83)</f>
        <v/>
      </c>
      <c r="F83" s="22">
        <f>SUMIFS(Авито!$E:$E,Авито!$A:$A,"Продажа",Авито!$B:$B,"Дома, дачи, коттеджи",Авито!$C:$C,$C83)</f>
        <v/>
      </c>
      <c r="G83" s="22">
        <f>SUMIFS(Домклик!$D:$D,Домклик!$A:$A,"Покупка",Домклик!$B:$B,"Дом",Домклик!$C:$C,$C83)</f>
        <v/>
      </c>
      <c r="H83" s="21">
        <f>IFERROR(INDEX($D$1:$G$1,MATCH(MAX(D83:G83),D83:G83,0)),"")</f>
        <v/>
      </c>
    </row>
    <row r="84">
      <c r="A84" s="21" t="inlineStr">
        <is>
          <t>Продажа</t>
        </is>
      </c>
      <c r="B84" s="21" t="inlineStr">
        <is>
          <t>Дома и коттеджи</t>
        </is>
      </c>
      <c r="C84" s="21" t="inlineStr">
        <is>
          <t>Воронеж</t>
        </is>
      </c>
      <c r="D84" s="22">
        <f>SUMIFS(ЦИАН!$D:$D,ЦИАН!$A:$A,"Продажи квартир",ЦИАН!$B:$B,"Дома и коттеджи",ЦИАН!$C:$C,$C84)</f>
        <v/>
      </c>
      <c r="E84" s="22">
        <f>SUMIFS(Яндекс!$D:$D,Яндекс!$A:$A,"Купить",Яндекс!$B:$B,"Дом или коттедж",Яндекс!$C:$C,$C84)</f>
        <v/>
      </c>
      <c r="F84" s="22">
        <f>SUMIFS(Авито!$E:$E,Авито!$A:$A,"Продажа",Авито!$B:$B,"Дома, дачи, коттеджи",Авито!$C:$C,$C84)</f>
        <v/>
      </c>
      <c r="G84" s="22">
        <f>SUMIFS(Домклик!$D:$D,Домклик!$A:$A,"Покупка",Домклик!$B:$B,"Дом",Домклик!$C:$C,$C84)</f>
        <v/>
      </c>
      <c r="H84" s="21">
        <f>IFERROR(INDEX($D$1:$G$1,MATCH(MAX(D84:G84),D84:G84,0)),"")</f>
        <v/>
      </c>
    </row>
    <row r="85">
      <c r="A85" s="21" t="inlineStr">
        <is>
          <t>Продажа</t>
        </is>
      </c>
      <c r="B85" s="21" t="inlineStr">
        <is>
          <t>Дома и коттеджи</t>
        </is>
      </c>
      <c r="C85" s="21" t="inlineStr">
        <is>
          <t>Пермь</t>
        </is>
      </c>
      <c r="D85" s="22">
        <f>SUMIFS(ЦИАН!$D:$D,ЦИАН!$A:$A,"Продажи квартир",ЦИАН!$B:$B,"Дома и коттеджи",ЦИАН!$C:$C,$C85)</f>
        <v/>
      </c>
      <c r="E85" s="22">
        <f>SUMIFS(Яндекс!$D:$D,Яндекс!$A:$A,"Купить",Яндекс!$B:$B,"Дом или коттедж",Яндекс!$C:$C,$C85)</f>
        <v/>
      </c>
      <c r="F85" s="22">
        <f>SUMIFS(Авито!$E:$E,Авито!$A:$A,"Продажа",Авито!$B:$B,"Дома, дачи, коттеджи",Авито!$C:$C,$C85)</f>
        <v/>
      </c>
      <c r="G85" s="22">
        <f>SUMIFS(Домклик!$D:$D,Домклик!$A:$A,"Покупка",Домклик!$B:$B,"Дом",Домклик!$C:$C,$C85)</f>
        <v/>
      </c>
      <c r="H85" s="21">
        <f>IFERROR(INDEX($D$1:$G$1,MATCH(MAX(D85:G85),D85:G85,0)),"")</f>
        <v/>
      </c>
    </row>
    <row r="86">
      <c r="A86" s="21" t="inlineStr">
        <is>
          <t>Продажа</t>
        </is>
      </c>
      <c r="B86" s="21" t="inlineStr">
        <is>
          <t>Дома и коттеджи</t>
        </is>
      </c>
      <c r="C86" s="21" t="inlineStr">
        <is>
          <t>Волгоград</t>
        </is>
      </c>
      <c r="D86" s="22">
        <f>SUMIFS(ЦИАН!$D:$D,ЦИАН!$A:$A,"Продажи квартир",ЦИАН!$B:$B,"Дома и коттеджи",ЦИАН!$C:$C,$C86)</f>
        <v/>
      </c>
      <c r="E86" s="22">
        <f>SUMIFS(Яндекс!$D:$D,Яндекс!$A:$A,"Купить",Яндекс!$B:$B,"Дом или коттедж",Яндекс!$C:$C,$C86)</f>
        <v/>
      </c>
      <c r="F86" s="22">
        <f>SUMIFS(Авито!$E:$E,Авито!$A:$A,"Продажа",Авито!$B:$B,"Дома, дачи, коттеджи",Авито!$C:$C,$C86)</f>
        <v/>
      </c>
      <c r="G86" s="22">
        <f>SUMIFS(Домклик!$D:$D,Домклик!$A:$A,"Покупка",Домклик!$B:$B,"Дом",Домклик!$C:$C,$C86)</f>
        <v/>
      </c>
      <c r="H86" s="21">
        <f>IFERROR(INDEX($D$1:$G$1,MATCH(MAX(D86:G86),D86:G86,0)),"")</f>
        <v/>
      </c>
    </row>
    <row r="87">
      <c r="A87" s="27" t="inlineStr">
        <is>
          <t>Продажа</t>
        </is>
      </c>
      <c r="B87" s="17" t="inlineStr">
        <is>
          <t>Участки</t>
        </is>
      </c>
      <c r="C87" s="28" t="inlineStr">
        <is>
          <t>🇷🇺 Вся Россия</t>
        </is>
      </c>
      <c r="D87" s="19">
        <f>SUMIFS(ЦИАН!$D:$D,ЦИАН!$A:$A,"Продажи квартир",ЦИАН!$B:$B,"Участки",ЦИАН!$C:$C,$C87)</f>
        <v/>
      </c>
      <c r="E87" s="19">
        <f>SUMIFS(Яндекс!$D:$D,Яндекс!$A:$A,"Купить",Яндекс!$B:$B,"Участок",Яндекс!$C:$C,$C87)</f>
        <v/>
      </c>
      <c r="F87" s="19">
        <f>SUMIFS(Авито!$E:$E,Авито!$A:$A,"Продажа",Авито!$B:$B,"Земельные участки",Авито!$C:$C,$C87)</f>
        <v/>
      </c>
      <c r="G87" s="19">
        <f>SUMIFS(Домклик!$D:$D,Домклик!$A:$A,"Покупка",Домклик!$B:$B,"Участок",Домклик!$C:$C,$C87)</f>
        <v/>
      </c>
      <c r="H87" s="18">
        <f>IFERROR(INDEX($D$1:$G$1,MATCH(MAX(D87:G87),D87:G87,0)),"")</f>
        <v/>
      </c>
    </row>
    <row r="88">
      <c r="A88" s="21" t="inlineStr">
        <is>
          <t>Продажа</t>
        </is>
      </c>
      <c r="B88" s="21" t="inlineStr">
        <is>
          <t>Участки</t>
        </is>
      </c>
      <c r="C88" s="21" t="inlineStr">
        <is>
          <t>Москва</t>
        </is>
      </c>
      <c r="D88" s="22">
        <f>SUMIFS(ЦИАН!$D:$D,ЦИАН!$A:$A,"Продажи квартир",ЦИАН!$B:$B,"Участки",ЦИАН!$C:$C,$C88)</f>
        <v/>
      </c>
      <c r="E88" s="22">
        <f>SUMIFS(Яндекс!$D:$D,Яндекс!$A:$A,"Купить",Яндекс!$B:$B,"Участок",Яндекс!$C:$C,$C88)</f>
        <v/>
      </c>
      <c r="F88" s="22">
        <f>SUMIFS(Авито!$E:$E,Авито!$A:$A,"Продажа",Авито!$B:$B,"Земельные участки",Авито!$C:$C,$C88)</f>
        <v/>
      </c>
      <c r="G88" s="22">
        <f>SUMIFS(Домклик!$D:$D,Домклик!$A:$A,"Покупка",Домклик!$B:$B,"Участок",Домклик!$C:$C,$C88)</f>
        <v/>
      </c>
      <c r="H88" s="21">
        <f>IFERROR(INDEX($D$1:$G$1,MATCH(MAX(D88:G88),D88:G88,0)),"")</f>
        <v/>
      </c>
    </row>
    <row r="89">
      <c r="A89" s="21" t="inlineStr">
        <is>
          <t>Продажа</t>
        </is>
      </c>
      <c r="B89" s="21" t="inlineStr">
        <is>
          <t>Участки</t>
        </is>
      </c>
      <c r="C89" s="21" t="inlineStr">
        <is>
          <t>Санкт-Петербург</t>
        </is>
      </c>
      <c r="D89" s="22">
        <f>SUMIFS(ЦИАН!$D:$D,ЦИАН!$A:$A,"Продажи квартир",ЦИАН!$B:$B,"Участки",ЦИАН!$C:$C,$C89)</f>
        <v/>
      </c>
      <c r="E89" s="22">
        <f>SUMIFS(Яндекс!$D:$D,Яндекс!$A:$A,"Купить",Яндекс!$B:$B,"Участок",Яндекс!$C:$C,$C89)</f>
        <v/>
      </c>
      <c r="F89" s="22">
        <f>SUMIFS(Авито!$E:$E,Авито!$A:$A,"Продажа",Авито!$B:$B,"Земельные участки",Авито!$C:$C,$C89)</f>
        <v/>
      </c>
      <c r="G89" s="22">
        <f>SUMIFS(Домклик!$D:$D,Домклик!$A:$A,"Покупка",Домклик!$B:$B,"Участок",Домклик!$C:$C,$C89)</f>
        <v/>
      </c>
      <c r="H89" s="21">
        <f>IFERROR(INDEX($D$1:$G$1,MATCH(MAX(D89:G89),D89:G89,0)),"")</f>
        <v/>
      </c>
    </row>
    <row r="90">
      <c r="A90" s="21" t="inlineStr">
        <is>
          <t>Продажа</t>
        </is>
      </c>
      <c r="B90" s="21" t="inlineStr">
        <is>
          <t>Участки</t>
        </is>
      </c>
      <c r="C90" s="21" t="inlineStr">
        <is>
          <t>Новосибирск</t>
        </is>
      </c>
      <c r="D90" s="22">
        <f>SUMIFS(ЦИАН!$D:$D,ЦИАН!$A:$A,"Продажи квартир",ЦИАН!$B:$B,"Участки",ЦИАН!$C:$C,$C90)</f>
        <v/>
      </c>
      <c r="E90" s="22">
        <f>SUMIFS(Яндекс!$D:$D,Яндекс!$A:$A,"Купить",Яндекс!$B:$B,"Участок",Яндекс!$C:$C,$C90)</f>
        <v/>
      </c>
      <c r="F90" s="22">
        <f>SUMIFS(Авито!$E:$E,Авито!$A:$A,"Продажа",Авито!$B:$B,"Земельные участки",Авито!$C:$C,$C90)</f>
        <v/>
      </c>
      <c r="G90" s="22">
        <f>SUMIFS(Домклик!$D:$D,Домклик!$A:$A,"Покупка",Домклик!$B:$B,"Участок",Домклик!$C:$C,$C90)</f>
        <v/>
      </c>
      <c r="H90" s="21">
        <f>IFERROR(INDEX($D$1:$G$1,MATCH(MAX(D90:G90),D90:G90,0)),"")</f>
        <v/>
      </c>
    </row>
    <row r="91">
      <c r="A91" s="21" t="inlineStr">
        <is>
          <t>Продажа</t>
        </is>
      </c>
      <c r="B91" s="21" t="inlineStr">
        <is>
          <t>Участки</t>
        </is>
      </c>
      <c r="C91" s="21" t="inlineStr">
        <is>
          <t>Екатеринбург</t>
        </is>
      </c>
      <c r="D91" s="22">
        <f>SUMIFS(ЦИАН!$D:$D,ЦИАН!$A:$A,"Продажи квартир",ЦИАН!$B:$B,"Участки",ЦИАН!$C:$C,$C91)</f>
        <v/>
      </c>
      <c r="E91" s="22">
        <f>SUMIFS(Яндекс!$D:$D,Яндекс!$A:$A,"Купить",Яндекс!$B:$B,"Участок",Яндекс!$C:$C,$C91)</f>
        <v/>
      </c>
      <c r="F91" s="22">
        <f>SUMIFS(Авито!$E:$E,Авито!$A:$A,"Продажа",Авито!$B:$B,"Земельные участки",Авито!$C:$C,$C91)</f>
        <v/>
      </c>
      <c r="G91" s="22">
        <f>SUMIFS(Домклик!$D:$D,Домклик!$A:$A,"Покупка",Домклик!$B:$B,"Участок",Домклик!$C:$C,$C91)</f>
        <v/>
      </c>
      <c r="H91" s="21">
        <f>IFERROR(INDEX($D$1:$G$1,MATCH(MAX(D91:G91),D91:G91,0)),"")</f>
        <v/>
      </c>
    </row>
    <row r="92">
      <c r="A92" s="21" t="inlineStr">
        <is>
          <t>Продажа</t>
        </is>
      </c>
      <c r="B92" s="21" t="inlineStr">
        <is>
          <t>Участки</t>
        </is>
      </c>
      <c r="C92" s="21" t="inlineStr">
        <is>
          <t>Казань</t>
        </is>
      </c>
      <c r="D92" s="22">
        <f>SUMIFS(ЦИАН!$D:$D,ЦИАН!$A:$A,"Продажи квартир",ЦИАН!$B:$B,"Участки",ЦИАН!$C:$C,$C92)</f>
        <v/>
      </c>
      <c r="E92" s="22">
        <f>SUMIFS(Яндекс!$D:$D,Яндекс!$A:$A,"Купить",Яндекс!$B:$B,"Участок",Яндекс!$C:$C,$C92)</f>
        <v/>
      </c>
      <c r="F92" s="22">
        <f>SUMIFS(Авито!$E:$E,Авито!$A:$A,"Продажа",Авито!$B:$B,"Земельные участки",Авито!$C:$C,$C92)</f>
        <v/>
      </c>
      <c r="G92" s="22">
        <f>SUMIFS(Домклик!$D:$D,Домклик!$A:$A,"Покупка",Домклик!$B:$B,"Участок",Домклик!$C:$C,$C92)</f>
        <v/>
      </c>
      <c r="H92" s="21">
        <f>IFERROR(INDEX($D$1:$G$1,MATCH(MAX(D92:G92),D92:G92,0)),"")</f>
        <v/>
      </c>
    </row>
    <row r="93">
      <c r="A93" s="21" t="inlineStr">
        <is>
          <t>Продажа</t>
        </is>
      </c>
      <c r="B93" s="21" t="inlineStr">
        <is>
          <t>Участки</t>
        </is>
      </c>
      <c r="C93" s="21" t="inlineStr">
        <is>
          <t>Красноярск</t>
        </is>
      </c>
      <c r="D93" s="22">
        <f>SUMIFS(ЦИАН!$D:$D,ЦИАН!$A:$A,"Продажи квартир",ЦИАН!$B:$B,"Участки",ЦИАН!$C:$C,$C93)</f>
        <v/>
      </c>
      <c r="E93" s="22">
        <f>SUMIFS(Яндекс!$D:$D,Яндекс!$A:$A,"Купить",Яндекс!$B:$B,"Участок",Яндекс!$C:$C,$C93)</f>
        <v/>
      </c>
      <c r="F93" s="22">
        <f>SUMIFS(Авито!$E:$E,Авито!$A:$A,"Продажа",Авито!$B:$B,"Земельные участки",Авито!$C:$C,$C93)</f>
        <v/>
      </c>
      <c r="G93" s="22">
        <f>SUMIFS(Домклик!$D:$D,Домклик!$A:$A,"Покупка",Домклик!$B:$B,"Участок",Домклик!$C:$C,$C93)</f>
        <v/>
      </c>
      <c r="H93" s="21">
        <f>IFERROR(INDEX($D$1:$G$1,MATCH(MAX(D93:G93),D93:G93,0)),"")</f>
        <v/>
      </c>
    </row>
    <row r="94">
      <c r="A94" s="21" t="inlineStr">
        <is>
          <t>Продажа</t>
        </is>
      </c>
      <c r="B94" s="21" t="inlineStr">
        <is>
          <t>Участки</t>
        </is>
      </c>
      <c r="C94" s="21" t="inlineStr">
        <is>
          <t>Нижний Новгород</t>
        </is>
      </c>
      <c r="D94" s="22">
        <f>SUMIFS(ЦИАН!$D:$D,ЦИАН!$A:$A,"Продажи квартир",ЦИАН!$B:$B,"Участки",ЦИАН!$C:$C,$C94)</f>
        <v/>
      </c>
      <c r="E94" s="22">
        <f>SUMIFS(Яндекс!$D:$D,Яндекс!$A:$A,"Купить",Яндекс!$B:$B,"Участок",Яндекс!$C:$C,$C94)</f>
        <v/>
      </c>
      <c r="F94" s="22">
        <f>SUMIFS(Авито!$E:$E,Авито!$A:$A,"Продажа",Авито!$B:$B,"Земельные участки",Авито!$C:$C,$C94)</f>
        <v/>
      </c>
      <c r="G94" s="22">
        <f>SUMIFS(Домклик!$D:$D,Домклик!$A:$A,"Покупка",Домклик!$B:$B,"Участок",Домклик!$C:$C,$C94)</f>
        <v/>
      </c>
      <c r="H94" s="21">
        <f>IFERROR(INDEX($D$1:$G$1,MATCH(MAX(D94:G94),D94:G94,0)),"")</f>
        <v/>
      </c>
    </row>
    <row r="95">
      <c r="A95" s="21" t="inlineStr">
        <is>
          <t>Продажа</t>
        </is>
      </c>
      <c r="B95" s="21" t="inlineStr">
        <is>
          <t>Участки</t>
        </is>
      </c>
      <c r="C95" s="21" t="inlineStr">
        <is>
          <t>Челябинск</t>
        </is>
      </c>
      <c r="D95" s="22">
        <f>SUMIFS(ЦИАН!$D:$D,ЦИАН!$A:$A,"Продажи квартир",ЦИАН!$B:$B,"Участки",ЦИАН!$C:$C,$C95)</f>
        <v/>
      </c>
      <c r="E95" s="22">
        <f>SUMIFS(Яндекс!$D:$D,Яндекс!$A:$A,"Купить",Яндекс!$B:$B,"Участок",Яндекс!$C:$C,$C95)</f>
        <v/>
      </c>
      <c r="F95" s="22">
        <f>SUMIFS(Авито!$E:$E,Авито!$A:$A,"Продажа",Авито!$B:$B,"Земельные участки",Авито!$C:$C,$C95)</f>
        <v/>
      </c>
      <c r="G95" s="22">
        <f>SUMIFS(Домклик!$D:$D,Домклик!$A:$A,"Покупка",Домклик!$B:$B,"Участок",Домклик!$C:$C,$C95)</f>
        <v/>
      </c>
      <c r="H95" s="21">
        <f>IFERROR(INDEX($D$1:$G$1,MATCH(MAX(D95:G95),D95:G95,0)),"")</f>
        <v/>
      </c>
    </row>
    <row r="96">
      <c r="A96" s="21" t="inlineStr">
        <is>
          <t>Продажа</t>
        </is>
      </c>
      <c r="B96" s="21" t="inlineStr">
        <is>
          <t>Участки</t>
        </is>
      </c>
      <c r="C96" s="21" t="inlineStr">
        <is>
          <t>Уфа</t>
        </is>
      </c>
      <c r="D96" s="22">
        <f>SUMIFS(ЦИАН!$D:$D,ЦИАН!$A:$A,"Продажи квартир",ЦИАН!$B:$B,"Участки",ЦИАН!$C:$C,$C96)</f>
        <v/>
      </c>
      <c r="E96" s="22">
        <f>SUMIFS(Яндекс!$D:$D,Яндекс!$A:$A,"Купить",Яндекс!$B:$B,"Участок",Яндекс!$C:$C,$C96)</f>
        <v/>
      </c>
      <c r="F96" s="22">
        <f>SUMIFS(Авито!$E:$E,Авито!$A:$A,"Продажа",Авито!$B:$B,"Земельные участки",Авито!$C:$C,$C96)</f>
        <v/>
      </c>
      <c r="G96" s="22">
        <f>SUMIFS(Домклик!$D:$D,Домклик!$A:$A,"Покупка",Домклик!$B:$B,"Участок",Домклик!$C:$C,$C96)</f>
        <v/>
      </c>
      <c r="H96" s="21">
        <f>IFERROR(INDEX($D$1:$G$1,MATCH(MAX(D96:G96),D96:G96,0)),"")</f>
        <v/>
      </c>
    </row>
    <row r="97">
      <c r="A97" s="21" t="inlineStr">
        <is>
          <t>Продажа</t>
        </is>
      </c>
      <c r="B97" s="21" t="inlineStr">
        <is>
          <t>Участки</t>
        </is>
      </c>
      <c r="C97" s="21" t="inlineStr">
        <is>
          <t>Краснодар</t>
        </is>
      </c>
      <c r="D97" s="22">
        <f>SUMIFS(ЦИАН!$D:$D,ЦИАН!$A:$A,"Продажи квартир",ЦИАН!$B:$B,"Участки",ЦИАН!$C:$C,$C97)</f>
        <v/>
      </c>
      <c r="E97" s="22">
        <f>SUMIFS(Яндекс!$D:$D,Яндекс!$A:$A,"Купить",Яндекс!$B:$B,"Участок",Яндекс!$C:$C,$C97)</f>
        <v/>
      </c>
      <c r="F97" s="22">
        <f>SUMIFS(Авито!$E:$E,Авито!$A:$A,"Продажа",Авито!$B:$B,"Земельные участки",Авито!$C:$C,$C97)</f>
        <v/>
      </c>
      <c r="G97" s="22">
        <f>SUMIFS(Домклик!$D:$D,Домклик!$A:$A,"Покупка",Домклик!$B:$B,"Участок",Домклик!$C:$C,$C97)</f>
        <v/>
      </c>
      <c r="H97" s="21">
        <f>IFERROR(INDEX($D$1:$G$1,MATCH(MAX(D97:G97),D97:G97,0)),"")</f>
        <v/>
      </c>
    </row>
    <row r="98">
      <c r="A98" s="21" t="inlineStr">
        <is>
          <t>Продажа</t>
        </is>
      </c>
      <c r="B98" s="21" t="inlineStr">
        <is>
          <t>Участки</t>
        </is>
      </c>
      <c r="C98" s="21" t="inlineStr">
        <is>
          <t>Самара</t>
        </is>
      </c>
      <c r="D98" s="22">
        <f>SUMIFS(ЦИАН!$D:$D,ЦИАН!$A:$A,"Продажи квартир",ЦИАН!$B:$B,"Участки",ЦИАН!$C:$C,$C98)</f>
        <v/>
      </c>
      <c r="E98" s="22">
        <f>SUMIFS(Яндекс!$D:$D,Яндекс!$A:$A,"Купить",Яндекс!$B:$B,"Участок",Яндекс!$C:$C,$C98)</f>
        <v/>
      </c>
      <c r="F98" s="22">
        <f>SUMIFS(Авито!$E:$E,Авито!$A:$A,"Продажа",Авито!$B:$B,"Земельные участки",Авито!$C:$C,$C98)</f>
        <v/>
      </c>
      <c r="G98" s="22">
        <f>SUMIFS(Домклик!$D:$D,Домклик!$A:$A,"Покупка",Домклик!$B:$B,"Участок",Домклик!$C:$C,$C98)</f>
        <v/>
      </c>
      <c r="H98" s="21">
        <f>IFERROR(INDEX($D$1:$G$1,MATCH(MAX(D98:G98),D98:G98,0)),"")</f>
        <v/>
      </c>
    </row>
    <row r="99">
      <c r="A99" s="21" t="inlineStr">
        <is>
          <t>Продажа</t>
        </is>
      </c>
      <c r="B99" s="21" t="inlineStr">
        <is>
          <t>Участки</t>
        </is>
      </c>
      <c r="C99" s="21" t="inlineStr">
        <is>
          <t>Ростов-на-Дону</t>
        </is>
      </c>
      <c r="D99" s="22">
        <f>SUMIFS(ЦИАН!$D:$D,ЦИАН!$A:$A,"Продажи квартир",ЦИАН!$B:$B,"Участки",ЦИАН!$C:$C,$C99)</f>
        <v/>
      </c>
      <c r="E99" s="22">
        <f>SUMIFS(Яндекс!$D:$D,Яндекс!$A:$A,"Купить",Яндекс!$B:$B,"Участок",Яндекс!$C:$C,$C99)</f>
        <v/>
      </c>
      <c r="F99" s="22">
        <f>SUMIFS(Авито!$E:$E,Авито!$A:$A,"Продажа",Авито!$B:$B,"Земельные участки",Авито!$C:$C,$C99)</f>
        <v/>
      </c>
      <c r="G99" s="22">
        <f>SUMIFS(Домклик!$D:$D,Домклик!$A:$A,"Покупка",Домклик!$B:$B,"Участок",Домклик!$C:$C,$C99)</f>
        <v/>
      </c>
      <c r="H99" s="21">
        <f>IFERROR(INDEX($D$1:$G$1,MATCH(MAX(D99:G99),D99:G99,0)),"")</f>
        <v/>
      </c>
    </row>
    <row r="100">
      <c r="A100" s="21" t="inlineStr">
        <is>
          <t>Продажа</t>
        </is>
      </c>
      <c r="B100" s="21" t="inlineStr">
        <is>
          <t>Участки</t>
        </is>
      </c>
      <c r="C100" s="21" t="inlineStr">
        <is>
          <t>Омск</t>
        </is>
      </c>
      <c r="D100" s="22">
        <f>SUMIFS(ЦИАН!$D:$D,ЦИАН!$A:$A,"Продажи квартир",ЦИАН!$B:$B,"Участки",ЦИАН!$C:$C,$C100)</f>
        <v/>
      </c>
      <c r="E100" s="22">
        <f>SUMIFS(Яндекс!$D:$D,Яндекс!$A:$A,"Купить",Яндекс!$B:$B,"Участок",Яндекс!$C:$C,$C100)</f>
        <v/>
      </c>
      <c r="F100" s="22">
        <f>SUMIFS(Авито!$E:$E,Авито!$A:$A,"Продажа",Авито!$B:$B,"Земельные участки",Авито!$C:$C,$C100)</f>
        <v/>
      </c>
      <c r="G100" s="22">
        <f>SUMIFS(Домклик!$D:$D,Домклик!$A:$A,"Покупка",Домклик!$B:$B,"Участок",Домклик!$C:$C,$C100)</f>
        <v/>
      </c>
      <c r="H100" s="21">
        <f>IFERROR(INDEX($D$1:$G$1,MATCH(MAX(D100:G100),D100:G100,0)),"")</f>
        <v/>
      </c>
    </row>
    <row r="101">
      <c r="A101" s="21" t="inlineStr">
        <is>
          <t>Продажа</t>
        </is>
      </c>
      <c r="B101" s="21" t="inlineStr">
        <is>
          <t>Участки</t>
        </is>
      </c>
      <c r="C101" s="21" t="inlineStr">
        <is>
          <t>Воронеж</t>
        </is>
      </c>
      <c r="D101" s="22">
        <f>SUMIFS(ЦИАН!$D:$D,ЦИАН!$A:$A,"Продажи квартир",ЦИАН!$B:$B,"Участки",ЦИАН!$C:$C,$C101)</f>
        <v/>
      </c>
      <c r="E101" s="22">
        <f>SUMIFS(Яндекс!$D:$D,Яндекс!$A:$A,"Купить",Яндекс!$B:$B,"Участок",Яндекс!$C:$C,$C101)</f>
        <v/>
      </c>
      <c r="F101" s="22">
        <f>SUMIFS(Авито!$E:$E,Авито!$A:$A,"Продажа",Авито!$B:$B,"Земельные участки",Авито!$C:$C,$C101)</f>
        <v/>
      </c>
      <c r="G101" s="22">
        <f>SUMIFS(Домклик!$D:$D,Домклик!$A:$A,"Покупка",Домклик!$B:$B,"Участок",Домклик!$C:$C,$C101)</f>
        <v/>
      </c>
      <c r="H101" s="21">
        <f>IFERROR(INDEX($D$1:$G$1,MATCH(MAX(D101:G101),D101:G101,0)),"")</f>
        <v/>
      </c>
    </row>
    <row r="102">
      <c r="A102" s="21" t="inlineStr">
        <is>
          <t>Продажа</t>
        </is>
      </c>
      <c r="B102" s="21" t="inlineStr">
        <is>
          <t>Участки</t>
        </is>
      </c>
      <c r="C102" s="21" t="inlineStr">
        <is>
          <t>Пермь</t>
        </is>
      </c>
      <c r="D102" s="22">
        <f>SUMIFS(ЦИАН!$D:$D,ЦИАН!$A:$A,"Продажи квартир",ЦИАН!$B:$B,"Участки",ЦИАН!$C:$C,$C102)</f>
        <v/>
      </c>
      <c r="E102" s="22">
        <f>SUMIFS(Яндекс!$D:$D,Яндекс!$A:$A,"Купить",Яндекс!$B:$B,"Участок",Яндекс!$C:$C,$C102)</f>
        <v/>
      </c>
      <c r="F102" s="22">
        <f>SUMIFS(Авито!$E:$E,Авито!$A:$A,"Продажа",Авито!$B:$B,"Земельные участки",Авито!$C:$C,$C102)</f>
        <v/>
      </c>
      <c r="G102" s="22">
        <f>SUMIFS(Домклик!$D:$D,Домклик!$A:$A,"Покупка",Домклик!$B:$B,"Участок",Домклик!$C:$C,$C102)</f>
        <v/>
      </c>
      <c r="H102" s="21">
        <f>IFERROR(INDEX($D$1:$G$1,MATCH(MAX(D102:G102),D102:G102,0)),"")</f>
        <v/>
      </c>
    </row>
    <row r="103">
      <c r="A103" s="21" t="inlineStr">
        <is>
          <t>Продажа</t>
        </is>
      </c>
      <c r="B103" s="21" t="inlineStr">
        <is>
          <t>Участки</t>
        </is>
      </c>
      <c r="C103" s="21" t="inlineStr">
        <is>
          <t>Волгоград</t>
        </is>
      </c>
      <c r="D103" s="22">
        <f>SUMIFS(ЦИАН!$D:$D,ЦИАН!$A:$A,"Продажи квартир",ЦИАН!$B:$B,"Участки",ЦИАН!$C:$C,$C103)</f>
        <v/>
      </c>
      <c r="E103" s="22">
        <f>SUMIFS(Яндекс!$D:$D,Яндекс!$A:$A,"Купить",Яндекс!$B:$B,"Участок",Яндекс!$C:$C,$C103)</f>
        <v/>
      </c>
      <c r="F103" s="22">
        <f>SUMIFS(Авито!$E:$E,Авито!$A:$A,"Продажа",Авито!$B:$B,"Земельные участки",Авито!$C:$C,$C103)</f>
        <v/>
      </c>
      <c r="G103" s="22">
        <f>SUMIFS(Домклик!$D:$D,Домклик!$A:$A,"Покупка",Домклик!$B:$B,"Участок",Домклик!$C:$C,$C103)</f>
        <v/>
      </c>
      <c r="H103" s="21">
        <f>IFERROR(INDEX($D$1:$G$1,MATCH(MAX(D103:G103),D103:G103,0)),"")</f>
        <v/>
      </c>
    </row>
    <row r="104">
      <c r="A104" s="27" t="inlineStr">
        <is>
          <t>Продажа</t>
        </is>
      </c>
      <c r="B104" s="17" t="inlineStr">
        <is>
          <t>Коммерческая</t>
        </is>
      </c>
      <c r="C104" s="28" t="inlineStr">
        <is>
          <t>🇷🇺 Вся Россия</t>
        </is>
      </c>
      <c r="D104" s="19">
        <f>SUMIFS(ЦИАН!$D:$D,ЦИАН!$A:$A,"Коммерческая · Продажа",ЦИАН!$B:$B,"Офис",ЦИАН!$C:$C,$C104)+SUMIFS(ЦИАН!$D:$D,ЦИАН!$A:$A,"Коммерческая · Продажа",ЦИАН!$B:$B,"Торговая площадь",ЦИАН!$C:$C,$C104)+SUMIFS(ЦИАН!$D:$D,ЦИАН!$A:$A,"Коммерческая · Продажа",ЦИАН!$B:$B,"Складское помещение",ЦИАН!$C:$C,$C104)+SUMIFS(ЦИАН!$D:$D,ЦИАН!$A:$A,"Коммерческая · Продажа",ЦИАН!$B:$B,"Бизнес (готовый)",ЦИАН!$C:$C,$C104)</f>
        <v/>
      </c>
      <c r="E104" s="19">
        <f>SUMIFS(Яндекс!$D:$D,Яндекс!$A:$A,"Коммерческая",Яндекс!$B:$B,"Продажа",Яндекс!$C:$C,$C104)</f>
        <v/>
      </c>
      <c r="F104" s="19">
        <f>SUMIFS(Авито!$E:$E,Авито!$A:$A,"Продажа",Авито!$B:$B,"Коммерческая",Авито!$C:$C,$C104)</f>
        <v/>
      </c>
      <c r="G104" s="19">
        <f>SUMIFS(Домклик!$D:$D,Домклик!$A:$A,"Покупка",Домклик!$B:$B,"Коммерческая",Домклик!$C:$C,$C104)</f>
        <v/>
      </c>
      <c r="H104" s="18">
        <f>IFERROR(INDEX($D$1:$G$1,MATCH(MAX(D104:G104),D104:G104,0)),"")</f>
        <v/>
      </c>
    </row>
    <row r="105">
      <c r="A105" s="21" t="inlineStr">
        <is>
          <t>Продажа</t>
        </is>
      </c>
      <c r="B105" s="21" t="inlineStr">
        <is>
          <t>Коммерческая</t>
        </is>
      </c>
      <c r="C105" s="21" t="inlineStr">
        <is>
          <t>Москва</t>
        </is>
      </c>
      <c r="D105" s="22">
        <f>SUMIFS(ЦИАН!$D:$D,ЦИАН!$A:$A,"Коммерческая · Продажа",ЦИАН!$B:$B,"Офис",ЦИАН!$C:$C,$C105)+SUMIFS(ЦИАН!$D:$D,ЦИАН!$A:$A,"Коммерческая · Продажа",ЦИАН!$B:$B,"Торговая площадь",ЦИАН!$C:$C,$C105)+SUMIFS(ЦИАН!$D:$D,ЦИАН!$A:$A,"Коммерческая · Продажа",ЦИАН!$B:$B,"Складское помещение",ЦИАН!$C:$C,$C105)+SUMIFS(ЦИАН!$D:$D,ЦИАН!$A:$A,"Коммерческая · Продажа",ЦИАН!$B:$B,"Бизнес (готовый)",ЦИАН!$C:$C,$C105)</f>
        <v/>
      </c>
      <c r="E105" s="22">
        <f>SUMIFS(Яндекс!$D:$D,Яндекс!$A:$A,"Коммерческая",Яндекс!$B:$B,"Продажа",Яндекс!$C:$C,$C105)</f>
        <v/>
      </c>
      <c r="F105" s="22">
        <f>SUMIFS(Авито!$E:$E,Авито!$A:$A,"Продажа",Авито!$B:$B,"Коммерческая",Авито!$C:$C,$C105)</f>
        <v/>
      </c>
      <c r="G105" s="22">
        <f>SUMIFS(Домклик!$D:$D,Домклик!$A:$A,"Покупка",Домклик!$B:$B,"Коммерческая",Домклик!$C:$C,$C105)</f>
        <v/>
      </c>
      <c r="H105" s="21">
        <f>IFERROR(INDEX($D$1:$G$1,MATCH(MAX(D105:G105),D105:G105,0)),"")</f>
        <v/>
      </c>
    </row>
    <row r="106">
      <c r="A106" s="21" t="inlineStr">
        <is>
          <t>Продажа</t>
        </is>
      </c>
      <c r="B106" s="21" t="inlineStr">
        <is>
          <t>Коммерческая</t>
        </is>
      </c>
      <c r="C106" s="21" t="inlineStr">
        <is>
          <t>Санкт-Петербург</t>
        </is>
      </c>
      <c r="D106" s="22">
        <f>SUMIFS(ЦИАН!$D:$D,ЦИАН!$A:$A,"Коммерческая · Продажа",ЦИАН!$B:$B,"Офис",ЦИАН!$C:$C,$C106)+SUMIFS(ЦИАН!$D:$D,ЦИАН!$A:$A,"Коммерческая · Продажа",ЦИАН!$B:$B,"Торговая площадь",ЦИАН!$C:$C,$C106)+SUMIFS(ЦИАН!$D:$D,ЦИАН!$A:$A,"Коммерческая · Продажа",ЦИАН!$B:$B,"Складское помещение",ЦИАН!$C:$C,$C106)+SUMIFS(ЦИАН!$D:$D,ЦИАН!$A:$A,"Коммерческая · Продажа",ЦИАН!$B:$B,"Бизнес (готовый)",ЦИАН!$C:$C,$C106)</f>
        <v/>
      </c>
      <c r="E106" s="22">
        <f>SUMIFS(Яндекс!$D:$D,Яндекс!$A:$A,"Коммерческая",Яндекс!$B:$B,"Продажа",Яндекс!$C:$C,$C106)</f>
        <v/>
      </c>
      <c r="F106" s="22">
        <f>SUMIFS(Авито!$E:$E,Авито!$A:$A,"Продажа",Авито!$B:$B,"Коммерческая",Авито!$C:$C,$C106)</f>
        <v/>
      </c>
      <c r="G106" s="22">
        <f>SUMIFS(Домклик!$D:$D,Домклик!$A:$A,"Покупка",Домклик!$B:$B,"Коммерческая",Домклик!$C:$C,$C106)</f>
        <v/>
      </c>
      <c r="H106" s="21">
        <f>IFERROR(INDEX($D$1:$G$1,MATCH(MAX(D106:G106),D106:G106,0)),"")</f>
        <v/>
      </c>
    </row>
    <row r="107">
      <c r="A107" s="21" t="inlineStr">
        <is>
          <t>Продажа</t>
        </is>
      </c>
      <c r="B107" s="21" t="inlineStr">
        <is>
          <t>Коммерческая</t>
        </is>
      </c>
      <c r="C107" s="21" t="inlineStr">
        <is>
          <t>Новосибирск</t>
        </is>
      </c>
      <c r="D107" s="22">
        <f>SUMIFS(ЦИАН!$D:$D,ЦИАН!$A:$A,"Коммерческая · Продажа",ЦИАН!$B:$B,"Офис",ЦИАН!$C:$C,$C107)+SUMIFS(ЦИАН!$D:$D,ЦИАН!$A:$A,"Коммерческая · Продажа",ЦИАН!$B:$B,"Торговая площадь",ЦИАН!$C:$C,$C107)+SUMIFS(ЦИАН!$D:$D,ЦИАН!$A:$A,"Коммерческая · Продажа",ЦИАН!$B:$B,"Складское помещение",ЦИАН!$C:$C,$C107)+SUMIFS(ЦИАН!$D:$D,ЦИАН!$A:$A,"Коммерческая · Продажа",ЦИАН!$B:$B,"Бизнес (готовый)",ЦИАН!$C:$C,$C107)</f>
        <v/>
      </c>
      <c r="E107" s="22">
        <f>SUMIFS(Яндекс!$D:$D,Яндекс!$A:$A,"Коммерческая",Яндекс!$B:$B,"Продажа",Яндекс!$C:$C,$C107)</f>
        <v/>
      </c>
      <c r="F107" s="22">
        <f>SUMIFS(Авито!$E:$E,Авито!$A:$A,"Продажа",Авито!$B:$B,"Коммерческая",Авито!$C:$C,$C107)</f>
        <v/>
      </c>
      <c r="G107" s="22">
        <f>SUMIFS(Домклик!$D:$D,Домклик!$A:$A,"Покупка",Домклик!$B:$B,"Коммерческая",Домклик!$C:$C,$C107)</f>
        <v/>
      </c>
      <c r="H107" s="21">
        <f>IFERROR(INDEX($D$1:$G$1,MATCH(MAX(D107:G107),D107:G107,0)),"")</f>
        <v/>
      </c>
    </row>
    <row r="108">
      <c r="A108" s="21" t="inlineStr">
        <is>
          <t>Продажа</t>
        </is>
      </c>
      <c r="B108" s="21" t="inlineStr">
        <is>
          <t>Коммерческая</t>
        </is>
      </c>
      <c r="C108" s="21" t="inlineStr">
        <is>
          <t>Екатеринбург</t>
        </is>
      </c>
      <c r="D108" s="22">
        <f>SUMIFS(ЦИАН!$D:$D,ЦИАН!$A:$A,"Коммерческая · Продажа",ЦИАН!$B:$B,"Офис",ЦИАН!$C:$C,$C108)+SUMIFS(ЦИАН!$D:$D,ЦИАН!$A:$A,"Коммерческая · Продажа",ЦИАН!$B:$B,"Торговая площадь",ЦИАН!$C:$C,$C108)+SUMIFS(ЦИАН!$D:$D,ЦИАН!$A:$A,"Коммерческая · Продажа",ЦИАН!$B:$B,"Складское помещение",ЦИАН!$C:$C,$C108)+SUMIFS(ЦИАН!$D:$D,ЦИАН!$A:$A,"Коммерческая · Продажа",ЦИАН!$B:$B,"Бизнес (готовый)",ЦИАН!$C:$C,$C108)</f>
        <v/>
      </c>
      <c r="E108" s="22">
        <f>SUMIFS(Яндекс!$D:$D,Яндекс!$A:$A,"Коммерческая",Яндекс!$B:$B,"Продажа",Яндекс!$C:$C,$C108)</f>
        <v/>
      </c>
      <c r="F108" s="22">
        <f>SUMIFS(Авито!$E:$E,Авито!$A:$A,"Продажа",Авито!$B:$B,"Коммерческая",Авито!$C:$C,$C108)</f>
        <v/>
      </c>
      <c r="G108" s="22">
        <f>SUMIFS(Домклик!$D:$D,Домклик!$A:$A,"Покупка",Домклик!$B:$B,"Коммерческая",Домклик!$C:$C,$C108)</f>
        <v/>
      </c>
      <c r="H108" s="21">
        <f>IFERROR(INDEX($D$1:$G$1,MATCH(MAX(D108:G108),D108:G108,0)),"")</f>
        <v/>
      </c>
    </row>
    <row r="109">
      <c r="A109" s="21" t="inlineStr">
        <is>
          <t>Продажа</t>
        </is>
      </c>
      <c r="B109" s="21" t="inlineStr">
        <is>
          <t>Коммерческая</t>
        </is>
      </c>
      <c r="C109" s="21" t="inlineStr">
        <is>
          <t>Казань</t>
        </is>
      </c>
      <c r="D109" s="22">
        <f>SUMIFS(ЦИАН!$D:$D,ЦИАН!$A:$A,"Коммерческая · Продажа",ЦИАН!$B:$B,"Офис",ЦИАН!$C:$C,$C109)+SUMIFS(ЦИАН!$D:$D,ЦИАН!$A:$A,"Коммерческая · Продажа",ЦИАН!$B:$B,"Торговая площадь",ЦИАН!$C:$C,$C109)+SUMIFS(ЦИАН!$D:$D,ЦИАН!$A:$A,"Коммерческая · Продажа",ЦИАН!$B:$B,"Складское помещение",ЦИАН!$C:$C,$C109)+SUMIFS(ЦИАН!$D:$D,ЦИАН!$A:$A,"Коммерческая · Продажа",ЦИАН!$B:$B,"Бизнес (готовый)",ЦИАН!$C:$C,$C109)</f>
        <v/>
      </c>
      <c r="E109" s="22">
        <f>SUMIFS(Яндекс!$D:$D,Яндекс!$A:$A,"Коммерческая",Яндекс!$B:$B,"Продажа",Яндекс!$C:$C,$C109)</f>
        <v/>
      </c>
      <c r="F109" s="22">
        <f>SUMIFS(Авито!$E:$E,Авито!$A:$A,"Продажа",Авито!$B:$B,"Коммерческая",Авито!$C:$C,$C109)</f>
        <v/>
      </c>
      <c r="G109" s="22">
        <f>SUMIFS(Домклик!$D:$D,Домклик!$A:$A,"Покупка",Домклик!$B:$B,"Коммерческая",Домклик!$C:$C,$C109)</f>
        <v/>
      </c>
      <c r="H109" s="21">
        <f>IFERROR(INDEX($D$1:$G$1,MATCH(MAX(D109:G109),D109:G109,0)),"")</f>
        <v/>
      </c>
    </row>
    <row r="110">
      <c r="A110" s="21" t="inlineStr">
        <is>
          <t>Продажа</t>
        </is>
      </c>
      <c r="B110" s="21" t="inlineStr">
        <is>
          <t>Коммерческая</t>
        </is>
      </c>
      <c r="C110" s="21" t="inlineStr">
        <is>
          <t>Красноярск</t>
        </is>
      </c>
      <c r="D110" s="22">
        <f>SUMIFS(ЦИАН!$D:$D,ЦИАН!$A:$A,"Коммерческая · Продажа",ЦИАН!$B:$B,"Офис",ЦИАН!$C:$C,$C110)+SUMIFS(ЦИАН!$D:$D,ЦИАН!$A:$A,"Коммерческая · Продажа",ЦИАН!$B:$B,"Торговая площадь",ЦИАН!$C:$C,$C110)+SUMIFS(ЦИАН!$D:$D,ЦИАН!$A:$A,"Коммерческая · Продажа",ЦИАН!$B:$B,"Складское помещение",ЦИАН!$C:$C,$C110)+SUMIFS(ЦИАН!$D:$D,ЦИАН!$A:$A,"Коммерческая · Продажа",ЦИАН!$B:$B,"Бизнес (готовый)",ЦИАН!$C:$C,$C110)</f>
        <v/>
      </c>
      <c r="E110" s="22">
        <f>SUMIFS(Яндекс!$D:$D,Яндекс!$A:$A,"Коммерческая",Яндекс!$B:$B,"Продажа",Яндекс!$C:$C,$C110)</f>
        <v/>
      </c>
      <c r="F110" s="22">
        <f>SUMIFS(Авито!$E:$E,Авито!$A:$A,"Продажа",Авито!$B:$B,"Коммерческая",Авито!$C:$C,$C110)</f>
        <v/>
      </c>
      <c r="G110" s="22">
        <f>SUMIFS(Домклик!$D:$D,Домклик!$A:$A,"Покупка",Домклик!$B:$B,"Коммерческая",Домклик!$C:$C,$C110)</f>
        <v/>
      </c>
      <c r="H110" s="21">
        <f>IFERROR(INDEX($D$1:$G$1,MATCH(MAX(D110:G110),D110:G110,0)),"")</f>
        <v/>
      </c>
    </row>
    <row r="111">
      <c r="A111" s="21" t="inlineStr">
        <is>
          <t>Продажа</t>
        </is>
      </c>
      <c r="B111" s="21" t="inlineStr">
        <is>
          <t>Коммерческая</t>
        </is>
      </c>
      <c r="C111" s="21" t="inlineStr">
        <is>
          <t>Нижний Новгород</t>
        </is>
      </c>
      <c r="D111" s="22">
        <f>SUMIFS(ЦИАН!$D:$D,ЦИАН!$A:$A,"Коммерческая · Продажа",ЦИАН!$B:$B,"Офис",ЦИАН!$C:$C,$C111)+SUMIFS(ЦИАН!$D:$D,ЦИАН!$A:$A,"Коммерческая · Продажа",ЦИАН!$B:$B,"Торговая площадь",ЦИАН!$C:$C,$C111)+SUMIFS(ЦИАН!$D:$D,ЦИАН!$A:$A,"Коммерческая · Продажа",ЦИАН!$B:$B,"Складское помещение",ЦИАН!$C:$C,$C111)+SUMIFS(ЦИАН!$D:$D,ЦИАН!$A:$A,"Коммерческая · Продажа",ЦИАН!$B:$B,"Бизнес (готовый)",ЦИАН!$C:$C,$C111)</f>
        <v/>
      </c>
      <c r="E111" s="22">
        <f>SUMIFS(Яндекс!$D:$D,Яндекс!$A:$A,"Коммерческая",Яндекс!$B:$B,"Продажа",Яндекс!$C:$C,$C111)</f>
        <v/>
      </c>
      <c r="F111" s="22">
        <f>SUMIFS(Авито!$E:$E,Авито!$A:$A,"Продажа",Авито!$B:$B,"Коммерческая",Авито!$C:$C,$C111)</f>
        <v/>
      </c>
      <c r="G111" s="22">
        <f>SUMIFS(Домклик!$D:$D,Домклик!$A:$A,"Покупка",Домклик!$B:$B,"Коммерческая",Домклик!$C:$C,$C111)</f>
        <v/>
      </c>
      <c r="H111" s="21">
        <f>IFERROR(INDEX($D$1:$G$1,MATCH(MAX(D111:G111),D111:G111,0)),"")</f>
        <v/>
      </c>
    </row>
    <row r="112">
      <c r="A112" s="21" t="inlineStr">
        <is>
          <t>Продажа</t>
        </is>
      </c>
      <c r="B112" s="21" t="inlineStr">
        <is>
          <t>Коммерческая</t>
        </is>
      </c>
      <c r="C112" s="21" t="inlineStr">
        <is>
          <t>Челябинск</t>
        </is>
      </c>
      <c r="D112" s="22">
        <f>SUMIFS(ЦИАН!$D:$D,ЦИАН!$A:$A,"Коммерческая · Продажа",ЦИАН!$B:$B,"Офис",ЦИАН!$C:$C,$C112)+SUMIFS(ЦИАН!$D:$D,ЦИАН!$A:$A,"Коммерческая · Продажа",ЦИАН!$B:$B,"Торговая площадь",ЦИАН!$C:$C,$C112)+SUMIFS(ЦИАН!$D:$D,ЦИАН!$A:$A,"Коммерческая · Продажа",ЦИАН!$B:$B,"Складское помещение",ЦИАН!$C:$C,$C112)+SUMIFS(ЦИАН!$D:$D,ЦИАН!$A:$A,"Коммерческая · Продажа",ЦИАН!$B:$B,"Бизнес (готовый)",ЦИАН!$C:$C,$C112)</f>
        <v/>
      </c>
      <c r="E112" s="22">
        <f>SUMIFS(Яндекс!$D:$D,Яндекс!$A:$A,"Коммерческая",Яндекс!$B:$B,"Продажа",Яндекс!$C:$C,$C112)</f>
        <v/>
      </c>
      <c r="F112" s="22">
        <f>SUMIFS(Авито!$E:$E,Авито!$A:$A,"Продажа",Авито!$B:$B,"Коммерческая",Авито!$C:$C,$C112)</f>
        <v/>
      </c>
      <c r="G112" s="22">
        <f>SUMIFS(Домклик!$D:$D,Домклик!$A:$A,"Покупка",Домклик!$B:$B,"Коммерческая",Домклик!$C:$C,$C112)</f>
        <v/>
      </c>
      <c r="H112" s="21">
        <f>IFERROR(INDEX($D$1:$G$1,MATCH(MAX(D112:G112),D112:G112,0)),"")</f>
        <v/>
      </c>
    </row>
    <row r="113">
      <c r="A113" s="21" t="inlineStr">
        <is>
          <t>Продажа</t>
        </is>
      </c>
      <c r="B113" s="21" t="inlineStr">
        <is>
          <t>Коммерческая</t>
        </is>
      </c>
      <c r="C113" s="21" t="inlineStr">
        <is>
          <t>Уфа</t>
        </is>
      </c>
      <c r="D113" s="22">
        <f>SUMIFS(ЦИАН!$D:$D,ЦИАН!$A:$A,"Коммерческая · Продажа",ЦИАН!$B:$B,"Офис",ЦИАН!$C:$C,$C113)+SUMIFS(ЦИАН!$D:$D,ЦИАН!$A:$A,"Коммерческая · Продажа",ЦИАН!$B:$B,"Торговая площадь",ЦИАН!$C:$C,$C113)+SUMIFS(ЦИАН!$D:$D,ЦИАН!$A:$A,"Коммерческая · Продажа",ЦИАН!$B:$B,"Складское помещение",ЦИАН!$C:$C,$C113)+SUMIFS(ЦИАН!$D:$D,ЦИАН!$A:$A,"Коммерческая · Продажа",ЦИАН!$B:$B,"Бизнес (готовый)",ЦИАН!$C:$C,$C113)</f>
        <v/>
      </c>
      <c r="E113" s="22">
        <f>SUMIFS(Яндекс!$D:$D,Яндекс!$A:$A,"Коммерческая",Яндекс!$B:$B,"Продажа",Яндекс!$C:$C,$C113)</f>
        <v/>
      </c>
      <c r="F113" s="22">
        <f>SUMIFS(Авито!$E:$E,Авито!$A:$A,"Продажа",Авито!$B:$B,"Коммерческая",Авито!$C:$C,$C113)</f>
        <v/>
      </c>
      <c r="G113" s="22">
        <f>SUMIFS(Домклик!$D:$D,Домклик!$A:$A,"Покупка",Домклик!$B:$B,"Коммерческая",Домклик!$C:$C,$C113)</f>
        <v/>
      </c>
      <c r="H113" s="21">
        <f>IFERROR(INDEX($D$1:$G$1,MATCH(MAX(D113:G113),D113:G113,0)),"")</f>
        <v/>
      </c>
    </row>
    <row r="114">
      <c r="A114" s="21" t="inlineStr">
        <is>
          <t>Продажа</t>
        </is>
      </c>
      <c r="B114" s="21" t="inlineStr">
        <is>
          <t>Коммерческая</t>
        </is>
      </c>
      <c r="C114" s="21" t="inlineStr">
        <is>
          <t>Краснодар</t>
        </is>
      </c>
      <c r="D114" s="22">
        <f>SUMIFS(ЦИАН!$D:$D,ЦИАН!$A:$A,"Коммерческая · Продажа",ЦИАН!$B:$B,"Офис",ЦИАН!$C:$C,$C114)+SUMIFS(ЦИАН!$D:$D,ЦИАН!$A:$A,"Коммерческая · Продажа",ЦИАН!$B:$B,"Торговая площадь",ЦИАН!$C:$C,$C114)+SUMIFS(ЦИАН!$D:$D,ЦИАН!$A:$A,"Коммерческая · Продажа",ЦИАН!$B:$B,"Складское помещение",ЦИАН!$C:$C,$C114)+SUMIFS(ЦИАН!$D:$D,ЦИАН!$A:$A,"Коммерческая · Продажа",ЦИАН!$B:$B,"Бизнес (готовый)",ЦИАН!$C:$C,$C114)</f>
        <v/>
      </c>
      <c r="E114" s="22">
        <f>SUMIFS(Яндекс!$D:$D,Яндекс!$A:$A,"Коммерческая",Яндекс!$B:$B,"Продажа",Яндекс!$C:$C,$C114)</f>
        <v/>
      </c>
      <c r="F114" s="22">
        <f>SUMIFS(Авито!$E:$E,Авито!$A:$A,"Продажа",Авито!$B:$B,"Коммерческая",Авито!$C:$C,$C114)</f>
        <v/>
      </c>
      <c r="G114" s="22">
        <f>SUMIFS(Домклик!$D:$D,Домклик!$A:$A,"Покупка",Домклик!$B:$B,"Коммерческая",Домклик!$C:$C,$C114)</f>
        <v/>
      </c>
      <c r="H114" s="21">
        <f>IFERROR(INDEX($D$1:$G$1,MATCH(MAX(D114:G114),D114:G114,0)),"")</f>
        <v/>
      </c>
    </row>
    <row r="115">
      <c r="A115" s="21" t="inlineStr">
        <is>
          <t>Продажа</t>
        </is>
      </c>
      <c r="B115" s="21" t="inlineStr">
        <is>
          <t>Коммерческая</t>
        </is>
      </c>
      <c r="C115" s="21" t="inlineStr">
        <is>
          <t>Самара</t>
        </is>
      </c>
      <c r="D115" s="22">
        <f>SUMIFS(ЦИАН!$D:$D,ЦИАН!$A:$A,"Коммерческая · Продажа",ЦИАН!$B:$B,"Офис",ЦИАН!$C:$C,$C115)+SUMIFS(ЦИАН!$D:$D,ЦИАН!$A:$A,"Коммерческая · Продажа",ЦИАН!$B:$B,"Торговая площадь",ЦИАН!$C:$C,$C115)+SUMIFS(ЦИАН!$D:$D,ЦИАН!$A:$A,"Коммерческая · Продажа",ЦИАН!$B:$B,"Складское помещение",ЦИАН!$C:$C,$C115)+SUMIFS(ЦИАН!$D:$D,ЦИАН!$A:$A,"Коммерческая · Продажа",ЦИАН!$B:$B,"Бизнес (готовый)",ЦИАН!$C:$C,$C115)</f>
        <v/>
      </c>
      <c r="E115" s="22">
        <f>SUMIFS(Яндекс!$D:$D,Яндекс!$A:$A,"Коммерческая",Яндекс!$B:$B,"Продажа",Яндекс!$C:$C,$C115)</f>
        <v/>
      </c>
      <c r="F115" s="22">
        <f>SUMIFS(Авито!$E:$E,Авито!$A:$A,"Продажа",Авито!$B:$B,"Коммерческая",Авито!$C:$C,$C115)</f>
        <v/>
      </c>
      <c r="G115" s="22">
        <f>SUMIFS(Домклик!$D:$D,Домклик!$A:$A,"Покупка",Домклик!$B:$B,"Коммерческая",Домклик!$C:$C,$C115)</f>
        <v/>
      </c>
      <c r="H115" s="21">
        <f>IFERROR(INDEX($D$1:$G$1,MATCH(MAX(D115:G115),D115:G115,0)),"")</f>
        <v/>
      </c>
    </row>
    <row r="116">
      <c r="A116" s="21" t="inlineStr">
        <is>
          <t>Продажа</t>
        </is>
      </c>
      <c r="B116" s="21" t="inlineStr">
        <is>
          <t>Коммерческая</t>
        </is>
      </c>
      <c r="C116" s="21" t="inlineStr">
        <is>
          <t>Ростов-на-Дону</t>
        </is>
      </c>
      <c r="D116" s="22">
        <f>SUMIFS(ЦИАН!$D:$D,ЦИАН!$A:$A,"Коммерческая · Продажа",ЦИАН!$B:$B,"Офис",ЦИАН!$C:$C,$C116)+SUMIFS(ЦИАН!$D:$D,ЦИАН!$A:$A,"Коммерческая · Продажа",ЦИАН!$B:$B,"Торговая площадь",ЦИАН!$C:$C,$C116)+SUMIFS(ЦИАН!$D:$D,ЦИАН!$A:$A,"Коммерческая · Продажа",ЦИАН!$B:$B,"Складское помещение",ЦИАН!$C:$C,$C116)+SUMIFS(ЦИАН!$D:$D,ЦИАН!$A:$A,"Коммерческая · Продажа",ЦИАН!$B:$B,"Бизнес (готовый)",ЦИАН!$C:$C,$C116)</f>
        <v/>
      </c>
      <c r="E116" s="22">
        <f>SUMIFS(Яндекс!$D:$D,Яндекс!$A:$A,"Коммерческая",Яндекс!$B:$B,"Продажа",Яндекс!$C:$C,$C116)</f>
        <v/>
      </c>
      <c r="F116" s="22">
        <f>SUMIFS(Авито!$E:$E,Авито!$A:$A,"Продажа",Авито!$B:$B,"Коммерческая",Авито!$C:$C,$C116)</f>
        <v/>
      </c>
      <c r="G116" s="22">
        <f>SUMIFS(Домклик!$D:$D,Домклик!$A:$A,"Покупка",Домклик!$B:$B,"Коммерческая",Домклик!$C:$C,$C116)</f>
        <v/>
      </c>
      <c r="H116" s="21">
        <f>IFERROR(INDEX($D$1:$G$1,MATCH(MAX(D116:G116),D116:G116,0)),"")</f>
        <v/>
      </c>
    </row>
    <row r="117">
      <c r="A117" s="21" t="inlineStr">
        <is>
          <t>Продажа</t>
        </is>
      </c>
      <c r="B117" s="21" t="inlineStr">
        <is>
          <t>Коммерческая</t>
        </is>
      </c>
      <c r="C117" s="21" t="inlineStr">
        <is>
          <t>Омск</t>
        </is>
      </c>
      <c r="D117" s="22">
        <f>SUMIFS(ЦИАН!$D:$D,ЦИАН!$A:$A,"Коммерческая · Продажа",ЦИАН!$B:$B,"Офис",ЦИАН!$C:$C,$C117)+SUMIFS(ЦИАН!$D:$D,ЦИАН!$A:$A,"Коммерческая · Продажа",ЦИАН!$B:$B,"Торговая площадь",ЦИАН!$C:$C,$C117)+SUMIFS(ЦИАН!$D:$D,ЦИАН!$A:$A,"Коммерческая · Продажа",ЦИАН!$B:$B,"Складское помещение",ЦИАН!$C:$C,$C117)+SUMIFS(ЦИАН!$D:$D,ЦИАН!$A:$A,"Коммерческая · Продажа",ЦИАН!$B:$B,"Бизнес (готовый)",ЦИАН!$C:$C,$C117)</f>
        <v/>
      </c>
      <c r="E117" s="22">
        <f>SUMIFS(Яндекс!$D:$D,Яндекс!$A:$A,"Коммерческая",Яндекс!$B:$B,"Продажа",Яндекс!$C:$C,$C117)</f>
        <v/>
      </c>
      <c r="F117" s="22">
        <f>SUMIFS(Авито!$E:$E,Авито!$A:$A,"Продажа",Авито!$B:$B,"Коммерческая",Авито!$C:$C,$C117)</f>
        <v/>
      </c>
      <c r="G117" s="22">
        <f>SUMIFS(Домклик!$D:$D,Домклик!$A:$A,"Покупка",Домклик!$B:$B,"Коммерческая",Домклик!$C:$C,$C117)</f>
        <v/>
      </c>
      <c r="H117" s="21">
        <f>IFERROR(INDEX($D$1:$G$1,MATCH(MAX(D117:G117),D117:G117,0)),"")</f>
        <v/>
      </c>
    </row>
    <row r="118">
      <c r="A118" s="21" t="inlineStr">
        <is>
          <t>Продажа</t>
        </is>
      </c>
      <c r="B118" s="21" t="inlineStr">
        <is>
          <t>Коммерческая</t>
        </is>
      </c>
      <c r="C118" s="21" t="inlineStr">
        <is>
          <t>Воронеж</t>
        </is>
      </c>
      <c r="D118" s="22">
        <f>SUMIFS(ЦИАН!$D:$D,ЦИАН!$A:$A,"Коммерческая · Продажа",ЦИАН!$B:$B,"Офис",ЦИАН!$C:$C,$C118)+SUMIFS(ЦИАН!$D:$D,ЦИАН!$A:$A,"Коммерческая · Продажа",ЦИАН!$B:$B,"Торговая площадь",ЦИАН!$C:$C,$C118)+SUMIFS(ЦИАН!$D:$D,ЦИАН!$A:$A,"Коммерческая · Продажа",ЦИАН!$B:$B,"Складское помещение",ЦИАН!$C:$C,$C118)+SUMIFS(ЦИАН!$D:$D,ЦИАН!$A:$A,"Коммерческая · Продажа",ЦИАН!$B:$B,"Бизнес (готовый)",ЦИАН!$C:$C,$C118)</f>
        <v/>
      </c>
      <c r="E118" s="22">
        <f>SUMIFS(Яндекс!$D:$D,Яндекс!$A:$A,"Коммерческая",Яндекс!$B:$B,"Продажа",Яндекс!$C:$C,$C118)</f>
        <v/>
      </c>
      <c r="F118" s="22">
        <f>SUMIFS(Авито!$E:$E,Авито!$A:$A,"Продажа",Авито!$B:$B,"Коммерческая",Авито!$C:$C,$C118)</f>
        <v/>
      </c>
      <c r="G118" s="22">
        <f>SUMIFS(Домклик!$D:$D,Домклик!$A:$A,"Покупка",Домклик!$B:$B,"Коммерческая",Домклик!$C:$C,$C118)</f>
        <v/>
      </c>
      <c r="H118" s="21">
        <f>IFERROR(INDEX($D$1:$G$1,MATCH(MAX(D118:G118),D118:G118,0)),"")</f>
        <v/>
      </c>
    </row>
    <row r="119">
      <c r="A119" s="21" t="inlineStr">
        <is>
          <t>Продажа</t>
        </is>
      </c>
      <c r="B119" s="21" t="inlineStr">
        <is>
          <t>Коммерческая</t>
        </is>
      </c>
      <c r="C119" s="21" t="inlineStr">
        <is>
          <t>Пермь</t>
        </is>
      </c>
      <c r="D119" s="22">
        <f>SUMIFS(ЦИАН!$D:$D,ЦИАН!$A:$A,"Коммерческая · Продажа",ЦИАН!$B:$B,"Офис",ЦИАН!$C:$C,$C119)+SUMIFS(ЦИАН!$D:$D,ЦИАН!$A:$A,"Коммерческая · Продажа",ЦИАН!$B:$B,"Торговая площадь",ЦИАН!$C:$C,$C119)+SUMIFS(ЦИАН!$D:$D,ЦИАН!$A:$A,"Коммерческая · Продажа",ЦИАН!$B:$B,"Складское помещение",ЦИАН!$C:$C,$C119)+SUMIFS(ЦИАН!$D:$D,ЦИАН!$A:$A,"Коммерческая · Продажа",ЦИАН!$B:$B,"Бизнес (готовый)",ЦИАН!$C:$C,$C119)</f>
        <v/>
      </c>
      <c r="E119" s="22">
        <f>SUMIFS(Яндекс!$D:$D,Яндекс!$A:$A,"Коммерческая",Яндекс!$B:$B,"Продажа",Яндекс!$C:$C,$C119)</f>
        <v/>
      </c>
      <c r="F119" s="22">
        <f>SUMIFS(Авито!$E:$E,Авито!$A:$A,"Продажа",Авито!$B:$B,"Коммерческая",Авито!$C:$C,$C119)</f>
        <v/>
      </c>
      <c r="G119" s="22">
        <f>SUMIFS(Домклик!$D:$D,Домклик!$A:$A,"Покупка",Домклик!$B:$B,"Коммерческая",Домклик!$C:$C,$C119)</f>
        <v/>
      </c>
      <c r="H119" s="21">
        <f>IFERROR(INDEX($D$1:$G$1,MATCH(MAX(D119:G119),D119:G119,0)),"")</f>
        <v/>
      </c>
    </row>
    <row r="120">
      <c r="A120" s="21" t="inlineStr">
        <is>
          <t>Продажа</t>
        </is>
      </c>
      <c r="B120" s="21" t="inlineStr">
        <is>
          <t>Коммерческая</t>
        </is>
      </c>
      <c r="C120" s="21" t="inlineStr">
        <is>
          <t>Волгоград</t>
        </is>
      </c>
      <c r="D120" s="22">
        <f>SUMIFS(ЦИАН!$D:$D,ЦИАН!$A:$A,"Коммерческая · Продажа",ЦИАН!$B:$B,"Офис",ЦИАН!$C:$C,$C120)+SUMIFS(ЦИАН!$D:$D,ЦИАН!$A:$A,"Коммерческая · Продажа",ЦИАН!$B:$B,"Торговая площадь",ЦИАН!$C:$C,$C120)+SUMIFS(ЦИАН!$D:$D,ЦИАН!$A:$A,"Коммерческая · Продажа",ЦИАН!$B:$B,"Складское помещение",ЦИАН!$C:$C,$C120)+SUMIFS(ЦИАН!$D:$D,ЦИАН!$A:$A,"Коммерческая · Продажа",ЦИАН!$B:$B,"Бизнес (готовый)",ЦИАН!$C:$C,$C120)</f>
        <v/>
      </c>
      <c r="E120" s="22">
        <f>SUMIFS(Яндекс!$D:$D,Яндекс!$A:$A,"Коммерческая",Яндекс!$B:$B,"Продажа",Яндекс!$C:$C,$C120)</f>
        <v/>
      </c>
      <c r="F120" s="22">
        <f>SUMIFS(Авито!$E:$E,Авито!$A:$A,"Продажа",Авито!$B:$B,"Коммерческая",Авито!$C:$C,$C120)</f>
        <v/>
      </c>
      <c r="G120" s="22">
        <f>SUMIFS(Домклик!$D:$D,Домклик!$A:$A,"Покупка",Домклик!$B:$B,"Коммерческая",Домклик!$C:$C,$C120)</f>
        <v/>
      </c>
      <c r="H120" s="21">
        <f>IFERROR(INDEX($D$1:$G$1,MATCH(MAX(D120:G120),D120:G120,0)),"")</f>
        <v/>
      </c>
    </row>
    <row r="121">
      <c r="A121" s="27" t="inlineStr">
        <is>
          <t>Аренда</t>
        </is>
      </c>
      <c r="B121" s="17" t="inlineStr">
        <is>
          <t>Квартиры</t>
        </is>
      </c>
      <c r="C121" s="28" t="inlineStr">
        <is>
          <t>🇷🇺 Вся Россия</t>
        </is>
      </c>
      <c r="D121" s="19">
        <f>SUMIFS(ЦИАН!$D:$D,ЦИАН!$A:$A,"Аренда квартир",ЦИАН!$B:$B,"Длительная: Квартиры",ЦИАН!$C:$C,$C121)</f>
        <v/>
      </c>
      <c r="E121" s="19">
        <f>SUMIFS(Яндекс!$D:$D,Яндекс!$A:$A,"Снять",Яндекс!$B:$B,"Квартира",Яндекс!$C:$C,$C121)</f>
        <v/>
      </c>
      <c r="F121" s="19">
        <f>SUMIFS(Авито!$E:$E,Авито!$A:$A,"Аренда",Авито!$B:$B,"Квартиры долгосрочно",Авито!$C:$C,$C121)</f>
        <v/>
      </c>
      <c r="G121" s="19">
        <f>SUMIFS(Домклик!$D:$D,Домклик!$A:$A,"Аренда",Домклик!$B:$B,"Квартиры",Домклик!$C:$C,$C121)</f>
        <v/>
      </c>
      <c r="H121" s="18">
        <f>IFERROR(INDEX($D$1:$G$1,MATCH(MAX(D121:G121),D121:G121,0)),"")</f>
        <v/>
      </c>
    </row>
    <row r="122">
      <c r="A122" s="21" t="inlineStr">
        <is>
          <t>Аренда</t>
        </is>
      </c>
      <c r="B122" s="21" t="inlineStr">
        <is>
          <t>Квартиры</t>
        </is>
      </c>
      <c r="C122" s="21" t="inlineStr">
        <is>
          <t>Москва</t>
        </is>
      </c>
      <c r="D122" s="22">
        <f>SUMIFS(ЦИАН!$D:$D,ЦИАН!$A:$A,"Аренда квартир",ЦИАН!$B:$B,"Длительная: Квартиры",ЦИАН!$C:$C,$C122)</f>
        <v/>
      </c>
      <c r="E122" s="22">
        <f>SUMIFS(Яндекс!$D:$D,Яндекс!$A:$A,"Снять",Яндекс!$B:$B,"Квартира",Яндекс!$C:$C,$C122)</f>
        <v/>
      </c>
      <c r="F122" s="22">
        <f>SUMIFS(Авито!$E:$E,Авито!$A:$A,"Аренда",Авито!$B:$B,"Квартиры долгосрочно",Авито!$C:$C,$C122)</f>
        <v/>
      </c>
      <c r="G122" s="22">
        <f>SUMIFS(Домклик!$D:$D,Домклик!$A:$A,"Аренда",Домклик!$B:$B,"Квартиры",Домклик!$C:$C,$C122)</f>
        <v/>
      </c>
      <c r="H122" s="21">
        <f>IFERROR(INDEX($D$1:$G$1,MATCH(MAX(D122:G122),D122:G122,0)),"")</f>
        <v/>
      </c>
    </row>
    <row r="123">
      <c r="A123" s="21" t="inlineStr">
        <is>
          <t>Аренда</t>
        </is>
      </c>
      <c r="B123" s="21" t="inlineStr">
        <is>
          <t>Квартиры</t>
        </is>
      </c>
      <c r="C123" s="21" t="inlineStr">
        <is>
          <t>Санкт-Петербург</t>
        </is>
      </c>
      <c r="D123" s="22">
        <f>SUMIFS(ЦИАН!$D:$D,ЦИАН!$A:$A,"Аренда квартир",ЦИАН!$B:$B,"Длительная: Квартиры",ЦИАН!$C:$C,$C123)</f>
        <v/>
      </c>
      <c r="E123" s="22">
        <f>SUMIFS(Яндекс!$D:$D,Яндекс!$A:$A,"Снять",Яндекс!$B:$B,"Квартира",Яндекс!$C:$C,$C123)</f>
        <v/>
      </c>
      <c r="F123" s="22">
        <f>SUMIFS(Авито!$E:$E,Авито!$A:$A,"Аренда",Авито!$B:$B,"Квартиры долгосрочно",Авито!$C:$C,$C123)</f>
        <v/>
      </c>
      <c r="G123" s="22">
        <f>SUMIFS(Домклик!$D:$D,Домклик!$A:$A,"Аренда",Домклик!$B:$B,"Квартиры",Домклик!$C:$C,$C123)</f>
        <v/>
      </c>
      <c r="H123" s="21">
        <f>IFERROR(INDEX($D$1:$G$1,MATCH(MAX(D123:G123),D123:G123,0)),"")</f>
        <v/>
      </c>
    </row>
    <row r="124">
      <c r="A124" s="21" t="inlineStr">
        <is>
          <t>Аренда</t>
        </is>
      </c>
      <c r="B124" s="21" t="inlineStr">
        <is>
          <t>Квартиры</t>
        </is>
      </c>
      <c r="C124" s="21" t="inlineStr">
        <is>
          <t>Новосибирск</t>
        </is>
      </c>
      <c r="D124" s="22">
        <f>SUMIFS(ЦИАН!$D:$D,ЦИАН!$A:$A,"Аренда квартир",ЦИАН!$B:$B,"Длительная: Квартиры",ЦИАН!$C:$C,$C124)</f>
        <v/>
      </c>
      <c r="E124" s="22">
        <f>SUMIFS(Яндекс!$D:$D,Яндекс!$A:$A,"Снять",Яндекс!$B:$B,"Квартира",Яндекс!$C:$C,$C124)</f>
        <v/>
      </c>
      <c r="F124" s="22">
        <f>SUMIFS(Авито!$E:$E,Авито!$A:$A,"Аренда",Авито!$B:$B,"Квартиры долгосрочно",Авито!$C:$C,$C124)</f>
        <v/>
      </c>
      <c r="G124" s="22">
        <f>SUMIFS(Домклик!$D:$D,Домклик!$A:$A,"Аренда",Домклик!$B:$B,"Квартиры",Домклик!$C:$C,$C124)</f>
        <v/>
      </c>
      <c r="H124" s="21">
        <f>IFERROR(INDEX($D$1:$G$1,MATCH(MAX(D124:G124),D124:G124,0)),"")</f>
        <v/>
      </c>
    </row>
    <row r="125">
      <c r="A125" s="21" t="inlineStr">
        <is>
          <t>Аренда</t>
        </is>
      </c>
      <c r="B125" s="21" t="inlineStr">
        <is>
          <t>Квартиры</t>
        </is>
      </c>
      <c r="C125" s="21" t="inlineStr">
        <is>
          <t>Екатеринбург</t>
        </is>
      </c>
      <c r="D125" s="22">
        <f>SUMIFS(ЦИАН!$D:$D,ЦИАН!$A:$A,"Аренда квартир",ЦИАН!$B:$B,"Длительная: Квартиры",ЦИАН!$C:$C,$C125)</f>
        <v/>
      </c>
      <c r="E125" s="22">
        <f>SUMIFS(Яндекс!$D:$D,Яндекс!$A:$A,"Снять",Яндекс!$B:$B,"Квартира",Яндекс!$C:$C,$C125)</f>
        <v/>
      </c>
      <c r="F125" s="22">
        <f>SUMIFS(Авито!$E:$E,Авито!$A:$A,"Аренда",Авито!$B:$B,"Квартиры долгосрочно",Авито!$C:$C,$C125)</f>
        <v/>
      </c>
      <c r="G125" s="22">
        <f>SUMIFS(Домклик!$D:$D,Домклик!$A:$A,"Аренда",Домклик!$B:$B,"Квартиры",Домклик!$C:$C,$C125)</f>
        <v/>
      </c>
      <c r="H125" s="21">
        <f>IFERROR(INDEX($D$1:$G$1,MATCH(MAX(D125:G125),D125:G125,0)),"")</f>
        <v/>
      </c>
    </row>
    <row r="126">
      <c r="A126" s="21" t="inlineStr">
        <is>
          <t>Аренда</t>
        </is>
      </c>
      <c r="B126" s="21" t="inlineStr">
        <is>
          <t>Квартиры</t>
        </is>
      </c>
      <c r="C126" s="21" t="inlineStr">
        <is>
          <t>Казань</t>
        </is>
      </c>
      <c r="D126" s="22">
        <f>SUMIFS(ЦИАН!$D:$D,ЦИАН!$A:$A,"Аренда квартир",ЦИАН!$B:$B,"Длительная: Квартиры",ЦИАН!$C:$C,$C126)</f>
        <v/>
      </c>
      <c r="E126" s="22">
        <f>SUMIFS(Яндекс!$D:$D,Яндекс!$A:$A,"Снять",Яндекс!$B:$B,"Квартира",Яндекс!$C:$C,$C126)</f>
        <v/>
      </c>
      <c r="F126" s="22">
        <f>SUMIFS(Авито!$E:$E,Авито!$A:$A,"Аренда",Авито!$B:$B,"Квартиры долгосрочно",Авито!$C:$C,$C126)</f>
        <v/>
      </c>
      <c r="G126" s="22">
        <f>SUMIFS(Домклик!$D:$D,Домклик!$A:$A,"Аренда",Домклик!$B:$B,"Квартиры",Домклик!$C:$C,$C126)</f>
        <v/>
      </c>
      <c r="H126" s="21">
        <f>IFERROR(INDEX($D$1:$G$1,MATCH(MAX(D126:G126),D126:G126,0)),"")</f>
        <v/>
      </c>
    </row>
    <row r="127">
      <c r="A127" s="21" t="inlineStr">
        <is>
          <t>Аренда</t>
        </is>
      </c>
      <c r="B127" s="21" t="inlineStr">
        <is>
          <t>Квартиры</t>
        </is>
      </c>
      <c r="C127" s="21" t="inlineStr">
        <is>
          <t>Красноярск</t>
        </is>
      </c>
      <c r="D127" s="22">
        <f>SUMIFS(ЦИАН!$D:$D,ЦИАН!$A:$A,"Аренда квартир",ЦИАН!$B:$B,"Длительная: Квартиры",ЦИАН!$C:$C,$C127)</f>
        <v/>
      </c>
      <c r="E127" s="22">
        <f>SUMIFS(Яндекс!$D:$D,Яндекс!$A:$A,"Снять",Яндекс!$B:$B,"Квартира",Яндекс!$C:$C,$C127)</f>
        <v/>
      </c>
      <c r="F127" s="22">
        <f>SUMIFS(Авито!$E:$E,Авито!$A:$A,"Аренда",Авито!$B:$B,"Квартиры долгосрочно",Авито!$C:$C,$C127)</f>
        <v/>
      </c>
      <c r="G127" s="22">
        <f>SUMIFS(Домклик!$D:$D,Домклик!$A:$A,"Аренда",Домклик!$B:$B,"Квартиры",Домклик!$C:$C,$C127)</f>
        <v/>
      </c>
      <c r="H127" s="21">
        <f>IFERROR(INDEX($D$1:$G$1,MATCH(MAX(D127:G127),D127:G127,0)),"")</f>
        <v/>
      </c>
    </row>
    <row r="128">
      <c r="A128" s="21" t="inlineStr">
        <is>
          <t>Аренда</t>
        </is>
      </c>
      <c r="B128" s="21" t="inlineStr">
        <is>
          <t>Квартиры</t>
        </is>
      </c>
      <c r="C128" s="21" t="inlineStr">
        <is>
          <t>Нижний Новгород</t>
        </is>
      </c>
      <c r="D128" s="22">
        <f>SUMIFS(ЦИАН!$D:$D,ЦИАН!$A:$A,"Аренда квартир",ЦИАН!$B:$B,"Длительная: Квартиры",ЦИАН!$C:$C,$C128)</f>
        <v/>
      </c>
      <c r="E128" s="22">
        <f>SUMIFS(Яндекс!$D:$D,Яндекс!$A:$A,"Снять",Яндекс!$B:$B,"Квартира",Яндекс!$C:$C,$C128)</f>
        <v/>
      </c>
      <c r="F128" s="22">
        <f>SUMIFS(Авито!$E:$E,Авито!$A:$A,"Аренда",Авито!$B:$B,"Квартиры долгосрочно",Авито!$C:$C,$C128)</f>
        <v/>
      </c>
      <c r="G128" s="22">
        <f>SUMIFS(Домклик!$D:$D,Домклик!$A:$A,"Аренда",Домклик!$B:$B,"Квартиры",Домклик!$C:$C,$C128)</f>
        <v/>
      </c>
      <c r="H128" s="21">
        <f>IFERROR(INDEX($D$1:$G$1,MATCH(MAX(D128:G128),D128:G128,0)),"")</f>
        <v/>
      </c>
    </row>
    <row r="129">
      <c r="A129" s="21" t="inlineStr">
        <is>
          <t>Аренда</t>
        </is>
      </c>
      <c r="B129" s="21" t="inlineStr">
        <is>
          <t>Квартиры</t>
        </is>
      </c>
      <c r="C129" s="21" t="inlineStr">
        <is>
          <t>Челябинск</t>
        </is>
      </c>
      <c r="D129" s="22">
        <f>SUMIFS(ЦИАН!$D:$D,ЦИАН!$A:$A,"Аренда квартир",ЦИАН!$B:$B,"Длительная: Квартиры",ЦИАН!$C:$C,$C129)</f>
        <v/>
      </c>
      <c r="E129" s="22">
        <f>SUMIFS(Яндекс!$D:$D,Яндекс!$A:$A,"Снять",Яндекс!$B:$B,"Квартира",Яндекс!$C:$C,$C129)</f>
        <v/>
      </c>
      <c r="F129" s="22">
        <f>SUMIFS(Авито!$E:$E,Авито!$A:$A,"Аренда",Авито!$B:$B,"Квартиры долгосрочно",Авито!$C:$C,$C129)</f>
        <v/>
      </c>
      <c r="G129" s="22">
        <f>SUMIFS(Домклик!$D:$D,Домклик!$A:$A,"Аренда",Домклик!$B:$B,"Квартиры",Домклик!$C:$C,$C129)</f>
        <v/>
      </c>
      <c r="H129" s="21">
        <f>IFERROR(INDEX($D$1:$G$1,MATCH(MAX(D129:G129),D129:G129,0)),"")</f>
        <v/>
      </c>
    </row>
    <row r="130">
      <c r="A130" s="21" t="inlineStr">
        <is>
          <t>Аренда</t>
        </is>
      </c>
      <c r="B130" s="21" t="inlineStr">
        <is>
          <t>Квартиры</t>
        </is>
      </c>
      <c r="C130" s="21" t="inlineStr">
        <is>
          <t>Уфа</t>
        </is>
      </c>
      <c r="D130" s="22">
        <f>SUMIFS(ЦИАН!$D:$D,ЦИАН!$A:$A,"Аренда квартир",ЦИАН!$B:$B,"Длительная: Квартиры",ЦИАН!$C:$C,$C130)</f>
        <v/>
      </c>
      <c r="E130" s="22">
        <f>SUMIFS(Яндекс!$D:$D,Яндекс!$A:$A,"Снять",Яндекс!$B:$B,"Квартира",Яндекс!$C:$C,$C130)</f>
        <v/>
      </c>
      <c r="F130" s="22">
        <f>SUMIFS(Авито!$E:$E,Авито!$A:$A,"Аренда",Авито!$B:$B,"Квартиры долгосрочно",Авито!$C:$C,$C130)</f>
        <v/>
      </c>
      <c r="G130" s="22">
        <f>SUMIFS(Домклик!$D:$D,Домклик!$A:$A,"Аренда",Домклик!$B:$B,"Квартиры",Домклик!$C:$C,$C130)</f>
        <v/>
      </c>
      <c r="H130" s="21">
        <f>IFERROR(INDEX($D$1:$G$1,MATCH(MAX(D130:G130),D130:G130,0)),"")</f>
        <v/>
      </c>
    </row>
    <row r="131">
      <c r="A131" s="21" t="inlineStr">
        <is>
          <t>Аренда</t>
        </is>
      </c>
      <c r="B131" s="21" t="inlineStr">
        <is>
          <t>Квартиры</t>
        </is>
      </c>
      <c r="C131" s="21" t="inlineStr">
        <is>
          <t>Краснодар</t>
        </is>
      </c>
      <c r="D131" s="22">
        <f>SUMIFS(ЦИАН!$D:$D,ЦИАН!$A:$A,"Аренда квартир",ЦИАН!$B:$B,"Длительная: Квартиры",ЦИАН!$C:$C,$C131)</f>
        <v/>
      </c>
      <c r="E131" s="22">
        <f>SUMIFS(Яндекс!$D:$D,Яндекс!$A:$A,"Снять",Яндекс!$B:$B,"Квартира",Яндекс!$C:$C,$C131)</f>
        <v/>
      </c>
      <c r="F131" s="22">
        <f>SUMIFS(Авито!$E:$E,Авито!$A:$A,"Аренда",Авито!$B:$B,"Квартиры долгосрочно",Авито!$C:$C,$C131)</f>
        <v/>
      </c>
      <c r="G131" s="22">
        <f>SUMIFS(Домклик!$D:$D,Домклик!$A:$A,"Аренда",Домклик!$B:$B,"Квартиры",Домклик!$C:$C,$C131)</f>
        <v/>
      </c>
      <c r="H131" s="21">
        <f>IFERROR(INDEX($D$1:$G$1,MATCH(MAX(D131:G131),D131:G131,0)),"")</f>
        <v/>
      </c>
    </row>
    <row r="132">
      <c r="A132" s="21" t="inlineStr">
        <is>
          <t>Аренда</t>
        </is>
      </c>
      <c r="B132" s="21" t="inlineStr">
        <is>
          <t>Квартиры</t>
        </is>
      </c>
      <c r="C132" s="21" t="inlineStr">
        <is>
          <t>Самара</t>
        </is>
      </c>
      <c r="D132" s="22">
        <f>SUMIFS(ЦИАН!$D:$D,ЦИАН!$A:$A,"Аренда квартир",ЦИАН!$B:$B,"Длительная: Квартиры",ЦИАН!$C:$C,$C132)</f>
        <v/>
      </c>
      <c r="E132" s="22">
        <f>SUMIFS(Яндекс!$D:$D,Яндекс!$A:$A,"Снять",Яндекс!$B:$B,"Квартира",Яндекс!$C:$C,$C132)</f>
        <v/>
      </c>
      <c r="F132" s="22">
        <f>SUMIFS(Авито!$E:$E,Авито!$A:$A,"Аренда",Авито!$B:$B,"Квартиры долгосрочно",Авито!$C:$C,$C132)</f>
        <v/>
      </c>
      <c r="G132" s="22">
        <f>SUMIFS(Домклик!$D:$D,Домклик!$A:$A,"Аренда",Домклик!$B:$B,"Квартиры",Домклик!$C:$C,$C132)</f>
        <v/>
      </c>
      <c r="H132" s="21">
        <f>IFERROR(INDEX($D$1:$G$1,MATCH(MAX(D132:G132),D132:G132,0)),"")</f>
        <v/>
      </c>
    </row>
    <row r="133">
      <c r="A133" s="21" t="inlineStr">
        <is>
          <t>Аренда</t>
        </is>
      </c>
      <c r="B133" s="21" t="inlineStr">
        <is>
          <t>Квартиры</t>
        </is>
      </c>
      <c r="C133" s="21" t="inlineStr">
        <is>
          <t>Ростов-на-Дону</t>
        </is>
      </c>
      <c r="D133" s="22">
        <f>SUMIFS(ЦИАН!$D:$D,ЦИАН!$A:$A,"Аренда квартир",ЦИАН!$B:$B,"Длительная: Квартиры",ЦИАН!$C:$C,$C133)</f>
        <v/>
      </c>
      <c r="E133" s="22">
        <f>SUMIFS(Яндекс!$D:$D,Яндекс!$A:$A,"Снять",Яндекс!$B:$B,"Квартира",Яндекс!$C:$C,$C133)</f>
        <v/>
      </c>
      <c r="F133" s="22">
        <f>SUMIFS(Авито!$E:$E,Авито!$A:$A,"Аренда",Авито!$B:$B,"Квартиры долгосрочно",Авито!$C:$C,$C133)</f>
        <v/>
      </c>
      <c r="G133" s="22">
        <f>SUMIFS(Домклик!$D:$D,Домклик!$A:$A,"Аренда",Домклик!$B:$B,"Квартиры",Домклик!$C:$C,$C133)</f>
        <v/>
      </c>
      <c r="H133" s="21">
        <f>IFERROR(INDEX($D$1:$G$1,MATCH(MAX(D133:G133),D133:G133,0)),"")</f>
        <v/>
      </c>
    </row>
    <row r="134">
      <c r="A134" s="21" t="inlineStr">
        <is>
          <t>Аренда</t>
        </is>
      </c>
      <c r="B134" s="21" t="inlineStr">
        <is>
          <t>Квартиры</t>
        </is>
      </c>
      <c r="C134" s="21" t="inlineStr">
        <is>
          <t>Омск</t>
        </is>
      </c>
      <c r="D134" s="22">
        <f>SUMIFS(ЦИАН!$D:$D,ЦИАН!$A:$A,"Аренда квартир",ЦИАН!$B:$B,"Длительная: Квартиры",ЦИАН!$C:$C,$C134)</f>
        <v/>
      </c>
      <c r="E134" s="22">
        <f>SUMIFS(Яндекс!$D:$D,Яндекс!$A:$A,"Снять",Яндекс!$B:$B,"Квартира",Яндекс!$C:$C,$C134)</f>
        <v/>
      </c>
      <c r="F134" s="22">
        <f>SUMIFS(Авито!$E:$E,Авито!$A:$A,"Аренда",Авито!$B:$B,"Квартиры долгосрочно",Авито!$C:$C,$C134)</f>
        <v/>
      </c>
      <c r="G134" s="22">
        <f>SUMIFS(Домклик!$D:$D,Домклик!$A:$A,"Аренда",Домклик!$B:$B,"Квартиры",Домклик!$C:$C,$C134)</f>
        <v/>
      </c>
      <c r="H134" s="21">
        <f>IFERROR(INDEX($D$1:$G$1,MATCH(MAX(D134:G134),D134:G134,0)),"")</f>
        <v/>
      </c>
    </row>
    <row r="135">
      <c r="A135" s="21" t="inlineStr">
        <is>
          <t>Аренда</t>
        </is>
      </c>
      <c r="B135" s="21" t="inlineStr">
        <is>
          <t>Квартиры</t>
        </is>
      </c>
      <c r="C135" s="21" t="inlineStr">
        <is>
          <t>Воронеж</t>
        </is>
      </c>
      <c r="D135" s="22">
        <f>SUMIFS(ЦИАН!$D:$D,ЦИАН!$A:$A,"Аренда квартир",ЦИАН!$B:$B,"Длительная: Квартиры",ЦИАН!$C:$C,$C135)</f>
        <v/>
      </c>
      <c r="E135" s="22">
        <f>SUMIFS(Яндекс!$D:$D,Яндекс!$A:$A,"Снять",Яндекс!$B:$B,"Квартира",Яндекс!$C:$C,$C135)</f>
        <v/>
      </c>
      <c r="F135" s="22">
        <f>SUMIFS(Авито!$E:$E,Авито!$A:$A,"Аренда",Авито!$B:$B,"Квартиры долгосрочно",Авито!$C:$C,$C135)</f>
        <v/>
      </c>
      <c r="G135" s="22">
        <f>SUMIFS(Домклик!$D:$D,Домклик!$A:$A,"Аренда",Домклик!$B:$B,"Квартиры",Домклик!$C:$C,$C135)</f>
        <v/>
      </c>
      <c r="H135" s="21">
        <f>IFERROR(INDEX($D$1:$G$1,MATCH(MAX(D135:G135),D135:G135,0)),"")</f>
        <v/>
      </c>
    </row>
    <row r="136">
      <c r="A136" s="21" t="inlineStr">
        <is>
          <t>Аренда</t>
        </is>
      </c>
      <c r="B136" s="21" t="inlineStr">
        <is>
          <t>Квартиры</t>
        </is>
      </c>
      <c r="C136" s="21" t="inlineStr">
        <is>
          <t>Пермь</t>
        </is>
      </c>
      <c r="D136" s="22">
        <f>SUMIFS(ЦИАН!$D:$D,ЦИАН!$A:$A,"Аренда квартир",ЦИАН!$B:$B,"Длительная: Квартиры",ЦИАН!$C:$C,$C136)</f>
        <v/>
      </c>
      <c r="E136" s="22">
        <f>SUMIFS(Яндекс!$D:$D,Яндекс!$A:$A,"Снять",Яндекс!$B:$B,"Квартира",Яндекс!$C:$C,$C136)</f>
        <v/>
      </c>
      <c r="F136" s="22">
        <f>SUMIFS(Авито!$E:$E,Авито!$A:$A,"Аренда",Авито!$B:$B,"Квартиры долгосрочно",Авито!$C:$C,$C136)</f>
        <v/>
      </c>
      <c r="G136" s="22">
        <f>SUMIFS(Домклик!$D:$D,Домклик!$A:$A,"Аренда",Домклик!$B:$B,"Квартиры",Домклик!$C:$C,$C136)</f>
        <v/>
      </c>
      <c r="H136" s="21">
        <f>IFERROR(INDEX($D$1:$G$1,MATCH(MAX(D136:G136),D136:G136,0)),"")</f>
        <v/>
      </c>
    </row>
    <row r="137">
      <c r="A137" s="21" t="inlineStr">
        <is>
          <t>Аренда</t>
        </is>
      </c>
      <c r="B137" s="21" t="inlineStr">
        <is>
          <t>Квартиры</t>
        </is>
      </c>
      <c r="C137" s="21" t="inlineStr">
        <is>
          <t>Волгоград</t>
        </is>
      </c>
      <c r="D137" s="22">
        <f>SUMIFS(ЦИАН!$D:$D,ЦИАН!$A:$A,"Аренда квартир",ЦИАН!$B:$B,"Длительная: Квартиры",ЦИАН!$C:$C,$C137)</f>
        <v/>
      </c>
      <c r="E137" s="22">
        <f>SUMIFS(Яндекс!$D:$D,Яндекс!$A:$A,"Снять",Яндекс!$B:$B,"Квартира",Яндекс!$C:$C,$C137)</f>
        <v/>
      </c>
      <c r="F137" s="22">
        <f>SUMIFS(Авито!$E:$E,Авито!$A:$A,"Аренда",Авито!$B:$B,"Квартиры долгосрочно",Авито!$C:$C,$C137)</f>
        <v/>
      </c>
      <c r="G137" s="22">
        <f>SUMIFS(Домклик!$D:$D,Домклик!$A:$A,"Аренда",Домклик!$B:$B,"Квартиры",Домклик!$C:$C,$C137)</f>
        <v/>
      </c>
      <c r="H137" s="21">
        <f>IFERROR(INDEX($D$1:$G$1,MATCH(MAX(D137:G137),D137:G137,0)),"")</f>
        <v/>
      </c>
    </row>
    <row r="138">
      <c r="A138" s="27" t="inlineStr">
        <is>
          <t>Аренда</t>
        </is>
      </c>
      <c r="B138" s="17" t="inlineStr">
        <is>
          <t>Комнаты</t>
        </is>
      </c>
      <c r="C138" s="28" t="inlineStr">
        <is>
          <t>🇷🇺 Вся Россия</t>
        </is>
      </c>
      <c r="D138" s="19">
        <f>SUMIFS(ЦИАН!$D:$D,ЦИАН!$A:$A,"Аренда квартир",ЦИАН!$B:$B,"Длительная: Комнаты",ЦИАН!$C:$C,$C138)</f>
        <v/>
      </c>
      <c r="E138" s="19">
        <f>SUMIFS(Яндекс!$D:$D,Яндекс!$A:$A,"Снять",Яндекс!$B:$B,"Комната",Яндекс!$C:$C,$C138)</f>
        <v/>
      </c>
      <c r="F138" s="19">
        <f>SUMIFS(Авито!$E:$E,Авито!$A:$A,"Аренда",Авито!$B:$B,"Комнаты",Авито!$C:$C,$C138)</f>
        <v/>
      </c>
      <c r="G138" s="19">
        <f>SUMIFS(Домклик!$D:$D,Домклик!$A:$A,"Аренда",Домклик!$B:$B,"Комнаты",Домклик!$C:$C,$C138)</f>
        <v/>
      </c>
      <c r="H138" s="18">
        <f>IFERROR(INDEX($D$1:$G$1,MATCH(MAX(D138:G138),D138:G138,0)),"")</f>
        <v/>
      </c>
    </row>
    <row r="139">
      <c r="A139" s="21" t="inlineStr">
        <is>
          <t>Аренда</t>
        </is>
      </c>
      <c r="B139" s="21" t="inlineStr">
        <is>
          <t>Комнаты</t>
        </is>
      </c>
      <c r="C139" s="21" t="inlineStr">
        <is>
          <t>Москва</t>
        </is>
      </c>
      <c r="D139" s="22">
        <f>SUMIFS(ЦИАН!$D:$D,ЦИАН!$A:$A,"Аренда квартир",ЦИАН!$B:$B,"Длительная: Комнаты",ЦИАН!$C:$C,$C139)</f>
        <v/>
      </c>
      <c r="E139" s="22">
        <f>SUMIFS(Яндекс!$D:$D,Яндекс!$A:$A,"Снять",Яндекс!$B:$B,"Комната",Яндекс!$C:$C,$C139)</f>
        <v/>
      </c>
      <c r="F139" s="22">
        <f>SUMIFS(Авито!$E:$E,Авито!$A:$A,"Аренда",Авито!$B:$B,"Комнаты",Авито!$C:$C,$C139)</f>
        <v/>
      </c>
      <c r="G139" s="22">
        <f>SUMIFS(Домклик!$D:$D,Домклик!$A:$A,"Аренда",Домклик!$B:$B,"Комнаты",Домклик!$C:$C,$C139)</f>
        <v/>
      </c>
      <c r="H139" s="21">
        <f>IFERROR(INDEX($D$1:$G$1,MATCH(MAX(D139:G139),D139:G139,0)),"")</f>
        <v/>
      </c>
    </row>
    <row r="140">
      <c r="A140" s="21" t="inlineStr">
        <is>
          <t>Аренда</t>
        </is>
      </c>
      <c r="B140" s="21" t="inlineStr">
        <is>
          <t>Комнаты</t>
        </is>
      </c>
      <c r="C140" s="21" t="inlineStr">
        <is>
          <t>Санкт-Петербург</t>
        </is>
      </c>
      <c r="D140" s="22">
        <f>SUMIFS(ЦИАН!$D:$D,ЦИАН!$A:$A,"Аренда квартир",ЦИАН!$B:$B,"Длительная: Комнаты",ЦИАН!$C:$C,$C140)</f>
        <v/>
      </c>
      <c r="E140" s="22">
        <f>SUMIFS(Яндекс!$D:$D,Яндекс!$A:$A,"Снять",Яндекс!$B:$B,"Комната",Яндекс!$C:$C,$C140)</f>
        <v/>
      </c>
      <c r="F140" s="22">
        <f>SUMIFS(Авито!$E:$E,Авито!$A:$A,"Аренда",Авито!$B:$B,"Комнаты",Авито!$C:$C,$C140)</f>
        <v/>
      </c>
      <c r="G140" s="22">
        <f>SUMIFS(Домклик!$D:$D,Домклик!$A:$A,"Аренда",Домклик!$B:$B,"Комнаты",Домклик!$C:$C,$C140)</f>
        <v/>
      </c>
      <c r="H140" s="21">
        <f>IFERROR(INDEX($D$1:$G$1,MATCH(MAX(D140:G140),D140:G140,0)),"")</f>
        <v/>
      </c>
    </row>
    <row r="141">
      <c r="A141" s="21" t="inlineStr">
        <is>
          <t>Аренда</t>
        </is>
      </c>
      <c r="B141" s="21" t="inlineStr">
        <is>
          <t>Комнаты</t>
        </is>
      </c>
      <c r="C141" s="21" t="inlineStr">
        <is>
          <t>Новосибирск</t>
        </is>
      </c>
      <c r="D141" s="22">
        <f>SUMIFS(ЦИАН!$D:$D,ЦИАН!$A:$A,"Аренда квартир",ЦИАН!$B:$B,"Длительная: Комнаты",ЦИАН!$C:$C,$C141)</f>
        <v/>
      </c>
      <c r="E141" s="22">
        <f>SUMIFS(Яндекс!$D:$D,Яндекс!$A:$A,"Снять",Яндекс!$B:$B,"Комната",Яндекс!$C:$C,$C141)</f>
        <v/>
      </c>
      <c r="F141" s="22">
        <f>SUMIFS(Авито!$E:$E,Авито!$A:$A,"Аренда",Авито!$B:$B,"Комнаты",Авито!$C:$C,$C141)</f>
        <v/>
      </c>
      <c r="G141" s="22">
        <f>SUMIFS(Домклик!$D:$D,Домклик!$A:$A,"Аренда",Домклик!$B:$B,"Комнаты",Домклик!$C:$C,$C141)</f>
        <v/>
      </c>
      <c r="H141" s="21">
        <f>IFERROR(INDEX($D$1:$G$1,MATCH(MAX(D141:G141),D141:G141,0)),"")</f>
        <v/>
      </c>
    </row>
    <row r="142">
      <c r="A142" s="21" t="inlineStr">
        <is>
          <t>Аренда</t>
        </is>
      </c>
      <c r="B142" s="21" t="inlineStr">
        <is>
          <t>Комнаты</t>
        </is>
      </c>
      <c r="C142" s="21" t="inlineStr">
        <is>
          <t>Екатеринбург</t>
        </is>
      </c>
      <c r="D142" s="22">
        <f>SUMIFS(ЦИАН!$D:$D,ЦИАН!$A:$A,"Аренда квартир",ЦИАН!$B:$B,"Длительная: Комнаты",ЦИАН!$C:$C,$C142)</f>
        <v/>
      </c>
      <c r="E142" s="22">
        <f>SUMIFS(Яндекс!$D:$D,Яндекс!$A:$A,"Снять",Яндекс!$B:$B,"Комната",Яндекс!$C:$C,$C142)</f>
        <v/>
      </c>
      <c r="F142" s="22">
        <f>SUMIFS(Авито!$E:$E,Авито!$A:$A,"Аренда",Авито!$B:$B,"Комнаты",Авито!$C:$C,$C142)</f>
        <v/>
      </c>
      <c r="G142" s="22">
        <f>SUMIFS(Домклик!$D:$D,Домклик!$A:$A,"Аренда",Домклик!$B:$B,"Комнаты",Домклик!$C:$C,$C142)</f>
        <v/>
      </c>
      <c r="H142" s="21">
        <f>IFERROR(INDEX($D$1:$G$1,MATCH(MAX(D142:G142),D142:G142,0)),"")</f>
        <v/>
      </c>
    </row>
    <row r="143">
      <c r="A143" s="21" t="inlineStr">
        <is>
          <t>Аренда</t>
        </is>
      </c>
      <c r="B143" s="21" t="inlineStr">
        <is>
          <t>Комнаты</t>
        </is>
      </c>
      <c r="C143" s="21" t="inlineStr">
        <is>
          <t>Казань</t>
        </is>
      </c>
      <c r="D143" s="22">
        <f>SUMIFS(ЦИАН!$D:$D,ЦИАН!$A:$A,"Аренда квартир",ЦИАН!$B:$B,"Длительная: Комнаты",ЦИАН!$C:$C,$C143)</f>
        <v/>
      </c>
      <c r="E143" s="22">
        <f>SUMIFS(Яндекс!$D:$D,Яндекс!$A:$A,"Снять",Яндекс!$B:$B,"Комната",Яндекс!$C:$C,$C143)</f>
        <v/>
      </c>
      <c r="F143" s="22">
        <f>SUMIFS(Авито!$E:$E,Авито!$A:$A,"Аренда",Авито!$B:$B,"Комнаты",Авито!$C:$C,$C143)</f>
        <v/>
      </c>
      <c r="G143" s="22">
        <f>SUMIFS(Домклик!$D:$D,Домклик!$A:$A,"Аренда",Домклик!$B:$B,"Комнаты",Домклик!$C:$C,$C143)</f>
        <v/>
      </c>
      <c r="H143" s="21">
        <f>IFERROR(INDEX($D$1:$G$1,MATCH(MAX(D143:G143),D143:G143,0)),"")</f>
        <v/>
      </c>
    </row>
    <row r="144">
      <c r="A144" s="21" t="inlineStr">
        <is>
          <t>Аренда</t>
        </is>
      </c>
      <c r="B144" s="21" t="inlineStr">
        <is>
          <t>Комнаты</t>
        </is>
      </c>
      <c r="C144" s="21" t="inlineStr">
        <is>
          <t>Красноярск</t>
        </is>
      </c>
      <c r="D144" s="22">
        <f>SUMIFS(ЦИАН!$D:$D,ЦИАН!$A:$A,"Аренда квартир",ЦИАН!$B:$B,"Длительная: Комнаты",ЦИАН!$C:$C,$C144)</f>
        <v/>
      </c>
      <c r="E144" s="22">
        <f>SUMIFS(Яндекс!$D:$D,Яндекс!$A:$A,"Снять",Яндекс!$B:$B,"Комната",Яндекс!$C:$C,$C144)</f>
        <v/>
      </c>
      <c r="F144" s="22">
        <f>SUMIFS(Авито!$E:$E,Авито!$A:$A,"Аренда",Авито!$B:$B,"Комнаты",Авито!$C:$C,$C144)</f>
        <v/>
      </c>
      <c r="G144" s="22">
        <f>SUMIFS(Домклик!$D:$D,Домклик!$A:$A,"Аренда",Домклик!$B:$B,"Комнаты",Домклик!$C:$C,$C144)</f>
        <v/>
      </c>
      <c r="H144" s="21">
        <f>IFERROR(INDEX($D$1:$G$1,MATCH(MAX(D144:G144),D144:G144,0)),"")</f>
        <v/>
      </c>
    </row>
    <row r="145">
      <c r="A145" s="21" t="inlineStr">
        <is>
          <t>Аренда</t>
        </is>
      </c>
      <c r="B145" s="21" t="inlineStr">
        <is>
          <t>Комнаты</t>
        </is>
      </c>
      <c r="C145" s="21" t="inlineStr">
        <is>
          <t>Нижний Новгород</t>
        </is>
      </c>
      <c r="D145" s="22">
        <f>SUMIFS(ЦИАН!$D:$D,ЦИАН!$A:$A,"Аренда квартир",ЦИАН!$B:$B,"Длительная: Комнаты",ЦИАН!$C:$C,$C145)</f>
        <v/>
      </c>
      <c r="E145" s="22">
        <f>SUMIFS(Яндекс!$D:$D,Яндекс!$A:$A,"Снять",Яндекс!$B:$B,"Комната",Яндекс!$C:$C,$C145)</f>
        <v/>
      </c>
      <c r="F145" s="22">
        <f>SUMIFS(Авито!$E:$E,Авито!$A:$A,"Аренда",Авито!$B:$B,"Комнаты",Авито!$C:$C,$C145)</f>
        <v/>
      </c>
      <c r="G145" s="22">
        <f>SUMIFS(Домклик!$D:$D,Домклик!$A:$A,"Аренда",Домклик!$B:$B,"Комнаты",Домклик!$C:$C,$C145)</f>
        <v/>
      </c>
      <c r="H145" s="21">
        <f>IFERROR(INDEX($D$1:$G$1,MATCH(MAX(D145:G145),D145:G145,0)),"")</f>
        <v/>
      </c>
    </row>
    <row r="146">
      <c r="A146" s="21" t="inlineStr">
        <is>
          <t>Аренда</t>
        </is>
      </c>
      <c r="B146" s="21" t="inlineStr">
        <is>
          <t>Комнаты</t>
        </is>
      </c>
      <c r="C146" s="21" t="inlineStr">
        <is>
          <t>Челябинск</t>
        </is>
      </c>
      <c r="D146" s="22">
        <f>SUMIFS(ЦИАН!$D:$D,ЦИАН!$A:$A,"Аренда квартир",ЦИАН!$B:$B,"Длительная: Комнаты",ЦИАН!$C:$C,$C146)</f>
        <v/>
      </c>
      <c r="E146" s="22">
        <f>SUMIFS(Яндекс!$D:$D,Яндекс!$A:$A,"Снять",Яндекс!$B:$B,"Комната",Яндекс!$C:$C,$C146)</f>
        <v/>
      </c>
      <c r="F146" s="22">
        <f>SUMIFS(Авито!$E:$E,Авито!$A:$A,"Аренда",Авито!$B:$B,"Комнаты",Авито!$C:$C,$C146)</f>
        <v/>
      </c>
      <c r="G146" s="22">
        <f>SUMIFS(Домклик!$D:$D,Домклик!$A:$A,"Аренда",Домклик!$B:$B,"Комнаты",Домклик!$C:$C,$C146)</f>
        <v/>
      </c>
      <c r="H146" s="21">
        <f>IFERROR(INDEX($D$1:$G$1,MATCH(MAX(D146:G146),D146:G146,0)),"")</f>
        <v/>
      </c>
    </row>
    <row r="147">
      <c r="A147" s="21" t="inlineStr">
        <is>
          <t>Аренда</t>
        </is>
      </c>
      <c r="B147" s="21" t="inlineStr">
        <is>
          <t>Комнаты</t>
        </is>
      </c>
      <c r="C147" s="21" t="inlineStr">
        <is>
          <t>Уфа</t>
        </is>
      </c>
      <c r="D147" s="22">
        <f>SUMIFS(ЦИАН!$D:$D,ЦИАН!$A:$A,"Аренда квартир",ЦИАН!$B:$B,"Длительная: Комнаты",ЦИАН!$C:$C,$C147)</f>
        <v/>
      </c>
      <c r="E147" s="22">
        <f>SUMIFS(Яндекс!$D:$D,Яндекс!$A:$A,"Снять",Яндекс!$B:$B,"Комната",Яндекс!$C:$C,$C147)</f>
        <v/>
      </c>
      <c r="F147" s="22">
        <f>SUMIFS(Авито!$E:$E,Авито!$A:$A,"Аренда",Авито!$B:$B,"Комнаты",Авито!$C:$C,$C147)</f>
        <v/>
      </c>
      <c r="G147" s="22">
        <f>SUMIFS(Домклик!$D:$D,Домклик!$A:$A,"Аренда",Домклик!$B:$B,"Комнаты",Домклик!$C:$C,$C147)</f>
        <v/>
      </c>
      <c r="H147" s="21">
        <f>IFERROR(INDEX($D$1:$G$1,MATCH(MAX(D147:G147),D147:G147,0)),"")</f>
        <v/>
      </c>
    </row>
    <row r="148">
      <c r="A148" s="21" t="inlineStr">
        <is>
          <t>Аренда</t>
        </is>
      </c>
      <c r="B148" s="21" t="inlineStr">
        <is>
          <t>Комнаты</t>
        </is>
      </c>
      <c r="C148" s="21" t="inlineStr">
        <is>
          <t>Краснодар</t>
        </is>
      </c>
      <c r="D148" s="22">
        <f>SUMIFS(ЦИАН!$D:$D,ЦИАН!$A:$A,"Аренда квартир",ЦИАН!$B:$B,"Длительная: Комнаты",ЦИАН!$C:$C,$C148)</f>
        <v/>
      </c>
      <c r="E148" s="22">
        <f>SUMIFS(Яндекс!$D:$D,Яндекс!$A:$A,"Снять",Яндекс!$B:$B,"Комната",Яндекс!$C:$C,$C148)</f>
        <v/>
      </c>
      <c r="F148" s="22">
        <f>SUMIFS(Авито!$E:$E,Авито!$A:$A,"Аренда",Авито!$B:$B,"Комнаты",Авито!$C:$C,$C148)</f>
        <v/>
      </c>
      <c r="G148" s="22">
        <f>SUMIFS(Домклик!$D:$D,Домклик!$A:$A,"Аренда",Домклик!$B:$B,"Комнаты",Домклик!$C:$C,$C148)</f>
        <v/>
      </c>
      <c r="H148" s="21">
        <f>IFERROR(INDEX($D$1:$G$1,MATCH(MAX(D148:G148),D148:G148,0)),"")</f>
        <v/>
      </c>
    </row>
    <row r="149">
      <c r="A149" s="21" t="inlineStr">
        <is>
          <t>Аренда</t>
        </is>
      </c>
      <c r="B149" s="21" t="inlineStr">
        <is>
          <t>Комнаты</t>
        </is>
      </c>
      <c r="C149" s="21" t="inlineStr">
        <is>
          <t>Самара</t>
        </is>
      </c>
      <c r="D149" s="22">
        <f>SUMIFS(ЦИАН!$D:$D,ЦИАН!$A:$A,"Аренда квартир",ЦИАН!$B:$B,"Длительная: Комнаты",ЦИАН!$C:$C,$C149)</f>
        <v/>
      </c>
      <c r="E149" s="22">
        <f>SUMIFS(Яндекс!$D:$D,Яндекс!$A:$A,"Снять",Яндекс!$B:$B,"Комната",Яндекс!$C:$C,$C149)</f>
        <v/>
      </c>
      <c r="F149" s="22">
        <f>SUMIFS(Авито!$E:$E,Авито!$A:$A,"Аренда",Авито!$B:$B,"Комнаты",Авито!$C:$C,$C149)</f>
        <v/>
      </c>
      <c r="G149" s="22">
        <f>SUMIFS(Домклик!$D:$D,Домклик!$A:$A,"Аренда",Домклик!$B:$B,"Комнаты",Домклик!$C:$C,$C149)</f>
        <v/>
      </c>
      <c r="H149" s="21">
        <f>IFERROR(INDEX($D$1:$G$1,MATCH(MAX(D149:G149),D149:G149,0)),"")</f>
        <v/>
      </c>
    </row>
    <row r="150">
      <c r="A150" s="21" t="inlineStr">
        <is>
          <t>Аренда</t>
        </is>
      </c>
      <c r="B150" s="21" t="inlineStr">
        <is>
          <t>Комнаты</t>
        </is>
      </c>
      <c r="C150" s="21" t="inlineStr">
        <is>
          <t>Ростов-на-Дону</t>
        </is>
      </c>
      <c r="D150" s="22">
        <f>SUMIFS(ЦИАН!$D:$D,ЦИАН!$A:$A,"Аренда квартир",ЦИАН!$B:$B,"Длительная: Комнаты",ЦИАН!$C:$C,$C150)</f>
        <v/>
      </c>
      <c r="E150" s="22">
        <f>SUMIFS(Яндекс!$D:$D,Яндекс!$A:$A,"Снять",Яндекс!$B:$B,"Комната",Яндекс!$C:$C,$C150)</f>
        <v/>
      </c>
      <c r="F150" s="22">
        <f>SUMIFS(Авито!$E:$E,Авито!$A:$A,"Аренда",Авито!$B:$B,"Комнаты",Авито!$C:$C,$C150)</f>
        <v/>
      </c>
      <c r="G150" s="22">
        <f>SUMIFS(Домклик!$D:$D,Домклик!$A:$A,"Аренда",Домклик!$B:$B,"Комнаты",Домклик!$C:$C,$C150)</f>
        <v/>
      </c>
      <c r="H150" s="21">
        <f>IFERROR(INDEX($D$1:$G$1,MATCH(MAX(D150:G150),D150:G150,0)),"")</f>
        <v/>
      </c>
    </row>
    <row r="151">
      <c r="A151" s="21" t="inlineStr">
        <is>
          <t>Аренда</t>
        </is>
      </c>
      <c r="B151" s="21" t="inlineStr">
        <is>
          <t>Комнаты</t>
        </is>
      </c>
      <c r="C151" s="21" t="inlineStr">
        <is>
          <t>Омск</t>
        </is>
      </c>
      <c r="D151" s="22">
        <f>SUMIFS(ЦИАН!$D:$D,ЦИАН!$A:$A,"Аренда квартир",ЦИАН!$B:$B,"Длительная: Комнаты",ЦИАН!$C:$C,$C151)</f>
        <v/>
      </c>
      <c r="E151" s="22">
        <f>SUMIFS(Яндекс!$D:$D,Яндекс!$A:$A,"Снять",Яндекс!$B:$B,"Комната",Яндекс!$C:$C,$C151)</f>
        <v/>
      </c>
      <c r="F151" s="22">
        <f>SUMIFS(Авито!$E:$E,Авито!$A:$A,"Аренда",Авито!$B:$B,"Комнаты",Авито!$C:$C,$C151)</f>
        <v/>
      </c>
      <c r="G151" s="22">
        <f>SUMIFS(Домклик!$D:$D,Домклик!$A:$A,"Аренда",Домклик!$B:$B,"Комнаты",Домклик!$C:$C,$C151)</f>
        <v/>
      </c>
      <c r="H151" s="21">
        <f>IFERROR(INDEX($D$1:$G$1,MATCH(MAX(D151:G151),D151:G151,0)),"")</f>
        <v/>
      </c>
    </row>
    <row r="152">
      <c r="A152" s="21" t="inlineStr">
        <is>
          <t>Аренда</t>
        </is>
      </c>
      <c r="B152" s="21" t="inlineStr">
        <is>
          <t>Комнаты</t>
        </is>
      </c>
      <c r="C152" s="21" t="inlineStr">
        <is>
          <t>Воронеж</t>
        </is>
      </c>
      <c r="D152" s="22">
        <f>SUMIFS(ЦИАН!$D:$D,ЦИАН!$A:$A,"Аренда квартир",ЦИАН!$B:$B,"Длительная: Комнаты",ЦИАН!$C:$C,$C152)</f>
        <v/>
      </c>
      <c r="E152" s="22">
        <f>SUMIFS(Яндекс!$D:$D,Яндекс!$A:$A,"Снять",Яндекс!$B:$B,"Комната",Яндекс!$C:$C,$C152)</f>
        <v/>
      </c>
      <c r="F152" s="22">
        <f>SUMIFS(Авито!$E:$E,Авито!$A:$A,"Аренда",Авито!$B:$B,"Комнаты",Авито!$C:$C,$C152)</f>
        <v/>
      </c>
      <c r="G152" s="22">
        <f>SUMIFS(Домклик!$D:$D,Домклик!$A:$A,"Аренда",Домклик!$B:$B,"Комнаты",Домклик!$C:$C,$C152)</f>
        <v/>
      </c>
      <c r="H152" s="21">
        <f>IFERROR(INDEX($D$1:$G$1,MATCH(MAX(D152:G152),D152:G152,0)),"")</f>
        <v/>
      </c>
    </row>
    <row r="153">
      <c r="A153" s="21" t="inlineStr">
        <is>
          <t>Аренда</t>
        </is>
      </c>
      <c r="B153" s="21" t="inlineStr">
        <is>
          <t>Комнаты</t>
        </is>
      </c>
      <c r="C153" s="21" t="inlineStr">
        <is>
          <t>Пермь</t>
        </is>
      </c>
      <c r="D153" s="22">
        <f>SUMIFS(ЦИАН!$D:$D,ЦИАН!$A:$A,"Аренда квартир",ЦИАН!$B:$B,"Длительная: Комнаты",ЦИАН!$C:$C,$C153)</f>
        <v/>
      </c>
      <c r="E153" s="22">
        <f>SUMIFS(Яндекс!$D:$D,Яндекс!$A:$A,"Снять",Яндекс!$B:$B,"Комната",Яндекс!$C:$C,$C153)</f>
        <v/>
      </c>
      <c r="F153" s="22">
        <f>SUMIFS(Авито!$E:$E,Авито!$A:$A,"Аренда",Авито!$B:$B,"Комнаты",Авито!$C:$C,$C153)</f>
        <v/>
      </c>
      <c r="G153" s="22">
        <f>SUMIFS(Домклик!$D:$D,Домклик!$A:$A,"Аренда",Домклик!$B:$B,"Комнаты",Домклик!$C:$C,$C153)</f>
        <v/>
      </c>
      <c r="H153" s="21">
        <f>IFERROR(INDEX($D$1:$G$1,MATCH(MAX(D153:G153),D153:G153,0)),"")</f>
        <v/>
      </c>
    </row>
    <row r="154">
      <c r="A154" s="21" t="inlineStr">
        <is>
          <t>Аренда</t>
        </is>
      </c>
      <c r="B154" s="21" t="inlineStr">
        <is>
          <t>Комнаты</t>
        </is>
      </c>
      <c r="C154" s="21" t="inlineStr">
        <is>
          <t>Волгоград</t>
        </is>
      </c>
      <c r="D154" s="22">
        <f>SUMIFS(ЦИАН!$D:$D,ЦИАН!$A:$A,"Аренда квартир",ЦИАН!$B:$B,"Длительная: Комнаты",ЦИАН!$C:$C,$C154)</f>
        <v/>
      </c>
      <c r="E154" s="22">
        <f>SUMIFS(Яндекс!$D:$D,Яндекс!$A:$A,"Снять",Яндекс!$B:$B,"Комната",Яндекс!$C:$C,$C154)</f>
        <v/>
      </c>
      <c r="F154" s="22">
        <f>SUMIFS(Авито!$E:$E,Авито!$A:$A,"Аренда",Авито!$B:$B,"Комнаты",Авито!$C:$C,$C154)</f>
        <v/>
      </c>
      <c r="G154" s="22">
        <f>SUMIFS(Домклик!$D:$D,Домклик!$A:$A,"Аренда",Домклик!$B:$B,"Комнаты",Домклик!$C:$C,$C154)</f>
        <v/>
      </c>
      <c r="H154" s="21">
        <f>IFERROR(INDEX($D$1:$G$1,MATCH(MAX(D154:G154),D154:G154,0)),"")</f>
        <v/>
      </c>
    </row>
    <row r="155">
      <c r="A155" s="27" t="inlineStr">
        <is>
          <t>Аренда</t>
        </is>
      </c>
      <c r="B155" s="17" t="inlineStr">
        <is>
          <t>Дома и коттеджи</t>
        </is>
      </c>
      <c r="C155" s="28" t="inlineStr">
        <is>
          <t>🇷🇺 Вся Россия</t>
        </is>
      </c>
      <c r="D155" s="19">
        <f>SUMIFS(ЦИАН!$D:$D,ЦИАН!$A:$A,"Аренда квартир",ЦИАН!$B:$B,"Длительная: Дома и коттеджи",ЦИАН!$C:$C,$C155)</f>
        <v/>
      </c>
      <c r="E155" s="19">
        <f>SUMIFS(Яндекс!$D:$D,Яндекс!$A:$A,"Снять",Яндекс!$B:$B,"Дом или коттедж",Яндекс!$C:$C,$C155)</f>
        <v/>
      </c>
      <c r="F155" s="19">
        <f>SUMIFS(Авито!$E:$E,Авито!$A:$A,"Аренда",Авито!$B:$B,"Дома, дачи, коттеджи",Авито!$C:$C,$C155)</f>
        <v/>
      </c>
      <c r="G155" s="19">
        <f>SUMIFS(Домклик!$D:$D,Домклик!$A:$A,"Аренда",Домклик!$B:$B,"Дома",Домклик!$C:$C,$C155)</f>
        <v/>
      </c>
      <c r="H155" s="18">
        <f>IFERROR(INDEX($D$1:$G$1,MATCH(MAX(D155:G155),D155:G155,0)),"")</f>
        <v/>
      </c>
    </row>
    <row r="156">
      <c r="A156" s="21" t="inlineStr">
        <is>
          <t>Аренда</t>
        </is>
      </c>
      <c r="B156" s="21" t="inlineStr">
        <is>
          <t>Дома и коттеджи</t>
        </is>
      </c>
      <c r="C156" s="21" t="inlineStr">
        <is>
          <t>Москва</t>
        </is>
      </c>
      <c r="D156" s="22">
        <f>SUMIFS(ЦИАН!$D:$D,ЦИАН!$A:$A,"Аренда квартир",ЦИАН!$B:$B,"Длительная: Дома и коттеджи",ЦИАН!$C:$C,$C156)</f>
        <v/>
      </c>
      <c r="E156" s="22">
        <f>SUMIFS(Яндекс!$D:$D,Яндекс!$A:$A,"Снять",Яндекс!$B:$B,"Дом или коттедж",Яндекс!$C:$C,$C156)</f>
        <v/>
      </c>
      <c r="F156" s="22">
        <f>SUMIFS(Авито!$E:$E,Авито!$A:$A,"Аренда",Авито!$B:$B,"Дома, дачи, коттеджи",Авито!$C:$C,$C156)</f>
        <v/>
      </c>
      <c r="G156" s="22">
        <f>SUMIFS(Домклик!$D:$D,Домклик!$A:$A,"Аренда",Домклик!$B:$B,"Дома",Домклик!$C:$C,$C156)</f>
        <v/>
      </c>
      <c r="H156" s="21">
        <f>IFERROR(INDEX($D$1:$G$1,MATCH(MAX(D156:G156),D156:G156,0)),"")</f>
        <v/>
      </c>
    </row>
    <row r="157">
      <c r="A157" s="21" t="inlineStr">
        <is>
          <t>Аренда</t>
        </is>
      </c>
      <c r="B157" s="21" t="inlineStr">
        <is>
          <t>Дома и коттеджи</t>
        </is>
      </c>
      <c r="C157" s="21" t="inlineStr">
        <is>
          <t>Санкт-Петербург</t>
        </is>
      </c>
      <c r="D157" s="22">
        <f>SUMIFS(ЦИАН!$D:$D,ЦИАН!$A:$A,"Аренда квартир",ЦИАН!$B:$B,"Длительная: Дома и коттеджи",ЦИАН!$C:$C,$C157)</f>
        <v/>
      </c>
      <c r="E157" s="22">
        <f>SUMIFS(Яндекс!$D:$D,Яндекс!$A:$A,"Снять",Яндекс!$B:$B,"Дом или коттедж",Яндекс!$C:$C,$C157)</f>
        <v/>
      </c>
      <c r="F157" s="22">
        <f>SUMIFS(Авито!$E:$E,Авито!$A:$A,"Аренда",Авито!$B:$B,"Дома, дачи, коттеджи",Авито!$C:$C,$C157)</f>
        <v/>
      </c>
      <c r="G157" s="22">
        <f>SUMIFS(Домклик!$D:$D,Домклик!$A:$A,"Аренда",Домклик!$B:$B,"Дома",Домклик!$C:$C,$C157)</f>
        <v/>
      </c>
      <c r="H157" s="21">
        <f>IFERROR(INDEX($D$1:$G$1,MATCH(MAX(D157:G157),D157:G157,0)),"")</f>
        <v/>
      </c>
    </row>
    <row r="158">
      <c r="A158" s="21" t="inlineStr">
        <is>
          <t>Аренда</t>
        </is>
      </c>
      <c r="B158" s="21" t="inlineStr">
        <is>
          <t>Дома и коттеджи</t>
        </is>
      </c>
      <c r="C158" s="21" t="inlineStr">
        <is>
          <t>Новосибирск</t>
        </is>
      </c>
      <c r="D158" s="22">
        <f>SUMIFS(ЦИАН!$D:$D,ЦИАН!$A:$A,"Аренда квартир",ЦИАН!$B:$B,"Длительная: Дома и коттеджи",ЦИАН!$C:$C,$C158)</f>
        <v/>
      </c>
      <c r="E158" s="22">
        <f>SUMIFS(Яндекс!$D:$D,Яндекс!$A:$A,"Снять",Яндекс!$B:$B,"Дом или коттедж",Яндекс!$C:$C,$C158)</f>
        <v/>
      </c>
      <c r="F158" s="22">
        <f>SUMIFS(Авито!$E:$E,Авито!$A:$A,"Аренда",Авито!$B:$B,"Дома, дачи, коттеджи",Авито!$C:$C,$C158)</f>
        <v/>
      </c>
      <c r="G158" s="22">
        <f>SUMIFS(Домклик!$D:$D,Домклик!$A:$A,"Аренда",Домклик!$B:$B,"Дома",Домклик!$C:$C,$C158)</f>
        <v/>
      </c>
      <c r="H158" s="21">
        <f>IFERROR(INDEX($D$1:$G$1,MATCH(MAX(D158:G158),D158:G158,0)),"")</f>
        <v/>
      </c>
    </row>
    <row r="159">
      <c r="A159" s="21" t="inlineStr">
        <is>
          <t>Аренда</t>
        </is>
      </c>
      <c r="B159" s="21" t="inlineStr">
        <is>
          <t>Дома и коттеджи</t>
        </is>
      </c>
      <c r="C159" s="21" t="inlineStr">
        <is>
          <t>Екатеринбург</t>
        </is>
      </c>
      <c r="D159" s="22">
        <f>SUMIFS(ЦИАН!$D:$D,ЦИАН!$A:$A,"Аренда квартир",ЦИАН!$B:$B,"Длительная: Дома и коттеджи",ЦИАН!$C:$C,$C159)</f>
        <v/>
      </c>
      <c r="E159" s="22">
        <f>SUMIFS(Яндекс!$D:$D,Яндекс!$A:$A,"Снять",Яндекс!$B:$B,"Дом или коттедж",Яндекс!$C:$C,$C159)</f>
        <v/>
      </c>
      <c r="F159" s="22">
        <f>SUMIFS(Авито!$E:$E,Авито!$A:$A,"Аренда",Авито!$B:$B,"Дома, дачи, коттеджи",Авито!$C:$C,$C159)</f>
        <v/>
      </c>
      <c r="G159" s="22">
        <f>SUMIFS(Домклик!$D:$D,Домклик!$A:$A,"Аренда",Домклик!$B:$B,"Дома",Домклик!$C:$C,$C159)</f>
        <v/>
      </c>
      <c r="H159" s="21">
        <f>IFERROR(INDEX($D$1:$G$1,MATCH(MAX(D159:G159),D159:G159,0)),"")</f>
        <v/>
      </c>
    </row>
    <row r="160">
      <c r="A160" s="21" t="inlineStr">
        <is>
          <t>Аренда</t>
        </is>
      </c>
      <c r="B160" s="21" t="inlineStr">
        <is>
          <t>Дома и коттеджи</t>
        </is>
      </c>
      <c r="C160" s="21" t="inlineStr">
        <is>
          <t>Казань</t>
        </is>
      </c>
      <c r="D160" s="22">
        <f>SUMIFS(ЦИАН!$D:$D,ЦИАН!$A:$A,"Аренда квартир",ЦИАН!$B:$B,"Длительная: Дома и коттеджи",ЦИАН!$C:$C,$C160)</f>
        <v/>
      </c>
      <c r="E160" s="22">
        <f>SUMIFS(Яндекс!$D:$D,Яндекс!$A:$A,"Снять",Яндекс!$B:$B,"Дом или коттедж",Яндекс!$C:$C,$C160)</f>
        <v/>
      </c>
      <c r="F160" s="22">
        <f>SUMIFS(Авито!$E:$E,Авито!$A:$A,"Аренда",Авито!$B:$B,"Дома, дачи, коттеджи",Авито!$C:$C,$C160)</f>
        <v/>
      </c>
      <c r="G160" s="22">
        <f>SUMIFS(Домклик!$D:$D,Домклик!$A:$A,"Аренда",Домклик!$B:$B,"Дома",Домклик!$C:$C,$C160)</f>
        <v/>
      </c>
      <c r="H160" s="21">
        <f>IFERROR(INDEX($D$1:$G$1,MATCH(MAX(D160:G160),D160:G160,0)),"")</f>
        <v/>
      </c>
    </row>
    <row r="161">
      <c r="A161" s="21" t="inlineStr">
        <is>
          <t>Аренда</t>
        </is>
      </c>
      <c r="B161" s="21" t="inlineStr">
        <is>
          <t>Дома и коттеджи</t>
        </is>
      </c>
      <c r="C161" s="21" t="inlineStr">
        <is>
          <t>Красноярск</t>
        </is>
      </c>
      <c r="D161" s="22">
        <f>SUMIFS(ЦИАН!$D:$D,ЦИАН!$A:$A,"Аренда квартир",ЦИАН!$B:$B,"Длительная: Дома и коттеджи",ЦИАН!$C:$C,$C161)</f>
        <v/>
      </c>
      <c r="E161" s="22">
        <f>SUMIFS(Яндекс!$D:$D,Яндекс!$A:$A,"Снять",Яндекс!$B:$B,"Дом или коттедж",Яндекс!$C:$C,$C161)</f>
        <v/>
      </c>
      <c r="F161" s="22">
        <f>SUMIFS(Авито!$E:$E,Авито!$A:$A,"Аренда",Авито!$B:$B,"Дома, дачи, коттеджи",Авито!$C:$C,$C161)</f>
        <v/>
      </c>
      <c r="G161" s="22">
        <f>SUMIFS(Домклик!$D:$D,Домклик!$A:$A,"Аренда",Домклик!$B:$B,"Дома",Домклик!$C:$C,$C161)</f>
        <v/>
      </c>
      <c r="H161" s="21">
        <f>IFERROR(INDEX($D$1:$G$1,MATCH(MAX(D161:G161),D161:G161,0)),"")</f>
        <v/>
      </c>
    </row>
    <row r="162">
      <c r="A162" s="21" t="inlineStr">
        <is>
          <t>Аренда</t>
        </is>
      </c>
      <c r="B162" s="21" t="inlineStr">
        <is>
          <t>Дома и коттеджи</t>
        </is>
      </c>
      <c r="C162" s="21" t="inlineStr">
        <is>
          <t>Нижний Новгород</t>
        </is>
      </c>
      <c r="D162" s="22">
        <f>SUMIFS(ЦИАН!$D:$D,ЦИАН!$A:$A,"Аренда квартир",ЦИАН!$B:$B,"Длительная: Дома и коттеджи",ЦИАН!$C:$C,$C162)</f>
        <v/>
      </c>
      <c r="E162" s="22">
        <f>SUMIFS(Яндекс!$D:$D,Яндекс!$A:$A,"Снять",Яндекс!$B:$B,"Дом или коттедж",Яндекс!$C:$C,$C162)</f>
        <v/>
      </c>
      <c r="F162" s="22">
        <f>SUMIFS(Авито!$E:$E,Авито!$A:$A,"Аренда",Авито!$B:$B,"Дома, дачи, коттеджи",Авито!$C:$C,$C162)</f>
        <v/>
      </c>
      <c r="G162" s="22">
        <f>SUMIFS(Домклик!$D:$D,Домклик!$A:$A,"Аренда",Домклик!$B:$B,"Дома",Домклик!$C:$C,$C162)</f>
        <v/>
      </c>
      <c r="H162" s="21">
        <f>IFERROR(INDEX($D$1:$G$1,MATCH(MAX(D162:G162),D162:G162,0)),"")</f>
        <v/>
      </c>
    </row>
    <row r="163">
      <c r="A163" s="21" t="inlineStr">
        <is>
          <t>Аренда</t>
        </is>
      </c>
      <c r="B163" s="21" t="inlineStr">
        <is>
          <t>Дома и коттеджи</t>
        </is>
      </c>
      <c r="C163" s="21" t="inlineStr">
        <is>
          <t>Челябинск</t>
        </is>
      </c>
      <c r="D163" s="22">
        <f>SUMIFS(ЦИАН!$D:$D,ЦИАН!$A:$A,"Аренда квартир",ЦИАН!$B:$B,"Длительная: Дома и коттеджи",ЦИАН!$C:$C,$C163)</f>
        <v/>
      </c>
      <c r="E163" s="22">
        <f>SUMIFS(Яндекс!$D:$D,Яндекс!$A:$A,"Снять",Яндекс!$B:$B,"Дом или коттедж",Яндекс!$C:$C,$C163)</f>
        <v/>
      </c>
      <c r="F163" s="22">
        <f>SUMIFS(Авито!$E:$E,Авито!$A:$A,"Аренда",Авито!$B:$B,"Дома, дачи, коттеджи",Авито!$C:$C,$C163)</f>
        <v/>
      </c>
      <c r="G163" s="22">
        <f>SUMIFS(Домклик!$D:$D,Домклик!$A:$A,"Аренда",Домклик!$B:$B,"Дома",Домклик!$C:$C,$C163)</f>
        <v/>
      </c>
      <c r="H163" s="21">
        <f>IFERROR(INDEX($D$1:$G$1,MATCH(MAX(D163:G163),D163:G163,0)),"")</f>
        <v/>
      </c>
    </row>
    <row r="164">
      <c r="A164" s="21" t="inlineStr">
        <is>
          <t>Аренда</t>
        </is>
      </c>
      <c r="B164" s="21" t="inlineStr">
        <is>
          <t>Дома и коттеджи</t>
        </is>
      </c>
      <c r="C164" s="21" t="inlineStr">
        <is>
          <t>Уфа</t>
        </is>
      </c>
      <c r="D164" s="22">
        <f>SUMIFS(ЦИАН!$D:$D,ЦИАН!$A:$A,"Аренда квартир",ЦИАН!$B:$B,"Длительная: Дома и коттеджи",ЦИАН!$C:$C,$C164)</f>
        <v/>
      </c>
      <c r="E164" s="22">
        <f>SUMIFS(Яндекс!$D:$D,Яндекс!$A:$A,"Снять",Яндекс!$B:$B,"Дом или коттедж",Яндекс!$C:$C,$C164)</f>
        <v/>
      </c>
      <c r="F164" s="22">
        <f>SUMIFS(Авито!$E:$E,Авито!$A:$A,"Аренда",Авито!$B:$B,"Дома, дачи, коттеджи",Авито!$C:$C,$C164)</f>
        <v/>
      </c>
      <c r="G164" s="22">
        <f>SUMIFS(Домклик!$D:$D,Домклик!$A:$A,"Аренда",Домклик!$B:$B,"Дома",Домклик!$C:$C,$C164)</f>
        <v/>
      </c>
      <c r="H164" s="21">
        <f>IFERROR(INDEX($D$1:$G$1,MATCH(MAX(D164:G164),D164:G164,0)),"")</f>
        <v/>
      </c>
    </row>
    <row r="165">
      <c r="A165" s="21" t="inlineStr">
        <is>
          <t>Аренда</t>
        </is>
      </c>
      <c r="B165" s="21" t="inlineStr">
        <is>
          <t>Дома и коттеджи</t>
        </is>
      </c>
      <c r="C165" s="21" t="inlineStr">
        <is>
          <t>Краснодар</t>
        </is>
      </c>
      <c r="D165" s="22">
        <f>SUMIFS(ЦИАН!$D:$D,ЦИАН!$A:$A,"Аренда квартир",ЦИАН!$B:$B,"Длительная: Дома и коттеджи",ЦИАН!$C:$C,$C165)</f>
        <v/>
      </c>
      <c r="E165" s="22">
        <f>SUMIFS(Яндекс!$D:$D,Яндекс!$A:$A,"Снять",Яндекс!$B:$B,"Дом или коттедж",Яндекс!$C:$C,$C165)</f>
        <v/>
      </c>
      <c r="F165" s="22">
        <f>SUMIFS(Авито!$E:$E,Авито!$A:$A,"Аренда",Авито!$B:$B,"Дома, дачи, коттеджи",Авито!$C:$C,$C165)</f>
        <v/>
      </c>
      <c r="G165" s="22">
        <f>SUMIFS(Домклик!$D:$D,Домклик!$A:$A,"Аренда",Домклик!$B:$B,"Дома",Домклик!$C:$C,$C165)</f>
        <v/>
      </c>
      <c r="H165" s="21">
        <f>IFERROR(INDEX($D$1:$G$1,MATCH(MAX(D165:G165),D165:G165,0)),"")</f>
        <v/>
      </c>
    </row>
    <row r="166">
      <c r="A166" s="21" t="inlineStr">
        <is>
          <t>Аренда</t>
        </is>
      </c>
      <c r="B166" s="21" t="inlineStr">
        <is>
          <t>Дома и коттеджи</t>
        </is>
      </c>
      <c r="C166" s="21" t="inlineStr">
        <is>
          <t>Самара</t>
        </is>
      </c>
      <c r="D166" s="22">
        <f>SUMIFS(ЦИАН!$D:$D,ЦИАН!$A:$A,"Аренда квартир",ЦИАН!$B:$B,"Длительная: Дома и коттеджи",ЦИАН!$C:$C,$C166)</f>
        <v/>
      </c>
      <c r="E166" s="22">
        <f>SUMIFS(Яндекс!$D:$D,Яндекс!$A:$A,"Снять",Яндекс!$B:$B,"Дом или коттедж",Яндекс!$C:$C,$C166)</f>
        <v/>
      </c>
      <c r="F166" s="22">
        <f>SUMIFS(Авито!$E:$E,Авито!$A:$A,"Аренда",Авито!$B:$B,"Дома, дачи, коттеджи",Авито!$C:$C,$C166)</f>
        <v/>
      </c>
      <c r="G166" s="22">
        <f>SUMIFS(Домклик!$D:$D,Домклик!$A:$A,"Аренда",Домклик!$B:$B,"Дома",Домклик!$C:$C,$C166)</f>
        <v/>
      </c>
      <c r="H166" s="21">
        <f>IFERROR(INDEX($D$1:$G$1,MATCH(MAX(D166:G166),D166:G166,0)),"")</f>
        <v/>
      </c>
    </row>
    <row r="167">
      <c r="A167" s="21" t="inlineStr">
        <is>
          <t>Аренда</t>
        </is>
      </c>
      <c r="B167" s="21" t="inlineStr">
        <is>
          <t>Дома и коттеджи</t>
        </is>
      </c>
      <c r="C167" s="21" t="inlineStr">
        <is>
          <t>Ростов-на-Дону</t>
        </is>
      </c>
      <c r="D167" s="22">
        <f>SUMIFS(ЦИАН!$D:$D,ЦИАН!$A:$A,"Аренда квартир",ЦИАН!$B:$B,"Длительная: Дома и коттеджи",ЦИАН!$C:$C,$C167)</f>
        <v/>
      </c>
      <c r="E167" s="22">
        <f>SUMIFS(Яндекс!$D:$D,Яндекс!$A:$A,"Снять",Яндекс!$B:$B,"Дом или коттедж",Яндекс!$C:$C,$C167)</f>
        <v/>
      </c>
      <c r="F167" s="22">
        <f>SUMIFS(Авито!$E:$E,Авито!$A:$A,"Аренда",Авито!$B:$B,"Дома, дачи, коттеджи",Авито!$C:$C,$C167)</f>
        <v/>
      </c>
      <c r="G167" s="22">
        <f>SUMIFS(Домклик!$D:$D,Домклик!$A:$A,"Аренда",Домклик!$B:$B,"Дома",Домклик!$C:$C,$C167)</f>
        <v/>
      </c>
      <c r="H167" s="21">
        <f>IFERROR(INDEX($D$1:$G$1,MATCH(MAX(D167:G167),D167:G167,0)),"")</f>
        <v/>
      </c>
    </row>
    <row r="168">
      <c r="A168" s="21" t="inlineStr">
        <is>
          <t>Аренда</t>
        </is>
      </c>
      <c r="B168" s="21" t="inlineStr">
        <is>
          <t>Дома и коттеджи</t>
        </is>
      </c>
      <c r="C168" s="21" t="inlineStr">
        <is>
          <t>Омск</t>
        </is>
      </c>
      <c r="D168" s="22">
        <f>SUMIFS(ЦИАН!$D:$D,ЦИАН!$A:$A,"Аренда квартир",ЦИАН!$B:$B,"Длительная: Дома и коттеджи",ЦИАН!$C:$C,$C168)</f>
        <v/>
      </c>
      <c r="E168" s="22">
        <f>SUMIFS(Яндекс!$D:$D,Яндекс!$A:$A,"Снять",Яндекс!$B:$B,"Дом или коттедж",Яндекс!$C:$C,$C168)</f>
        <v/>
      </c>
      <c r="F168" s="22">
        <f>SUMIFS(Авито!$E:$E,Авито!$A:$A,"Аренда",Авито!$B:$B,"Дома, дачи, коттеджи",Авито!$C:$C,$C168)</f>
        <v/>
      </c>
      <c r="G168" s="22">
        <f>SUMIFS(Домклик!$D:$D,Домклик!$A:$A,"Аренда",Домклик!$B:$B,"Дома",Домклик!$C:$C,$C168)</f>
        <v/>
      </c>
      <c r="H168" s="21">
        <f>IFERROR(INDEX($D$1:$G$1,MATCH(MAX(D168:G168),D168:G168,0)),"")</f>
        <v/>
      </c>
    </row>
    <row r="169">
      <c r="A169" s="21" t="inlineStr">
        <is>
          <t>Аренда</t>
        </is>
      </c>
      <c r="B169" s="21" t="inlineStr">
        <is>
          <t>Дома и коттеджи</t>
        </is>
      </c>
      <c r="C169" s="21" t="inlineStr">
        <is>
          <t>Воронеж</t>
        </is>
      </c>
      <c r="D169" s="22">
        <f>SUMIFS(ЦИАН!$D:$D,ЦИАН!$A:$A,"Аренда квартир",ЦИАН!$B:$B,"Длительная: Дома и коттеджи",ЦИАН!$C:$C,$C169)</f>
        <v/>
      </c>
      <c r="E169" s="22">
        <f>SUMIFS(Яндекс!$D:$D,Яндекс!$A:$A,"Снять",Яндекс!$B:$B,"Дом или коттедж",Яндекс!$C:$C,$C169)</f>
        <v/>
      </c>
      <c r="F169" s="22">
        <f>SUMIFS(Авито!$E:$E,Авито!$A:$A,"Аренда",Авито!$B:$B,"Дома, дачи, коттеджи",Авито!$C:$C,$C169)</f>
        <v/>
      </c>
      <c r="G169" s="22">
        <f>SUMIFS(Домклик!$D:$D,Домклик!$A:$A,"Аренда",Домклик!$B:$B,"Дома",Домклик!$C:$C,$C169)</f>
        <v/>
      </c>
      <c r="H169" s="21">
        <f>IFERROR(INDEX($D$1:$G$1,MATCH(MAX(D169:G169),D169:G169,0)),"")</f>
        <v/>
      </c>
    </row>
    <row r="170">
      <c r="A170" s="21" t="inlineStr">
        <is>
          <t>Аренда</t>
        </is>
      </c>
      <c r="B170" s="21" t="inlineStr">
        <is>
          <t>Дома и коттеджи</t>
        </is>
      </c>
      <c r="C170" s="21" t="inlineStr">
        <is>
          <t>Пермь</t>
        </is>
      </c>
      <c r="D170" s="22">
        <f>SUMIFS(ЦИАН!$D:$D,ЦИАН!$A:$A,"Аренда квартир",ЦИАН!$B:$B,"Длительная: Дома и коттеджи",ЦИАН!$C:$C,$C170)</f>
        <v/>
      </c>
      <c r="E170" s="22">
        <f>SUMIFS(Яндекс!$D:$D,Яндекс!$A:$A,"Снять",Яндекс!$B:$B,"Дом или коттедж",Яндекс!$C:$C,$C170)</f>
        <v/>
      </c>
      <c r="F170" s="22">
        <f>SUMIFS(Авито!$E:$E,Авито!$A:$A,"Аренда",Авито!$B:$B,"Дома, дачи, коттеджи",Авито!$C:$C,$C170)</f>
        <v/>
      </c>
      <c r="G170" s="22">
        <f>SUMIFS(Домклик!$D:$D,Домклик!$A:$A,"Аренда",Домклик!$B:$B,"Дома",Домклик!$C:$C,$C170)</f>
        <v/>
      </c>
      <c r="H170" s="21">
        <f>IFERROR(INDEX($D$1:$G$1,MATCH(MAX(D170:G170),D170:G170,0)),"")</f>
        <v/>
      </c>
    </row>
    <row r="171">
      <c r="A171" s="21" t="inlineStr">
        <is>
          <t>Аренда</t>
        </is>
      </c>
      <c r="B171" s="21" t="inlineStr">
        <is>
          <t>Дома и коттеджи</t>
        </is>
      </c>
      <c r="C171" s="21" t="inlineStr">
        <is>
          <t>Волгоград</t>
        </is>
      </c>
      <c r="D171" s="22">
        <f>SUMIFS(ЦИАН!$D:$D,ЦИАН!$A:$A,"Аренда квартир",ЦИАН!$B:$B,"Длительная: Дома и коттеджи",ЦИАН!$C:$C,$C171)</f>
        <v/>
      </c>
      <c r="E171" s="22">
        <f>SUMIFS(Яндекс!$D:$D,Яндекс!$A:$A,"Снять",Яндекс!$B:$B,"Дом или коттедж",Яндекс!$C:$C,$C171)</f>
        <v/>
      </c>
      <c r="F171" s="22">
        <f>SUMIFS(Авито!$E:$E,Авито!$A:$A,"Аренда",Авито!$B:$B,"Дома, дачи, коттеджи",Авито!$C:$C,$C171)</f>
        <v/>
      </c>
      <c r="G171" s="22">
        <f>SUMIFS(Домклик!$D:$D,Домклик!$A:$A,"Аренда",Домклик!$B:$B,"Дома",Домклик!$C:$C,$C171)</f>
        <v/>
      </c>
      <c r="H171" s="21">
        <f>IFERROR(INDEX($D$1:$G$1,MATCH(MAX(D171:G171),D171:G171,0)),"")</f>
        <v/>
      </c>
    </row>
    <row r="172">
      <c r="A172" s="27" t="inlineStr">
        <is>
          <t>Аренда</t>
        </is>
      </c>
      <c r="B172" s="17" t="inlineStr">
        <is>
          <t>Посуточная</t>
        </is>
      </c>
      <c r="C172" s="28" t="inlineStr">
        <is>
          <t>🇷🇺 Вся Россия</t>
        </is>
      </c>
      <c r="D172" s="19">
        <f>SUMIFS(ЦИАН!$D:$D,ЦИАН!$A:$A,"Аренда квартир",ЦИАН!$B:$B,"Посуточная аренда",ЦИАН!$C:$C,$C172)</f>
        <v/>
      </c>
      <c r="E172" s="19">
        <f>SUMIFS(Яндекс!$D:$D,Яндекс!$A:$A,"Снять",Яндекс!$B:$B,"Посуточно",Яндекс!$C:$C,$C172)</f>
        <v/>
      </c>
      <c r="F172" s="19">
        <f>SUMIFS(Авито!$E:$E,Авито!$A:$A,"Аренда",Авито!$B:$B,"Квартиры посуточно",Авито!$C:$C,$C172)</f>
        <v/>
      </c>
      <c r="G172" s="32" t="inlineStr">
        <is>
          <t>—</t>
        </is>
      </c>
      <c r="H172" s="18">
        <f>IFERROR(INDEX($D$1:$G$1,MATCH(MAX(D172:G172),D172:G172,0)),"")</f>
        <v/>
      </c>
    </row>
    <row r="173">
      <c r="A173" s="21" t="inlineStr">
        <is>
          <t>Аренда</t>
        </is>
      </c>
      <c r="B173" s="21" t="inlineStr">
        <is>
          <t>Посуточная</t>
        </is>
      </c>
      <c r="C173" s="21" t="inlineStr">
        <is>
          <t>Москва</t>
        </is>
      </c>
      <c r="D173" s="22">
        <f>SUMIFS(ЦИАН!$D:$D,ЦИАН!$A:$A,"Аренда квартир",ЦИАН!$B:$B,"Посуточная аренда",ЦИАН!$C:$C,$C173)</f>
        <v/>
      </c>
      <c r="E173" s="22">
        <f>SUMIFS(Яндекс!$D:$D,Яндекс!$A:$A,"Снять",Яндекс!$B:$B,"Посуточно",Яндекс!$C:$C,$C173)</f>
        <v/>
      </c>
      <c r="F173" s="22">
        <f>SUMIFS(Авито!$E:$E,Авито!$A:$A,"Аренда",Авито!$B:$B,"Квартиры посуточно",Авито!$C:$C,$C173)</f>
        <v/>
      </c>
      <c r="G173" s="24" t="inlineStr">
        <is>
          <t>—</t>
        </is>
      </c>
      <c r="H173" s="21">
        <f>IFERROR(INDEX($D$1:$G$1,MATCH(MAX(D173:G173),D173:G173,0)),"")</f>
        <v/>
      </c>
    </row>
    <row r="174">
      <c r="A174" s="21" t="inlineStr">
        <is>
          <t>Аренда</t>
        </is>
      </c>
      <c r="B174" s="21" t="inlineStr">
        <is>
          <t>Посуточная</t>
        </is>
      </c>
      <c r="C174" s="21" t="inlineStr">
        <is>
          <t>Санкт-Петербург</t>
        </is>
      </c>
      <c r="D174" s="22">
        <f>SUMIFS(ЦИАН!$D:$D,ЦИАН!$A:$A,"Аренда квартир",ЦИАН!$B:$B,"Посуточная аренда",ЦИАН!$C:$C,$C174)</f>
        <v/>
      </c>
      <c r="E174" s="22">
        <f>SUMIFS(Яндекс!$D:$D,Яндекс!$A:$A,"Снять",Яндекс!$B:$B,"Посуточно",Яндекс!$C:$C,$C174)</f>
        <v/>
      </c>
      <c r="F174" s="22">
        <f>SUMIFS(Авито!$E:$E,Авито!$A:$A,"Аренда",Авито!$B:$B,"Квартиры посуточно",Авито!$C:$C,$C174)</f>
        <v/>
      </c>
      <c r="G174" s="24" t="inlineStr">
        <is>
          <t>—</t>
        </is>
      </c>
      <c r="H174" s="21">
        <f>IFERROR(INDEX($D$1:$G$1,MATCH(MAX(D174:G174),D174:G174,0)),"")</f>
        <v/>
      </c>
    </row>
    <row r="175">
      <c r="A175" s="21" t="inlineStr">
        <is>
          <t>Аренда</t>
        </is>
      </c>
      <c r="B175" s="21" t="inlineStr">
        <is>
          <t>Посуточная</t>
        </is>
      </c>
      <c r="C175" s="21" t="inlineStr">
        <is>
          <t>Новосибирск</t>
        </is>
      </c>
      <c r="D175" s="22">
        <f>SUMIFS(ЦИАН!$D:$D,ЦИАН!$A:$A,"Аренда квартир",ЦИАН!$B:$B,"Посуточная аренда",ЦИАН!$C:$C,$C175)</f>
        <v/>
      </c>
      <c r="E175" s="22">
        <f>SUMIFS(Яндекс!$D:$D,Яндекс!$A:$A,"Снять",Яндекс!$B:$B,"Посуточно",Яндекс!$C:$C,$C175)</f>
        <v/>
      </c>
      <c r="F175" s="22">
        <f>SUMIFS(Авито!$E:$E,Авито!$A:$A,"Аренда",Авито!$B:$B,"Квартиры посуточно",Авито!$C:$C,$C175)</f>
        <v/>
      </c>
      <c r="G175" s="24" t="inlineStr">
        <is>
          <t>—</t>
        </is>
      </c>
      <c r="H175" s="21">
        <f>IFERROR(INDEX($D$1:$G$1,MATCH(MAX(D175:G175),D175:G175,0)),"")</f>
        <v/>
      </c>
    </row>
    <row r="176">
      <c r="A176" s="21" t="inlineStr">
        <is>
          <t>Аренда</t>
        </is>
      </c>
      <c r="B176" s="21" t="inlineStr">
        <is>
          <t>Посуточная</t>
        </is>
      </c>
      <c r="C176" s="21" t="inlineStr">
        <is>
          <t>Екатеринбург</t>
        </is>
      </c>
      <c r="D176" s="22">
        <f>SUMIFS(ЦИАН!$D:$D,ЦИАН!$A:$A,"Аренда квартир",ЦИАН!$B:$B,"Посуточная аренда",ЦИАН!$C:$C,$C176)</f>
        <v/>
      </c>
      <c r="E176" s="22">
        <f>SUMIFS(Яндекс!$D:$D,Яндекс!$A:$A,"Снять",Яндекс!$B:$B,"Посуточно",Яндекс!$C:$C,$C176)</f>
        <v/>
      </c>
      <c r="F176" s="22">
        <f>SUMIFS(Авито!$E:$E,Авито!$A:$A,"Аренда",Авито!$B:$B,"Квартиры посуточно",Авито!$C:$C,$C176)</f>
        <v/>
      </c>
      <c r="G176" s="24" t="inlineStr">
        <is>
          <t>—</t>
        </is>
      </c>
      <c r="H176" s="21">
        <f>IFERROR(INDEX($D$1:$G$1,MATCH(MAX(D176:G176),D176:G176,0)),"")</f>
        <v/>
      </c>
    </row>
    <row r="177">
      <c r="A177" s="21" t="inlineStr">
        <is>
          <t>Аренда</t>
        </is>
      </c>
      <c r="B177" s="21" t="inlineStr">
        <is>
          <t>Посуточная</t>
        </is>
      </c>
      <c r="C177" s="21" t="inlineStr">
        <is>
          <t>Казань</t>
        </is>
      </c>
      <c r="D177" s="22">
        <f>SUMIFS(ЦИАН!$D:$D,ЦИАН!$A:$A,"Аренда квартир",ЦИАН!$B:$B,"Посуточная аренда",ЦИАН!$C:$C,$C177)</f>
        <v/>
      </c>
      <c r="E177" s="22">
        <f>SUMIFS(Яндекс!$D:$D,Яндекс!$A:$A,"Снять",Яндекс!$B:$B,"Посуточно",Яндекс!$C:$C,$C177)</f>
        <v/>
      </c>
      <c r="F177" s="22">
        <f>SUMIFS(Авито!$E:$E,Авито!$A:$A,"Аренда",Авито!$B:$B,"Квартиры посуточно",Авито!$C:$C,$C177)</f>
        <v/>
      </c>
      <c r="G177" s="24" t="inlineStr">
        <is>
          <t>—</t>
        </is>
      </c>
      <c r="H177" s="21">
        <f>IFERROR(INDEX($D$1:$G$1,MATCH(MAX(D177:G177),D177:G177,0)),"")</f>
        <v/>
      </c>
    </row>
    <row r="178">
      <c r="A178" s="21" t="inlineStr">
        <is>
          <t>Аренда</t>
        </is>
      </c>
      <c r="B178" s="21" t="inlineStr">
        <is>
          <t>Посуточная</t>
        </is>
      </c>
      <c r="C178" s="21" t="inlineStr">
        <is>
          <t>Красноярск</t>
        </is>
      </c>
      <c r="D178" s="22">
        <f>SUMIFS(ЦИАН!$D:$D,ЦИАН!$A:$A,"Аренда квартир",ЦИАН!$B:$B,"Посуточная аренда",ЦИАН!$C:$C,$C178)</f>
        <v/>
      </c>
      <c r="E178" s="22">
        <f>SUMIFS(Яндекс!$D:$D,Яндекс!$A:$A,"Снять",Яндекс!$B:$B,"Посуточно",Яндекс!$C:$C,$C178)</f>
        <v/>
      </c>
      <c r="F178" s="22">
        <f>SUMIFS(Авито!$E:$E,Авито!$A:$A,"Аренда",Авито!$B:$B,"Квартиры посуточно",Авито!$C:$C,$C178)</f>
        <v/>
      </c>
      <c r="G178" s="24" t="inlineStr">
        <is>
          <t>—</t>
        </is>
      </c>
      <c r="H178" s="21">
        <f>IFERROR(INDEX($D$1:$G$1,MATCH(MAX(D178:G178),D178:G178,0)),"")</f>
        <v/>
      </c>
    </row>
    <row r="179">
      <c r="A179" s="21" t="inlineStr">
        <is>
          <t>Аренда</t>
        </is>
      </c>
      <c r="B179" s="21" t="inlineStr">
        <is>
          <t>Посуточная</t>
        </is>
      </c>
      <c r="C179" s="21" t="inlineStr">
        <is>
          <t>Нижний Новгород</t>
        </is>
      </c>
      <c r="D179" s="22">
        <f>SUMIFS(ЦИАН!$D:$D,ЦИАН!$A:$A,"Аренда квартир",ЦИАН!$B:$B,"Посуточная аренда",ЦИАН!$C:$C,$C179)</f>
        <v/>
      </c>
      <c r="E179" s="22">
        <f>SUMIFS(Яндекс!$D:$D,Яндекс!$A:$A,"Снять",Яндекс!$B:$B,"Посуточно",Яндекс!$C:$C,$C179)</f>
        <v/>
      </c>
      <c r="F179" s="22">
        <f>SUMIFS(Авито!$E:$E,Авито!$A:$A,"Аренда",Авито!$B:$B,"Квартиры посуточно",Авито!$C:$C,$C179)</f>
        <v/>
      </c>
      <c r="G179" s="24" t="inlineStr">
        <is>
          <t>—</t>
        </is>
      </c>
      <c r="H179" s="21">
        <f>IFERROR(INDEX($D$1:$G$1,MATCH(MAX(D179:G179),D179:G179,0)),"")</f>
        <v/>
      </c>
    </row>
    <row r="180">
      <c r="A180" s="21" t="inlineStr">
        <is>
          <t>Аренда</t>
        </is>
      </c>
      <c r="B180" s="21" t="inlineStr">
        <is>
          <t>Посуточная</t>
        </is>
      </c>
      <c r="C180" s="21" t="inlineStr">
        <is>
          <t>Челябинск</t>
        </is>
      </c>
      <c r="D180" s="22">
        <f>SUMIFS(ЦИАН!$D:$D,ЦИАН!$A:$A,"Аренда квартир",ЦИАН!$B:$B,"Посуточная аренда",ЦИАН!$C:$C,$C180)</f>
        <v/>
      </c>
      <c r="E180" s="22">
        <f>SUMIFS(Яндекс!$D:$D,Яндекс!$A:$A,"Снять",Яндекс!$B:$B,"Посуточно",Яндекс!$C:$C,$C180)</f>
        <v/>
      </c>
      <c r="F180" s="22">
        <f>SUMIFS(Авито!$E:$E,Авито!$A:$A,"Аренда",Авито!$B:$B,"Квартиры посуточно",Авито!$C:$C,$C180)</f>
        <v/>
      </c>
      <c r="G180" s="24" t="inlineStr">
        <is>
          <t>—</t>
        </is>
      </c>
      <c r="H180" s="21">
        <f>IFERROR(INDEX($D$1:$G$1,MATCH(MAX(D180:G180),D180:G180,0)),"")</f>
        <v/>
      </c>
    </row>
    <row r="181">
      <c r="A181" s="21" t="inlineStr">
        <is>
          <t>Аренда</t>
        </is>
      </c>
      <c r="B181" s="21" t="inlineStr">
        <is>
          <t>Посуточная</t>
        </is>
      </c>
      <c r="C181" s="21" t="inlineStr">
        <is>
          <t>Уфа</t>
        </is>
      </c>
      <c r="D181" s="22">
        <f>SUMIFS(ЦИАН!$D:$D,ЦИАН!$A:$A,"Аренда квартир",ЦИАН!$B:$B,"Посуточная аренда",ЦИАН!$C:$C,$C181)</f>
        <v/>
      </c>
      <c r="E181" s="22">
        <f>SUMIFS(Яндекс!$D:$D,Яндекс!$A:$A,"Снять",Яндекс!$B:$B,"Посуточно",Яндекс!$C:$C,$C181)</f>
        <v/>
      </c>
      <c r="F181" s="22">
        <f>SUMIFS(Авито!$E:$E,Авито!$A:$A,"Аренда",Авито!$B:$B,"Квартиры посуточно",Авито!$C:$C,$C181)</f>
        <v/>
      </c>
      <c r="G181" s="24" t="inlineStr">
        <is>
          <t>—</t>
        </is>
      </c>
      <c r="H181" s="21">
        <f>IFERROR(INDEX($D$1:$G$1,MATCH(MAX(D181:G181),D181:G181,0)),"")</f>
        <v/>
      </c>
    </row>
    <row r="182">
      <c r="A182" s="21" t="inlineStr">
        <is>
          <t>Аренда</t>
        </is>
      </c>
      <c r="B182" s="21" t="inlineStr">
        <is>
          <t>Посуточная</t>
        </is>
      </c>
      <c r="C182" s="21" t="inlineStr">
        <is>
          <t>Краснодар</t>
        </is>
      </c>
      <c r="D182" s="22">
        <f>SUMIFS(ЦИАН!$D:$D,ЦИАН!$A:$A,"Аренда квартир",ЦИАН!$B:$B,"Посуточная аренда",ЦИАН!$C:$C,$C182)</f>
        <v/>
      </c>
      <c r="E182" s="22">
        <f>SUMIFS(Яндекс!$D:$D,Яндекс!$A:$A,"Снять",Яндекс!$B:$B,"Посуточно",Яндекс!$C:$C,$C182)</f>
        <v/>
      </c>
      <c r="F182" s="22">
        <f>SUMIFS(Авито!$E:$E,Авито!$A:$A,"Аренда",Авито!$B:$B,"Квартиры посуточно",Авито!$C:$C,$C182)</f>
        <v/>
      </c>
      <c r="G182" s="24" t="inlineStr">
        <is>
          <t>—</t>
        </is>
      </c>
      <c r="H182" s="21">
        <f>IFERROR(INDEX($D$1:$G$1,MATCH(MAX(D182:G182),D182:G182,0)),"")</f>
        <v/>
      </c>
    </row>
    <row r="183">
      <c r="A183" s="21" t="inlineStr">
        <is>
          <t>Аренда</t>
        </is>
      </c>
      <c r="B183" s="21" t="inlineStr">
        <is>
          <t>Посуточная</t>
        </is>
      </c>
      <c r="C183" s="21" t="inlineStr">
        <is>
          <t>Самара</t>
        </is>
      </c>
      <c r="D183" s="22">
        <f>SUMIFS(ЦИАН!$D:$D,ЦИАН!$A:$A,"Аренда квартир",ЦИАН!$B:$B,"Посуточная аренда",ЦИАН!$C:$C,$C183)</f>
        <v/>
      </c>
      <c r="E183" s="22">
        <f>SUMIFS(Яндекс!$D:$D,Яндекс!$A:$A,"Снять",Яндекс!$B:$B,"Посуточно",Яндекс!$C:$C,$C183)</f>
        <v/>
      </c>
      <c r="F183" s="22">
        <f>SUMIFS(Авито!$E:$E,Авито!$A:$A,"Аренда",Авито!$B:$B,"Квартиры посуточно",Авито!$C:$C,$C183)</f>
        <v/>
      </c>
      <c r="G183" s="24" t="inlineStr">
        <is>
          <t>—</t>
        </is>
      </c>
      <c r="H183" s="21">
        <f>IFERROR(INDEX($D$1:$G$1,MATCH(MAX(D183:G183),D183:G183,0)),"")</f>
        <v/>
      </c>
    </row>
    <row r="184">
      <c r="A184" s="21" t="inlineStr">
        <is>
          <t>Аренда</t>
        </is>
      </c>
      <c r="B184" s="21" t="inlineStr">
        <is>
          <t>Посуточная</t>
        </is>
      </c>
      <c r="C184" s="21" t="inlineStr">
        <is>
          <t>Ростов-на-Дону</t>
        </is>
      </c>
      <c r="D184" s="22">
        <f>SUMIFS(ЦИАН!$D:$D,ЦИАН!$A:$A,"Аренда квартир",ЦИАН!$B:$B,"Посуточная аренда",ЦИАН!$C:$C,$C184)</f>
        <v/>
      </c>
      <c r="E184" s="22">
        <f>SUMIFS(Яндекс!$D:$D,Яндекс!$A:$A,"Снять",Яндекс!$B:$B,"Посуточно",Яндекс!$C:$C,$C184)</f>
        <v/>
      </c>
      <c r="F184" s="22">
        <f>SUMIFS(Авито!$E:$E,Авито!$A:$A,"Аренда",Авито!$B:$B,"Квартиры посуточно",Авито!$C:$C,$C184)</f>
        <v/>
      </c>
      <c r="G184" s="24" t="inlineStr">
        <is>
          <t>—</t>
        </is>
      </c>
      <c r="H184" s="21">
        <f>IFERROR(INDEX($D$1:$G$1,MATCH(MAX(D184:G184),D184:G184,0)),"")</f>
        <v/>
      </c>
    </row>
    <row r="185">
      <c r="A185" s="21" t="inlineStr">
        <is>
          <t>Аренда</t>
        </is>
      </c>
      <c r="B185" s="21" t="inlineStr">
        <is>
          <t>Посуточная</t>
        </is>
      </c>
      <c r="C185" s="21" t="inlineStr">
        <is>
          <t>Омск</t>
        </is>
      </c>
      <c r="D185" s="22">
        <f>SUMIFS(ЦИАН!$D:$D,ЦИАН!$A:$A,"Аренда квартир",ЦИАН!$B:$B,"Посуточная аренда",ЦИАН!$C:$C,$C185)</f>
        <v/>
      </c>
      <c r="E185" s="22">
        <f>SUMIFS(Яндекс!$D:$D,Яндекс!$A:$A,"Снять",Яндекс!$B:$B,"Посуточно",Яндекс!$C:$C,$C185)</f>
        <v/>
      </c>
      <c r="F185" s="22">
        <f>SUMIFS(Авито!$E:$E,Авито!$A:$A,"Аренда",Авито!$B:$B,"Квартиры посуточно",Авито!$C:$C,$C185)</f>
        <v/>
      </c>
      <c r="G185" s="24" t="inlineStr">
        <is>
          <t>—</t>
        </is>
      </c>
      <c r="H185" s="21">
        <f>IFERROR(INDEX($D$1:$G$1,MATCH(MAX(D185:G185),D185:G185,0)),"")</f>
        <v/>
      </c>
    </row>
    <row r="186">
      <c r="A186" s="21" t="inlineStr">
        <is>
          <t>Аренда</t>
        </is>
      </c>
      <c r="B186" s="21" t="inlineStr">
        <is>
          <t>Посуточная</t>
        </is>
      </c>
      <c r="C186" s="21" t="inlineStr">
        <is>
          <t>Воронеж</t>
        </is>
      </c>
      <c r="D186" s="22">
        <f>SUMIFS(ЦИАН!$D:$D,ЦИАН!$A:$A,"Аренда квартир",ЦИАН!$B:$B,"Посуточная аренда",ЦИАН!$C:$C,$C186)</f>
        <v/>
      </c>
      <c r="E186" s="22">
        <f>SUMIFS(Яндекс!$D:$D,Яндекс!$A:$A,"Снять",Яндекс!$B:$B,"Посуточно",Яндекс!$C:$C,$C186)</f>
        <v/>
      </c>
      <c r="F186" s="22">
        <f>SUMIFS(Авито!$E:$E,Авито!$A:$A,"Аренда",Авито!$B:$B,"Квартиры посуточно",Авито!$C:$C,$C186)</f>
        <v/>
      </c>
      <c r="G186" s="24" t="inlineStr">
        <is>
          <t>—</t>
        </is>
      </c>
      <c r="H186" s="21">
        <f>IFERROR(INDEX($D$1:$G$1,MATCH(MAX(D186:G186),D186:G186,0)),"")</f>
        <v/>
      </c>
    </row>
    <row r="187">
      <c r="A187" s="21" t="inlineStr">
        <is>
          <t>Аренда</t>
        </is>
      </c>
      <c r="B187" s="21" t="inlineStr">
        <is>
          <t>Посуточная</t>
        </is>
      </c>
      <c r="C187" s="21" t="inlineStr">
        <is>
          <t>Пермь</t>
        </is>
      </c>
      <c r="D187" s="22">
        <f>SUMIFS(ЦИАН!$D:$D,ЦИАН!$A:$A,"Аренда квартир",ЦИАН!$B:$B,"Посуточная аренда",ЦИАН!$C:$C,$C187)</f>
        <v/>
      </c>
      <c r="E187" s="22">
        <f>SUMIFS(Яндекс!$D:$D,Яндекс!$A:$A,"Снять",Яндекс!$B:$B,"Посуточно",Яндекс!$C:$C,$C187)</f>
        <v/>
      </c>
      <c r="F187" s="22">
        <f>SUMIFS(Авито!$E:$E,Авито!$A:$A,"Аренда",Авито!$B:$B,"Квартиры посуточно",Авито!$C:$C,$C187)</f>
        <v/>
      </c>
      <c r="G187" s="24" t="inlineStr">
        <is>
          <t>—</t>
        </is>
      </c>
      <c r="H187" s="21">
        <f>IFERROR(INDEX($D$1:$G$1,MATCH(MAX(D187:G187),D187:G187,0)),"")</f>
        <v/>
      </c>
    </row>
    <row r="188">
      <c r="A188" s="21" t="inlineStr">
        <is>
          <t>Аренда</t>
        </is>
      </c>
      <c r="B188" s="21" t="inlineStr">
        <is>
          <t>Посуточная</t>
        </is>
      </c>
      <c r="C188" s="21" t="inlineStr">
        <is>
          <t>Волгоград</t>
        </is>
      </c>
      <c r="D188" s="22">
        <f>SUMIFS(ЦИАН!$D:$D,ЦИАН!$A:$A,"Аренда квартир",ЦИАН!$B:$B,"Посуточная аренда",ЦИАН!$C:$C,$C188)</f>
        <v/>
      </c>
      <c r="E188" s="22">
        <f>SUMIFS(Яндекс!$D:$D,Яндекс!$A:$A,"Снять",Яндекс!$B:$B,"Посуточно",Яндекс!$C:$C,$C188)</f>
        <v/>
      </c>
      <c r="F188" s="22">
        <f>SUMIFS(Авито!$E:$E,Авито!$A:$A,"Аренда",Авито!$B:$B,"Квартиры посуточно",Авито!$C:$C,$C188)</f>
        <v/>
      </c>
      <c r="G188" s="24" t="inlineStr">
        <is>
          <t>—</t>
        </is>
      </c>
      <c r="H188" s="21">
        <f>IFERROR(INDEX($D$1:$G$1,MATCH(MAX(D188:G188),D188:G188,0)),"")</f>
        <v/>
      </c>
    </row>
    <row r="189">
      <c r="A189" s="27" t="inlineStr">
        <is>
          <t>Аренда</t>
        </is>
      </c>
      <c r="B189" s="17" t="inlineStr">
        <is>
          <t>Коммерческая</t>
        </is>
      </c>
      <c r="C189" s="28" t="inlineStr">
        <is>
          <t>🇷🇺 Вся Россия</t>
        </is>
      </c>
      <c r="D189" s="19">
        <f>SUMIFS(ЦИАН!$D:$D,ЦИАН!$A:$A,"Коммерческая · Аренда",ЦИАН!$B:$B,"Офис",ЦИАН!$C:$C,$C189)+SUMIFS(ЦИАН!$D:$D,ЦИАН!$A:$A,"Коммерческая · Аренда",ЦИАН!$B:$B,"Коворкинг",ЦИАН!$C:$C,$C189)+SUMIFS(ЦИАН!$D:$D,ЦИАН!$A:$A,"Коммерческая · Аренда",ЦИАН!$B:$B,"Торговая площадь",ЦИАН!$C:$C,$C189)+SUMIFS(ЦИАН!$D:$D,ЦИАН!$A:$A,"Коммерческая · Аренда",ЦИАН!$B:$B,"Складское помещение",ЦИАН!$C:$C,$C189)</f>
        <v/>
      </c>
      <c r="E189" s="19">
        <f>SUMIFS(Яндекс!$D:$D,Яндекс!$A:$A,"Коммерческая",Яндекс!$B:$B,"Аренда",Яндекс!$C:$C,$C189)</f>
        <v/>
      </c>
      <c r="F189" s="19">
        <f>SUMIFS(Авито!$E:$E,Авито!$A:$A,"Аренда",Авито!$B:$B,"Коммерческая",Авито!$C:$C,$C189)</f>
        <v/>
      </c>
      <c r="G189" s="19">
        <f>SUMIFS(Домклик!$D:$D,Домклик!$A:$A,"Аренда",Домклик!$B:$B,"Коммерческая",Домклик!$C:$C,$C189)</f>
        <v/>
      </c>
      <c r="H189" s="18">
        <f>IFERROR(INDEX($D$1:$G$1,MATCH(MAX(D189:G189),D189:G189,0)),"")</f>
        <v/>
      </c>
    </row>
    <row r="190">
      <c r="A190" s="21" t="inlineStr">
        <is>
          <t>Аренда</t>
        </is>
      </c>
      <c r="B190" s="21" t="inlineStr">
        <is>
          <t>Коммерческая</t>
        </is>
      </c>
      <c r="C190" s="21" t="inlineStr">
        <is>
          <t>Москва</t>
        </is>
      </c>
      <c r="D190" s="22">
        <f>SUMIFS(ЦИАН!$D:$D,ЦИАН!$A:$A,"Коммерческая · Аренда",ЦИАН!$B:$B,"Офис",ЦИАН!$C:$C,$C190)+SUMIFS(ЦИАН!$D:$D,ЦИАН!$A:$A,"Коммерческая · Аренда",ЦИАН!$B:$B,"Коворкинг",ЦИАН!$C:$C,$C190)+SUMIFS(ЦИАН!$D:$D,ЦИАН!$A:$A,"Коммерческая · Аренда",ЦИАН!$B:$B,"Торговая площадь",ЦИАН!$C:$C,$C190)+SUMIFS(ЦИАН!$D:$D,ЦИАН!$A:$A,"Коммерческая · Аренда",ЦИАН!$B:$B,"Складское помещение",ЦИАН!$C:$C,$C190)</f>
        <v/>
      </c>
      <c r="E190" s="22">
        <f>SUMIFS(Яндекс!$D:$D,Яндекс!$A:$A,"Коммерческая",Яндекс!$B:$B,"Аренда",Яндекс!$C:$C,$C190)</f>
        <v/>
      </c>
      <c r="F190" s="22">
        <f>SUMIFS(Авито!$E:$E,Авито!$A:$A,"Аренда",Авито!$B:$B,"Коммерческая",Авито!$C:$C,$C190)</f>
        <v/>
      </c>
      <c r="G190" s="22">
        <f>SUMIFS(Домклик!$D:$D,Домклик!$A:$A,"Аренда",Домклик!$B:$B,"Коммерческая",Домклик!$C:$C,$C190)</f>
        <v/>
      </c>
      <c r="H190" s="21">
        <f>IFERROR(INDEX($D$1:$G$1,MATCH(MAX(D190:G190),D190:G190,0)),"")</f>
        <v/>
      </c>
    </row>
    <row r="191">
      <c r="A191" s="21" t="inlineStr">
        <is>
          <t>Аренда</t>
        </is>
      </c>
      <c r="B191" s="21" t="inlineStr">
        <is>
          <t>Коммерческая</t>
        </is>
      </c>
      <c r="C191" s="21" t="inlineStr">
        <is>
          <t>Санкт-Петербург</t>
        </is>
      </c>
      <c r="D191" s="22">
        <f>SUMIFS(ЦИАН!$D:$D,ЦИАН!$A:$A,"Коммерческая · Аренда",ЦИАН!$B:$B,"Офис",ЦИАН!$C:$C,$C191)+SUMIFS(ЦИАН!$D:$D,ЦИАН!$A:$A,"Коммерческая · Аренда",ЦИАН!$B:$B,"Коворкинг",ЦИАН!$C:$C,$C191)+SUMIFS(ЦИАН!$D:$D,ЦИАН!$A:$A,"Коммерческая · Аренда",ЦИАН!$B:$B,"Торговая площадь",ЦИАН!$C:$C,$C191)+SUMIFS(ЦИАН!$D:$D,ЦИАН!$A:$A,"Коммерческая · Аренда",ЦИАН!$B:$B,"Складское помещение",ЦИАН!$C:$C,$C191)</f>
        <v/>
      </c>
      <c r="E191" s="22">
        <f>SUMIFS(Яндекс!$D:$D,Яндекс!$A:$A,"Коммерческая",Яндекс!$B:$B,"Аренда",Яндекс!$C:$C,$C191)</f>
        <v/>
      </c>
      <c r="F191" s="22">
        <f>SUMIFS(Авито!$E:$E,Авито!$A:$A,"Аренда",Авито!$B:$B,"Коммерческая",Авито!$C:$C,$C191)</f>
        <v/>
      </c>
      <c r="G191" s="22">
        <f>SUMIFS(Домклик!$D:$D,Домклик!$A:$A,"Аренда",Домклик!$B:$B,"Коммерческая",Домклик!$C:$C,$C191)</f>
        <v/>
      </c>
      <c r="H191" s="21">
        <f>IFERROR(INDEX($D$1:$G$1,MATCH(MAX(D191:G191),D191:G191,0)),"")</f>
        <v/>
      </c>
    </row>
    <row r="192">
      <c r="A192" s="21" t="inlineStr">
        <is>
          <t>Аренда</t>
        </is>
      </c>
      <c r="B192" s="21" t="inlineStr">
        <is>
          <t>Коммерческая</t>
        </is>
      </c>
      <c r="C192" s="21" t="inlineStr">
        <is>
          <t>Новосибирск</t>
        </is>
      </c>
      <c r="D192" s="22">
        <f>SUMIFS(ЦИАН!$D:$D,ЦИАН!$A:$A,"Коммерческая · Аренда",ЦИАН!$B:$B,"Офис",ЦИАН!$C:$C,$C192)+SUMIFS(ЦИАН!$D:$D,ЦИАН!$A:$A,"Коммерческая · Аренда",ЦИАН!$B:$B,"Коворкинг",ЦИАН!$C:$C,$C192)+SUMIFS(ЦИАН!$D:$D,ЦИАН!$A:$A,"Коммерческая · Аренда",ЦИАН!$B:$B,"Торговая площадь",ЦИАН!$C:$C,$C192)+SUMIFS(ЦИАН!$D:$D,ЦИАН!$A:$A,"Коммерческая · Аренда",ЦИАН!$B:$B,"Складское помещение",ЦИАН!$C:$C,$C192)</f>
        <v/>
      </c>
      <c r="E192" s="22">
        <f>SUMIFS(Яндекс!$D:$D,Яндекс!$A:$A,"Коммерческая",Яндекс!$B:$B,"Аренда",Яндекс!$C:$C,$C192)</f>
        <v/>
      </c>
      <c r="F192" s="22">
        <f>SUMIFS(Авито!$E:$E,Авито!$A:$A,"Аренда",Авито!$B:$B,"Коммерческая",Авито!$C:$C,$C192)</f>
        <v/>
      </c>
      <c r="G192" s="22">
        <f>SUMIFS(Домклик!$D:$D,Домклик!$A:$A,"Аренда",Домклик!$B:$B,"Коммерческая",Домклик!$C:$C,$C192)</f>
        <v/>
      </c>
      <c r="H192" s="21">
        <f>IFERROR(INDEX($D$1:$G$1,MATCH(MAX(D192:G192),D192:G192,0)),"")</f>
        <v/>
      </c>
    </row>
    <row r="193">
      <c r="A193" s="21" t="inlineStr">
        <is>
          <t>Аренда</t>
        </is>
      </c>
      <c r="B193" s="21" t="inlineStr">
        <is>
          <t>Коммерческая</t>
        </is>
      </c>
      <c r="C193" s="21" t="inlineStr">
        <is>
          <t>Екатеринбург</t>
        </is>
      </c>
      <c r="D193" s="22">
        <f>SUMIFS(ЦИАН!$D:$D,ЦИАН!$A:$A,"Коммерческая · Аренда",ЦИАН!$B:$B,"Офис",ЦИАН!$C:$C,$C193)+SUMIFS(ЦИАН!$D:$D,ЦИАН!$A:$A,"Коммерческая · Аренда",ЦИАН!$B:$B,"Коворкинг",ЦИАН!$C:$C,$C193)+SUMIFS(ЦИАН!$D:$D,ЦИАН!$A:$A,"Коммерческая · Аренда",ЦИАН!$B:$B,"Торговая площадь",ЦИАН!$C:$C,$C193)+SUMIFS(ЦИАН!$D:$D,ЦИАН!$A:$A,"Коммерческая · Аренда",ЦИАН!$B:$B,"Складское помещение",ЦИАН!$C:$C,$C193)</f>
        <v/>
      </c>
      <c r="E193" s="22">
        <f>SUMIFS(Яндекс!$D:$D,Яндекс!$A:$A,"Коммерческая",Яндекс!$B:$B,"Аренда",Яндекс!$C:$C,$C193)</f>
        <v/>
      </c>
      <c r="F193" s="22">
        <f>SUMIFS(Авито!$E:$E,Авито!$A:$A,"Аренда",Авито!$B:$B,"Коммерческая",Авито!$C:$C,$C193)</f>
        <v/>
      </c>
      <c r="G193" s="22">
        <f>SUMIFS(Домклик!$D:$D,Домклик!$A:$A,"Аренда",Домклик!$B:$B,"Коммерческая",Домклик!$C:$C,$C193)</f>
        <v/>
      </c>
      <c r="H193" s="21">
        <f>IFERROR(INDEX($D$1:$G$1,MATCH(MAX(D193:G193),D193:G193,0)),"")</f>
        <v/>
      </c>
    </row>
    <row r="194">
      <c r="A194" s="21" t="inlineStr">
        <is>
          <t>Аренда</t>
        </is>
      </c>
      <c r="B194" s="21" t="inlineStr">
        <is>
          <t>Коммерческая</t>
        </is>
      </c>
      <c r="C194" s="21" t="inlineStr">
        <is>
          <t>Казань</t>
        </is>
      </c>
      <c r="D194" s="22">
        <f>SUMIFS(ЦИАН!$D:$D,ЦИАН!$A:$A,"Коммерческая · Аренда",ЦИАН!$B:$B,"Офис",ЦИАН!$C:$C,$C194)+SUMIFS(ЦИАН!$D:$D,ЦИАН!$A:$A,"Коммерческая · Аренда",ЦИАН!$B:$B,"Коворкинг",ЦИАН!$C:$C,$C194)+SUMIFS(ЦИАН!$D:$D,ЦИАН!$A:$A,"Коммерческая · Аренда",ЦИАН!$B:$B,"Торговая площадь",ЦИАН!$C:$C,$C194)+SUMIFS(ЦИАН!$D:$D,ЦИАН!$A:$A,"Коммерческая · Аренда",ЦИАН!$B:$B,"Складское помещение",ЦИАН!$C:$C,$C194)</f>
        <v/>
      </c>
      <c r="E194" s="22">
        <f>SUMIFS(Яндекс!$D:$D,Яндекс!$A:$A,"Коммерческая",Яндекс!$B:$B,"Аренда",Яндекс!$C:$C,$C194)</f>
        <v/>
      </c>
      <c r="F194" s="22">
        <f>SUMIFS(Авито!$E:$E,Авито!$A:$A,"Аренда",Авито!$B:$B,"Коммерческая",Авито!$C:$C,$C194)</f>
        <v/>
      </c>
      <c r="G194" s="22">
        <f>SUMIFS(Домклик!$D:$D,Домклик!$A:$A,"Аренда",Домклик!$B:$B,"Коммерческая",Домклик!$C:$C,$C194)</f>
        <v/>
      </c>
      <c r="H194" s="21">
        <f>IFERROR(INDEX($D$1:$G$1,MATCH(MAX(D194:G194),D194:G194,0)),"")</f>
        <v/>
      </c>
    </row>
    <row r="195">
      <c r="A195" s="21" t="inlineStr">
        <is>
          <t>Аренда</t>
        </is>
      </c>
      <c r="B195" s="21" t="inlineStr">
        <is>
          <t>Коммерческая</t>
        </is>
      </c>
      <c r="C195" s="21" t="inlineStr">
        <is>
          <t>Красноярск</t>
        </is>
      </c>
      <c r="D195" s="22">
        <f>SUMIFS(ЦИАН!$D:$D,ЦИАН!$A:$A,"Коммерческая · Аренда",ЦИАН!$B:$B,"Офис",ЦИАН!$C:$C,$C195)+SUMIFS(ЦИАН!$D:$D,ЦИАН!$A:$A,"Коммерческая · Аренда",ЦИАН!$B:$B,"Коворкинг",ЦИАН!$C:$C,$C195)+SUMIFS(ЦИАН!$D:$D,ЦИАН!$A:$A,"Коммерческая · Аренда",ЦИАН!$B:$B,"Торговая площадь",ЦИАН!$C:$C,$C195)+SUMIFS(ЦИАН!$D:$D,ЦИАН!$A:$A,"Коммерческая · Аренда",ЦИАН!$B:$B,"Складское помещение",ЦИАН!$C:$C,$C195)</f>
        <v/>
      </c>
      <c r="E195" s="22">
        <f>SUMIFS(Яндекс!$D:$D,Яндекс!$A:$A,"Коммерческая",Яндекс!$B:$B,"Аренда",Яндекс!$C:$C,$C195)</f>
        <v/>
      </c>
      <c r="F195" s="22">
        <f>SUMIFS(Авито!$E:$E,Авито!$A:$A,"Аренда",Авито!$B:$B,"Коммерческая",Авито!$C:$C,$C195)</f>
        <v/>
      </c>
      <c r="G195" s="22">
        <f>SUMIFS(Домклик!$D:$D,Домклик!$A:$A,"Аренда",Домклик!$B:$B,"Коммерческая",Домклик!$C:$C,$C195)</f>
        <v/>
      </c>
      <c r="H195" s="21">
        <f>IFERROR(INDEX($D$1:$G$1,MATCH(MAX(D195:G195),D195:G195,0)),"")</f>
        <v/>
      </c>
    </row>
    <row r="196">
      <c r="A196" s="21" t="inlineStr">
        <is>
          <t>Аренда</t>
        </is>
      </c>
      <c r="B196" s="21" t="inlineStr">
        <is>
          <t>Коммерческая</t>
        </is>
      </c>
      <c r="C196" s="21" t="inlineStr">
        <is>
          <t>Нижний Новгород</t>
        </is>
      </c>
      <c r="D196" s="22">
        <f>SUMIFS(ЦИАН!$D:$D,ЦИАН!$A:$A,"Коммерческая · Аренда",ЦИАН!$B:$B,"Офис",ЦИАН!$C:$C,$C196)+SUMIFS(ЦИАН!$D:$D,ЦИАН!$A:$A,"Коммерческая · Аренда",ЦИАН!$B:$B,"Коворкинг",ЦИАН!$C:$C,$C196)+SUMIFS(ЦИАН!$D:$D,ЦИАН!$A:$A,"Коммерческая · Аренда",ЦИАН!$B:$B,"Торговая площадь",ЦИАН!$C:$C,$C196)+SUMIFS(ЦИАН!$D:$D,ЦИАН!$A:$A,"Коммерческая · Аренда",ЦИАН!$B:$B,"Складское помещение",ЦИАН!$C:$C,$C196)</f>
        <v/>
      </c>
      <c r="E196" s="22">
        <f>SUMIFS(Яндекс!$D:$D,Яндекс!$A:$A,"Коммерческая",Яндекс!$B:$B,"Аренда",Яндекс!$C:$C,$C196)</f>
        <v/>
      </c>
      <c r="F196" s="22">
        <f>SUMIFS(Авито!$E:$E,Авито!$A:$A,"Аренда",Авито!$B:$B,"Коммерческая",Авито!$C:$C,$C196)</f>
        <v/>
      </c>
      <c r="G196" s="22">
        <f>SUMIFS(Домклик!$D:$D,Домклик!$A:$A,"Аренда",Домклик!$B:$B,"Коммерческая",Домклик!$C:$C,$C196)</f>
        <v/>
      </c>
      <c r="H196" s="21">
        <f>IFERROR(INDEX($D$1:$G$1,MATCH(MAX(D196:G196),D196:G196,0)),"")</f>
        <v/>
      </c>
    </row>
    <row r="197">
      <c r="A197" s="21" t="inlineStr">
        <is>
          <t>Аренда</t>
        </is>
      </c>
      <c r="B197" s="21" t="inlineStr">
        <is>
          <t>Коммерческая</t>
        </is>
      </c>
      <c r="C197" s="21" t="inlineStr">
        <is>
          <t>Челябинск</t>
        </is>
      </c>
      <c r="D197" s="22">
        <f>SUMIFS(ЦИАН!$D:$D,ЦИАН!$A:$A,"Коммерческая · Аренда",ЦИАН!$B:$B,"Офис",ЦИАН!$C:$C,$C197)+SUMIFS(ЦИАН!$D:$D,ЦИАН!$A:$A,"Коммерческая · Аренда",ЦИАН!$B:$B,"Коворкинг",ЦИАН!$C:$C,$C197)+SUMIFS(ЦИАН!$D:$D,ЦИАН!$A:$A,"Коммерческая · Аренда",ЦИАН!$B:$B,"Торговая площадь",ЦИАН!$C:$C,$C197)+SUMIFS(ЦИАН!$D:$D,ЦИАН!$A:$A,"Коммерческая · Аренда",ЦИАН!$B:$B,"Складское помещение",ЦИАН!$C:$C,$C197)</f>
        <v/>
      </c>
      <c r="E197" s="22">
        <f>SUMIFS(Яндекс!$D:$D,Яндекс!$A:$A,"Коммерческая",Яндекс!$B:$B,"Аренда",Яндекс!$C:$C,$C197)</f>
        <v/>
      </c>
      <c r="F197" s="22">
        <f>SUMIFS(Авито!$E:$E,Авито!$A:$A,"Аренда",Авито!$B:$B,"Коммерческая",Авито!$C:$C,$C197)</f>
        <v/>
      </c>
      <c r="G197" s="22">
        <f>SUMIFS(Домклик!$D:$D,Домклик!$A:$A,"Аренда",Домклик!$B:$B,"Коммерческая",Домклик!$C:$C,$C197)</f>
        <v/>
      </c>
      <c r="H197" s="21">
        <f>IFERROR(INDEX($D$1:$G$1,MATCH(MAX(D197:G197),D197:G197,0)),"")</f>
        <v/>
      </c>
    </row>
    <row r="198">
      <c r="A198" s="21" t="inlineStr">
        <is>
          <t>Аренда</t>
        </is>
      </c>
      <c r="B198" s="21" t="inlineStr">
        <is>
          <t>Коммерческая</t>
        </is>
      </c>
      <c r="C198" s="21" t="inlineStr">
        <is>
          <t>Уфа</t>
        </is>
      </c>
      <c r="D198" s="22">
        <f>SUMIFS(ЦИАН!$D:$D,ЦИАН!$A:$A,"Коммерческая · Аренда",ЦИАН!$B:$B,"Офис",ЦИАН!$C:$C,$C198)+SUMIFS(ЦИАН!$D:$D,ЦИАН!$A:$A,"Коммерческая · Аренда",ЦИАН!$B:$B,"Коворкинг",ЦИАН!$C:$C,$C198)+SUMIFS(ЦИАН!$D:$D,ЦИАН!$A:$A,"Коммерческая · Аренда",ЦИАН!$B:$B,"Торговая площадь",ЦИАН!$C:$C,$C198)+SUMIFS(ЦИАН!$D:$D,ЦИАН!$A:$A,"Коммерческая · Аренда",ЦИАН!$B:$B,"Складское помещение",ЦИАН!$C:$C,$C198)</f>
        <v/>
      </c>
      <c r="E198" s="22">
        <f>SUMIFS(Яндекс!$D:$D,Яндекс!$A:$A,"Коммерческая",Яндекс!$B:$B,"Аренда",Яндекс!$C:$C,$C198)</f>
        <v/>
      </c>
      <c r="F198" s="22">
        <f>SUMIFS(Авито!$E:$E,Авито!$A:$A,"Аренда",Авито!$B:$B,"Коммерческая",Авито!$C:$C,$C198)</f>
        <v/>
      </c>
      <c r="G198" s="22">
        <f>SUMIFS(Домклик!$D:$D,Домклик!$A:$A,"Аренда",Домклик!$B:$B,"Коммерческая",Домклик!$C:$C,$C198)</f>
        <v/>
      </c>
      <c r="H198" s="21">
        <f>IFERROR(INDEX($D$1:$G$1,MATCH(MAX(D198:G198),D198:G198,0)),"")</f>
        <v/>
      </c>
    </row>
    <row r="199">
      <c r="A199" s="21" t="inlineStr">
        <is>
          <t>Аренда</t>
        </is>
      </c>
      <c r="B199" s="21" t="inlineStr">
        <is>
          <t>Коммерческая</t>
        </is>
      </c>
      <c r="C199" s="21" t="inlineStr">
        <is>
          <t>Краснодар</t>
        </is>
      </c>
      <c r="D199" s="22">
        <f>SUMIFS(ЦИАН!$D:$D,ЦИАН!$A:$A,"Коммерческая · Аренда",ЦИАН!$B:$B,"Офис",ЦИАН!$C:$C,$C199)+SUMIFS(ЦИАН!$D:$D,ЦИАН!$A:$A,"Коммерческая · Аренда",ЦИАН!$B:$B,"Коворкинг",ЦИАН!$C:$C,$C199)+SUMIFS(ЦИАН!$D:$D,ЦИАН!$A:$A,"Коммерческая · Аренда",ЦИАН!$B:$B,"Торговая площадь",ЦИАН!$C:$C,$C199)+SUMIFS(ЦИАН!$D:$D,ЦИАН!$A:$A,"Коммерческая · Аренда",ЦИАН!$B:$B,"Складское помещение",ЦИАН!$C:$C,$C199)</f>
        <v/>
      </c>
      <c r="E199" s="22">
        <f>SUMIFS(Яндекс!$D:$D,Яндекс!$A:$A,"Коммерческая",Яндекс!$B:$B,"Аренда",Яндекс!$C:$C,$C199)</f>
        <v/>
      </c>
      <c r="F199" s="22">
        <f>SUMIFS(Авито!$E:$E,Авито!$A:$A,"Аренда",Авито!$B:$B,"Коммерческая",Авито!$C:$C,$C199)</f>
        <v/>
      </c>
      <c r="G199" s="22">
        <f>SUMIFS(Домклик!$D:$D,Домклик!$A:$A,"Аренда",Домклик!$B:$B,"Коммерческая",Домклик!$C:$C,$C199)</f>
        <v/>
      </c>
      <c r="H199" s="21">
        <f>IFERROR(INDEX($D$1:$G$1,MATCH(MAX(D199:G199),D199:G199,0)),"")</f>
        <v/>
      </c>
    </row>
    <row r="200">
      <c r="A200" s="21" t="inlineStr">
        <is>
          <t>Аренда</t>
        </is>
      </c>
      <c r="B200" s="21" t="inlineStr">
        <is>
          <t>Коммерческая</t>
        </is>
      </c>
      <c r="C200" s="21" t="inlineStr">
        <is>
          <t>Самара</t>
        </is>
      </c>
      <c r="D200" s="22">
        <f>SUMIFS(ЦИАН!$D:$D,ЦИАН!$A:$A,"Коммерческая · Аренда",ЦИАН!$B:$B,"Офис",ЦИАН!$C:$C,$C200)+SUMIFS(ЦИАН!$D:$D,ЦИАН!$A:$A,"Коммерческая · Аренда",ЦИАН!$B:$B,"Коворкинг",ЦИАН!$C:$C,$C200)+SUMIFS(ЦИАН!$D:$D,ЦИАН!$A:$A,"Коммерческая · Аренда",ЦИАН!$B:$B,"Торговая площадь",ЦИАН!$C:$C,$C200)+SUMIFS(ЦИАН!$D:$D,ЦИАН!$A:$A,"Коммерческая · Аренда",ЦИАН!$B:$B,"Складское помещение",ЦИАН!$C:$C,$C200)</f>
        <v/>
      </c>
      <c r="E200" s="22">
        <f>SUMIFS(Яндекс!$D:$D,Яндекс!$A:$A,"Коммерческая",Яндекс!$B:$B,"Аренда",Яндекс!$C:$C,$C200)</f>
        <v/>
      </c>
      <c r="F200" s="22">
        <f>SUMIFS(Авито!$E:$E,Авито!$A:$A,"Аренда",Авито!$B:$B,"Коммерческая",Авито!$C:$C,$C200)</f>
        <v/>
      </c>
      <c r="G200" s="22">
        <f>SUMIFS(Домклик!$D:$D,Домклик!$A:$A,"Аренда",Домклик!$B:$B,"Коммерческая",Домклик!$C:$C,$C200)</f>
        <v/>
      </c>
      <c r="H200" s="21">
        <f>IFERROR(INDEX($D$1:$G$1,MATCH(MAX(D200:G200),D200:G200,0)),"")</f>
        <v/>
      </c>
    </row>
    <row r="201">
      <c r="A201" s="21" t="inlineStr">
        <is>
          <t>Аренда</t>
        </is>
      </c>
      <c r="B201" s="21" t="inlineStr">
        <is>
          <t>Коммерческая</t>
        </is>
      </c>
      <c r="C201" s="21" t="inlineStr">
        <is>
          <t>Ростов-на-Дону</t>
        </is>
      </c>
      <c r="D201" s="22">
        <f>SUMIFS(ЦИАН!$D:$D,ЦИАН!$A:$A,"Коммерческая · Аренда",ЦИАН!$B:$B,"Офис",ЦИАН!$C:$C,$C201)+SUMIFS(ЦИАН!$D:$D,ЦИАН!$A:$A,"Коммерческая · Аренда",ЦИАН!$B:$B,"Коворкинг",ЦИАН!$C:$C,$C201)+SUMIFS(ЦИАН!$D:$D,ЦИАН!$A:$A,"Коммерческая · Аренда",ЦИАН!$B:$B,"Торговая площадь",ЦИАН!$C:$C,$C201)+SUMIFS(ЦИАН!$D:$D,ЦИАН!$A:$A,"Коммерческая · Аренда",ЦИАН!$B:$B,"Складское помещение",ЦИАН!$C:$C,$C201)</f>
        <v/>
      </c>
      <c r="E201" s="22">
        <f>SUMIFS(Яндекс!$D:$D,Яндекс!$A:$A,"Коммерческая",Яндекс!$B:$B,"Аренда",Яндекс!$C:$C,$C201)</f>
        <v/>
      </c>
      <c r="F201" s="22">
        <f>SUMIFS(Авито!$E:$E,Авито!$A:$A,"Аренда",Авито!$B:$B,"Коммерческая",Авито!$C:$C,$C201)</f>
        <v/>
      </c>
      <c r="G201" s="22">
        <f>SUMIFS(Домклик!$D:$D,Домклик!$A:$A,"Аренда",Домклик!$B:$B,"Коммерческая",Домклик!$C:$C,$C201)</f>
        <v/>
      </c>
      <c r="H201" s="21">
        <f>IFERROR(INDEX($D$1:$G$1,MATCH(MAX(D201:G201),D201:G201,0)),"")</f>
        <v/>
      </c>
    </row>
    <row r="202">
      <c r="A202" s="21" t="inlineStr">
        <is>
          <t>Аренда</t>
        </is>
      </c>
      <c r="B202" s="21" t="inlineStr">
        <is>
          <t>Коммерческая</t>
        </is>
      </c>
      <c r="C202" s="21" t="inlineStr">
        <is>
          <t>Омск</t>
        </is>
      </c>
      <c r="D202" s="22">
        <f>SUMIFS(ЦИАН!$D:$D,ЦИАН!$A:$A,"Коммерческая · Аренда",ЦИАН!$B:$B,"Офис",ЦИАН!$C:$C,$C202)+SUMIFS(ЦИАН!$D:$D,ЦИАН!$A:$A,"Коммерческая · Аренда",ЦИАН!$B:$B,"Коворкинг",ЦИАН!$C:$C,$C202)+SUMIFS(ЦИАН!$D:$D,ЦИАН!$A:$A,"Коммерческая · Аренда",ЦИАН!$B:$B,"Торговая площадь",ЦИАН!$C:$C,$C202)+SUMIFS(ЦИАН!$D:$D,ЦИАН!$A:$A,"Коммерческая · Аренда",ЦИАН!$B:$B,"Складское помещение",ЦИАН!$C:$C,$C202)</f>
        <v/>
      </c>
      <c r="E202" s="22">
        <f>SUMIFS(Яндекс!$D:$D,Яндекс!$A:$A,"Коммерческая",Яндекс!$B:$B,"Аренда",Яндекс!$C:$C,$C202)</f>
        <v/>
      </c>
      <c r="F202" s="22">
        <f>SUMIFS(Авито!$E:$E,Авито!$A:$A,"Аренда",Авито!$B:$B,"Коммерческая",Авито!$C:$C,$C202)</f>
        <v/>
      </c>
      <c r="G202" s="22">
        <f>SUMIFS(Домклик!$D:$D,Домклик!$A:$A,"Аренда",Домклик!$B:$B,"Коммерческая",Домклик!$C:$C,$C202)</f>
        <v/>
      </c>
      <c r="H202" s="21">
        <f>IFERROR(INDEX($D$1:$G$1,MATCH(MAX(D202:G202),D202:G202,0)),"")</f>
        <v/>
      </c>
    </row>
    <row r="203">
      <c r="A203" s="21" t="inlineStr">
        <is>
          <t>Аренда</t>
        </is>
      </c>
      <c r="B203" s="21" t="inlineStr">
        <is>
          <t>Коммерческая</t>
        </is>
      </c>
      <c r="C203" s="21" t="inlineStr">
        <is>
          <t>Воронеж</t>
        </is>
      </c>
      <c r="D203" s="22">
        <f>SUMIFS(ЦИАН!$D:$D,ЦИАН!$A:$A,"Коммерческая · Аренда",ЦИАН!$B:$B,"Офис",ЦИАН!$C:$C,$C203)+SUMIFS(ЦИАН!$D:$D,ЦИАН!$A:$A,"Коммерческая · Аренда",ЦИАН!$B:$B,"Коворкинг",ЦИАН!$C:$C,$C203)+SUMIFS(ЦИАН!$D:$D,ЦИАН!$A:$A,"Коммерческая · Аренда",ЦИАН!$B:$B,"Торговая площадь",ЦИАН!$C:$C,$C203)+SUMIFS(ЦИАН!$D:$D,ЦИАН!$A:$A,"Коммерческая · Аренда",ЦИАН!$B:$B,"Складское помещение",ЦИАН!$C:$C,$C203)</f>
        <v/>
      </c>
      <c r="E203" s="22">
        <f>SUMIFS(Яндекс!$D:$D,Яндекс!$A:$A,"Коммерческая",Яндекс!$B:$B,"Аренда",Яндекс!$C:$C,$C203)</f>
        <v/>
      </c>
      <c r="F203" s="22">
        <f>SUMIFS(Авито!$E:$E,Авито!$A:$A,"Аренда",Авито!$B:$B,"Коммерческая",Авито!$C:$C,$C203)</f>
        <v/>
      </c>
      <c r="G203" s="22">
        <f>SUMIFS(Домклик!$D:$D,Домклик!$A:$A,"Аренда",Домклик!$B:$B,"Коммерческая",Домклик!$C:$C,$C203)</f>
        <v/>
      </c>
      <c r="H203" s="21">
        <f>IFERROR(INDEX($D$1:$G$1,MATCH(MAX(D203:G203),D203:G203,0)),"")</f>
        <v/>
      </c>
    </row>
    <row r="204">
      <c r="A204" s="21" t="inlineStr">
        <is>
          <t>Аренда</t>
        </is>
      </c>
      <c r="B204" s="21" t="inlineStr">
        <is>
          <t>Коммерческая</t>
        </is>
      </c>
      <c r="C204" s="21" t="inlineStr">
        <is>
          <t>Пермь</t>
        </is>
      </c>
      <c r="D204" s="22">
        <f>SUMIFS(ЦИАН!$D:$D,ЦИАН!$A:$A,"Коммерческая · Аренда",ЦИАН!$B:$B,"Офис",ЦИАН!$C:$C,$C204)+SUMIFS(ЦИАН!$D:$D,ЦИАН!$A:$A,"Коммерческая · Аренда",ЦИАН!$B:$B,"Коворкинг",ЦИАН!$C:$C,$C204)+SUMIFS(ЦИАН!$D:$D,ЦИАН!$A:$A,"Коммерческая · Аренда",ЦИАН!$B:$B,"Торговая площадь",ЦИАН!$C:$C,$C204)+SUMIFS(ЦИАН!$D:$D,ЦИАН!$A:$A,"Коммерческая · Аренда",ЦИАН!$B:$B,"Складское помещение",ЦИАН!$C:$C,$C204)</f>
        <v/>
      </c>
      <c r="E204" s="22">
        <f>SUMIFS(Яндекс!$D:$D,Яндекс!$A:$A,"Коммерческая",Яндекс!$B:$B,"Аренда",Яндекс!$C:$C,$C204)</f>
        <v/>
      </c>
      <c r="F204" s="22">
        <f>SUMIFS(Авито!$E:$E,Авито!$A:$A,"Аренда",Авито!$B:$B,"Коммерческая",Авито!$C:$C,$C204)</f>
        <v/>
      </c>
      <c r="G204" s="22">
        <f>SUMIFS(Домклик!$D:$D,Домклик!$A:$A,"Аренда",Домклик!$B:$B,"Коммерческая",Домклик!$C:$C,$C204)</f>
        <v/>
      </c>
      <c r="H204" s="21">
        <f>IFERROR(INDEX($D$1:$G$1,MATCH(MAX(D204:G204),D204:G204,0)),"")</f>
        <v/>
      </c>
    </row>
    <row r="205">
      <c r="A205" s="21" t="inlineStr">
        <is>
          <t>Аренда</t>
        </is>
      </c>
      <c r="B205" s="21" t="inlineStr">
        <is>
          <t>Коммерческая</t>
        </is>
      </c>
      <c r="C205" s="21" t="inlineStr">
        <is>
          <t>Волгоград</t>
        </is>
      </c>
      <c r="D205" s="22">
        <f>SUMIFS(ЦИАН!$D:$D,ЦИАН!$A:$A,"Коммерческая · Аренда",ЦИАН!$B:$B,"Офис",ЦИАН!$C:$C,$C205)+SUMIFS(ЦИАН!$D:$D,ЦИАН!$A:$A,"Коммерческая · Аренда",ЦИАН!$B:$B,"Коворкинг",ЦИАН!$C:$C,$C205)+SUMIFS(ЦИАН!$D:$D,ЦИАН!$A:$A,"Коммерческая · Аренда",ЦИАН!$B:$B,"Торговая площадь",ЦИАН!$C:$C,$C205)+SUMIFS(ЦИАН!$D:$D,ЦИАН!$A:$A,"Коммерческая · Аренда",ЦИАН!$B:$B,"Складское помещение",ЦИАН!$C:$C,$C205)</f>
        <v/>
      </c>
      <c r="E205" s="22">
        <f>SUMIFS(Яндекс!$D:$D,Яндекс!$A:$A,"Коммерческая",Яндекс!$B:$B,"Аренда",Яндекс!$C:$C,$C205)</f>
        <v/>
      </c>
      <c r="F205" s="22">
        <f>SUMIFS(Авито!$E:$E,Авито!$A:$A,"Аренда",Авито!$B:$B,"Коммерческая",Авито!$C:$C,$C205)</f>
        <v/>
      </c>
      <c r="G205" s="22">
        <f>SUMIFS(Домклик!$D:$D,Домклик!$A:$A,"Аренда",Домклик!$B:$B,"Коммерческая",Домклик!$C:$C,$C205)</f>
        <v/>
      </c>
      <c r="H205" s="21">
        <f>IFERROR(INDEX($D$1:$G$1,MATCH(MAX(D205:G205),D205:G205,0)),"")</f>
        <v/>
      </c>
    </row>
  </sheetData>
  <conditionalFormatting sqref="D2:G205">
    <cfRule type="expression" priority="1" dxfId="0">
      <formula>AND(ISNUMBER(D2),D2=MAX($D2:$G2))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57"/>
  <sheetViews>
    <sheetView zoomScale="93"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5"/>
  <cols>
    <col width="26" customWidth="1" min="1" max="1"/>
    <col width="30" customWidth="1" min="2" max="2"/>
    <col width="22" customWidth="1" min="3" max="3"/>
    <col width="12" customWidth="1" min="4" max="4"/>
  </cols>
  <sheetData>
    <row r="1">
      <c r="A1" s="4" t="inlineStr">
        <is>
          <t>Группа</t>
        </is>
      </c>
      <c r="B1" s="4" t="inlineStr">
        <is>
          <t>Категория</t>
        </is>
      </c>
      <c r="C1" s="4" t="inlineStr">
        <is>
          <t>Город</t>
        </is>
      </c>
      <c r="D1" s="5" t="inlineStr">
        <is>
          <t>2026-06-10</t>
        </is>
      </c>
    </row>
    <row r="2">
      <c r="A2" s="6" t="inlineStr">
        <is>
          <t>Аренда квартир</t>
        </is>
      </c>
      <c r="B2" s="7" t="inlineStr">
        <is>
          <t>Длительная: Квартиры</t>
        </is>
      </c>
      <c r="C2" s="6" t="inlineStr">
        <is>
          <t>🇷🇺 Вся Россия</t>
        </is>
      </c>
      <c r="D2" s="8" t="n">
        <v>125508</v>
      </c>
    </row>
    <row r="3">
      <c r="A3" s="9" t="inlineStr">
        <is>
          <t>Аренда квартир</t>
        </is>
      </c>
      <c r="B3" s="9" t="inlineStr">
        <is>
          <t>Длительная: Квартиры</t>
        </is>
      </c>
      <c r="C3" s="9" t="inlineStr">
        <is>
          <t>Москва</t>
        </is>
      </c>
      <c r="D3" s="10" t="n">
        <v>27204</v>
      </c>
    </row>
    <row r="4">
      <c r="A4" s="9" t="inlineStr">
        <is>
          <t>Аренда квартир</t>
        </is>
      </c>
      <c r="B4" s="9" t="inlineStr">
        <is>
          <t>Длительная: Квартиры</t>
        </is>
      </c>
      <c r="C4" s="9" t="inlineStr">
        <is>
          <t>Санкт-Петербург</t>
        </is>
      </c>
      <c r="D4" s="10" t="n">
        <v>9761</v>
      </c>
    </row>
    <row r="5">
      <c r="A5" s="9" t="inlineStr">
        <is>
          <t>Аренда квартир</t>
        </is>
      </c>
      <c r="B5" s="9" t="inlineStr">
        <is>
          <t>Длительная: Квартиры</t>
        </is>
      </c>
      <c r="C5" s="9" t="inlineStr">
        <is>
          <t>Новосибирск</t>
        </is>
      </c>
      <c r="D5" s="10" t="n">
        <v>4836</v>
      </c>
    </row>
    <row r="6">
      <c r="A6" s="9" t="inlineStr">
        <is>
          <t>Аренда квартир</t>
        </is>
      </c>
      <c r="B6" s="9" t="inlineStr">
        <is>
          <t>Длительная: Квартиры</t>
        </is>
      </c>
      <c r="C6" s="9" t="inlineStr">
        <is>
          <t>Екатеринбург</t>
        </is>
      </c>
      <c r="D6" s="10" t="n">
        <v>3235</v>
      </c>
    </row>
    <row r="7">
      <c r="A7" s="9" t="inlineStr">
        <is>
          <t>Аренда квартир</t>
        </is>
      </c>
      <c r="B7" s="9" t="inlineStr">
        <is>
          <t>Длительная: Квартиры</t>
        </is>
      </c>
      <c r="C7" s="9" t="inlineStr">
        <is>
          <t>Казань</t>
        </is>
      </c>
      <c r="D7" s="10" t="n">
        <v>3843</v>
      </c>
    </row>
    <row r="8">
      <c r="A8" s="9" t="inlineStr">
        <is>
          <t>Аренда квартир</t>
        </is>
      </c>
      <c r="B8" s="9" t="inlineStr">
        <is>
          <t>Длительная: Квартиры</t>
        </is>
      </c>
      <c r="C8" s="9" t="inlineStr">
        <is>
          <t>Красноярск</t>
        </is>
      </c>
      <c r="D8" s="10" t="n">
        <v>1825</v>
      </c>
    </row>
    <row r="9">
      <c r="A9" s="9" t="inlineStr">
        <is>
          <t>Аренда квартир</t>
        </is>
      </c>
      <c r="B9" s="9" t="inlineStr">
        <is>
          <t>Длительная: Квартиры</t>
        </is>
      </c>
      <c r="C9" s="9" t="inlineStr">
        <is>
          <t>Нижний Новгород</t>
        </is>
      </c>
      <c r="D9" s="10" t="n">
        <v>1427</v>
      </c>
    </row>
    <row r="10">
      <c r="A10" s="9" t="inlineStr">
        <is>
          <t>Аренда квартир</t>
        </is>
      </c>
      <c r="B10" s="9" t="inlineStr">
        <is>
          <t>Длительная: Квартиры</t>
        </is>
      </c>
      <c r="C10" s="9" t="inlineStr">
        <is>
          <t>Челябинск</t>
        </is>
      </c>
      <c r="D10" s="10" t="n">
        <v>1394</v>
      </c>
    </row>
    <row r="11">
      <c r="A11" s="9" t="inlineStr">
        <is>
          <t>Аренда квартир</t>
        </is>
      </c>
      <c r="B11" s="9" t="inlineStr">
        <is>
          <t>Длительная: Квартиры</t>
        </is>
      </c>
      <c r="C11" s="9" t="inlineStr">
        <is>
          <t>Уфа</t>
        </is>
      </c>
      <c r="D11" s="10" t="n">
        <v>1831</v>
      </c>
    </row>
    <row r="12">
      <c r="A12" s="9" t="inlineStr">
        <is>
          <t>Аренда квартир</t>
        </is>
      </c>
      <c r="B12" s="9" t="inlineStr">
        <is>
          <t>Длительная: Квартиры</t>
        </is>
      </c>
      <c r="C12" s="9" t="inlineStr">
        <is>
          <t>Краснодар</t>
        </is>
      </c>
      <c r="D12" s="10" t="n">
        <v>5854</v>
      </c>
    </row>
    <row r="13">
      <c r="A13" s="9" t="inlineStr">
        <is>
          <t>Аренда квартир</t>
        </is>
      </c>
      <c r="B13" s="9" t="inlineStr">
        <is>
          <t>Длительная: Квартиры</t>
        </is>
      </c>
      <c r="C13" s="9" t="inlineStr">
        <is>
          <t>Самара</t>
        </is>
      </c>
      <c r="D13" s="10" t="n">
        <v>1163</v>
      </c>
    </row>
    <row r="14">
      <c r="A14" s="9" t="inlineStr">
        <is>
          <t>Аренда квартир</t>
        </is>
      </c>
      <c r="B14" s="9" t="inlineStr">
        <is>
          <t>Длительная: Квартиры</t>
        </is>
      </c>
      <c r="C14" s="9" t="inlineStr">
        <is>
          <t>Ростов-на-Дону</t>
        </is>
      </c>
      <c r="D14" s="10" t="n">
        <v>3072</v>
      </c>
    </row>
    <row r="15">
      <c r="A15" s="9" t="inlineStr">
        <is>
          <t>Аренда квартир</t>
        </is>
      </c>
      <c r="B15" s="9" t="inlineStr">
        <is>
          <t>Длительная: Квартиры</t>
        </is>
      </c>
      <c r="C15" s="9" t="inlineStr">
        <is>
          <t>Омск</t>
        </is>
      </c>
      <c r="D15" s="10" t="n">
        <v>858</v>
      </c>
    </row>
    <row r="16">
      <c r="A16" s="9" t="inlineStr">
        <is>
          <t>Аренда квартир</t>
        </is>
      </c>
      <c r="B16" s="9" t="inlineStr">
        <is>
          <t>Длительная: Квартиры</t>
        </is>
      </c>
      <c r="C16" s="9" t="inlineStr">
        <is>
          <t>Воронеж</t>
        </is>
      </c>
      <c r="D16" s="10" t="n">
        <v>1240</v>
      </c>
    </row>
    <row r="17">
      <c r="A17" s="9" t="inlineStr">
        <is>
          <t>Аренда квартир</t>
        </is>
      </c>
      <c r="B17" s="9" t="inlineStr">
        <is>
          <t>Длительная: Квартиры</t>
        </is>
      </c>
      <c r="C17" s="9" t="inlineStr">
        <is>
          <t>Пермь</t>
        </is>
      </c>
      <c r="D17" s="10" t="n">
        <v>1183</v>
      </c>
    </row>
    <row r="18">
      <c r="A18" s="9" t="inlineStr">
        <is>
          <t>Аренда квартир</t>
        </is>
      </c>
      <c r="B18" s="9" t="inlineStr">
        <is>
          <t>Длительная: Квартиры</t>
        </is>
      </c>
      <c r="C18" s="9" t="inlineStr">
        <is>
          <t>Волгоград</t>
        </is>
      </c>
      <c r="D18" s="10" t="n">
        <v>934</v>
      </c>
    </row>
    <row r="19">
      <c r="A19" s="6" t="inlineStr">
        <is>
          <t>Аренда квартир</t>
        </is>
      </c>
      <c r="B19" s="7" t="inlineStr">
        <is>
          <t>Длительная: Комнаты</t>
        </is>
      </c>
      <c r="C19" s="6" t="inlineStr">
        <is>
          <t>🇷🇺 Вся Россия</t>
        </is>
      </c>
      <c r="D19" s="8" t="n">
        <v>6985</v>
      </c>
    </row>
    <row r="20">
      <c r="A20" s="9" t="inlineStr">
        <is>
          <t>Аренда квартир</t>
        </is>
      </c>
      <c r="B20" s="9" t="inlineStr">
        <is>
          <t>Длительная: Комнаты</t>
        </is>
      </c>
      <c r="C20" s="9" t="inlineStr">
        <is>
          <t>Москва</t>
        </is>
      </c>
      <c r="D20" s="10" t="n">
        <v>1249</v>
      </c>
    </row>
    <row r="21">
      <c r="A21" s="9" t="inlineStr">
        <is>
          <t>Аренда квартир</t>
        </is>
      </c>
      <c r="B21" s="9" t="inlineStr">
        <is>
          <t>Длительная: Комнаты</t>
        </is>
      </c>
      <c r="C21" s="9" t="inlineStr">
        <is>
          <t>Санкт-Петербург</t>
        </is>
      </c>
      <c r="D21" s="10" t="n">
        <v>840</v>
      </c>
    </row>
    <row r="22">
      <c r="A22" s="9" t="inlineStr">
        <is>
          <t>Аренда квартир</t>
        </is>
      </c>
      <c r="B22" s="9" t="inlineStr">
        <is>
          <t>Длительная: Комнаты</t>
        </is>
      </c>
      <c r="C22" s="9" t="inlineStr">
        <is>
          <t>Новосибирск</t>
        </is>
      </c>
      <c r="D22" s="10" t="n">
        <v>244</v>
      </c>
    </row>
    <row r="23">
      <c r="A23" s="9" t="inlineStr">
        <is>
          <t>Аренда квартир</t>
        </is>
      </c>
      <c r="B23" s="9" t="inlineStr">
        <is>
          <t>Длительная: Комнаты</t>
        </is>
      </c>
      <c r="C23" s="9" t="inlineStr">
        <is>
          <t>Екатеринбург</t>
        </is>
      </c>
      <c r="D23" s="10" t="n">
        <v>316</v>
      </c>
    </row>
    <row r="24">
      <c r="A24" s="9" t="inlineStr">
        <is>
          <t>Аренда квартир</t>
        </is>
      </c>
      <c r="B24" s="9" t="inlineStr">
        <is>
          <t>Длительная: Комнаты</t>
        </is>
      </c>
      <c r="C24" s="9" t="inlineStr">
        <is>
          <t>Казань</t>
        </is>
      </c>
      <c r="D24" s="10" t="n">
        <v>129</v>
      </c>
    </row>
    <row r="25">
      <c r="A25" s="9" t="inlineStr">
        <is>
          <t>Аренда квартир</t>
        </is>
      </c>
      <c r="B25" s="9" t="inlineStr">
        <is>
          <t>Длительная: Комнаты</t>
        </is>
      </c>
      <c r="C25" s="9" t="inlineStr">
        <is>
          <t>Красноярск</t>
        </is>
      </c>
      <c r="D25" s="10" t="n">
        <v>104</v>
      </c>
    </row>
    <row r="26">
      <c r="A26" s="9" t="inlineStr">
        <is>
          <t>Аренда квартир</t>
        </is>
      </c>
      <c r="B26" s="9" t="inlineStr">
        <is>
          <t>Длительная: Комнаты</t>
        </is>
      </c>
      <c r="C26" s="9" t="inlineStr">
        <is>
          <t>Нижний Новгород</t>
        </is>
      </c>
      <c r="D26" s="10" t="n">
        <v>127</v>
      </c>
    </row>
    <row r="27">
      <c r="A27" s="9" t="inlineStr">
        <is>
          <t>Аренда квартир</t>
        </is>
      </c>
      <c r="B27" s="9" t="inlineStr">
        <is>
          <t>Длительная: Комнаты</t>
        </is>
      </c>
      <c r="C27" s="9" t="inlineStr">
        <is>
          <t>Челябинск</t>
        </is>
      </c>
      <c r="D27" s="10" t="n">
        <v>74</v>
      </c>
    </row>
    <row r="28">
      <c r="A28" s="9" t="inlineStr">
        <is>
          <t>Аренда квартир</t>
        </is>
      </c>
      <c r="B28" s="9" t="inlineStr">
        <is>
          <t>Длительная: Комнаты</t>
        </is>
      </c>
      <c r="C28" s="9" t="inlineStr">
        <is>
          <t>Уфа</t>
        </is>
      </c>
      <c r="D28" s="10" t="n">
        <v>87</v>
      </c>
    </row>
    <row r="29">
      <c r="A29" s="9" t="inlineStr">
        <is>
          <t>Аренда квартир</t>
        </is>
      </c>
      <c r="B29" s="9" t="inlineStr">
        <is>
          <t>Длительная: Комнаты</t>
        </is>
      </c>
      <c r="C29" s="9" t="inlineStr">
        <is>
          <t>Краснодар</t>
        </is>
      </c>
      <c r="D29" s="10" t="n">
        <v>129</v>
      </c>
    </row>
    <row r="30">
      <c r="A30" s="9" t="inlineStr">
        <is>
          <t>Аренда квартир</t>
        </is>
      </c>
      <c r="B30" s="9" t="inlineStr">
        <is>
          <t>Длительная: Комнаты</t>
        </is>
      </c>
      <c r="C30" s="9" t="inlineStr">
        <is>
          <t>Самара</t>
        </is>
      </c>
      <c r="D30" s="10" t="n">
        <v>136</v>
      </c>
    </row>
    <row r="31">
      <c r="A31" s="9" t="inlineStr">
        <is>
          <t>Аренда квартир</t>
        </is>
      </c>
      <c r="B31" s="9" t="inlineStr">
        <is>
          <t>Длительная: Комнаты</t>
        </is>
      </c>
      <c r="C31" s="9" t="inlineStr">
        <is>
          <t>Ростов-на-Дону</t>
        </is>
      </c>
      <c r="D31" s="10" t="n">
        <v>234</v>
      </c>
    </row>
    <row r="32">
      <c r="A32" s="9" t="inlineStr">
        <is>
          <t>Аренда квартир</t>
        </is>
      </c>
      <c r="B32" s="9" t="inlineStr">
        <is>
          <t>Длительная: Комнаты</t>
        </is>
      </c>
      <c r="C32" s="9" t="inlineStr">
        <is>
          <t>Омск</t>
        </is>
      </c>
      <c r="D32" s="10" t="n">
        <v>77</v>
      </c>
    </row>
    <row r="33">
      <c r="A33" s="9" t="inlineStr">
        <is>
          <t>Аренда квартир</t>
        </is>
      </c>
      <c r="B33" s="9" t="inlineStr">
        <is>
          <t>Длительная: Комнаты</t>
        </is>
      </c>
      <c r="C33" s="9" t="inlineStr">
        <is>
          <t>Воронеж</t>
        </is>
      </c>
      <c r="D33" s="10" t="n">
        <v>65</v>
      </c>
    </row>
    <row r="34">
      <c r="A34" s="9" t="inlineStr">
        <is>
          <t>Аренда квартир</t>
        </is>
      </c>
      <c r="B34" s="9" t="inlineStr">
        <is>
          <t>Длительная: Комнаты</t>
        </is>
      </c>
      <c r="C34" s="9" t="inlineStr">
        <is>
          <t>Пермь</t>
        </is>
      </c>
      <c r="D34" s="10" t="n">
        <v>163</v>
      </c>
    </row>
    <row r="35">
      <c r="A35" s="9" t="inlineStr">
        <is>
          <t>Аренда квартир</t>
        </is>
      </c>
      <c r="B35" s="9" t="inlineStr">
        <is>
          <t>Длительная: Комнаты</t>
        </is>
      </c>
      <c r="C35" s="9" t="inlineStr">
        <is>
          <t>Волгоград</t>
        </is>
      </c>
      <c r="D35" s="10" t="n">
        <v>86</v>
      </c>
    </row>
    <row r="36">
      <c r="A36" s="6" t="inlineStr">
        <is>
          <t>Аренда квартир</t>
        </is>
      </c>
      <c r="B36" s="7" t="inlineStr">
        <is>
          <t>Длительная: Дома и коттеджи</t>
        </is>
      </c>
      <c r="C36" s="6" t="inlineStr">
        <is>
          <t>🇷🇺 Вся Россия</t>
        </is>
      </c>
      <c r="D36" s="8" t="n">
        <v>7993</v>
      </c>
    </row>
    <row r="37">
      <c r="A37" s="9" t="inlineStr">
        <is>
          <t>Аренда квартир</t>
        </is>
      </c>
      <c r="B37" s="9" t="inlineStr">
        <is>
          <t>Длительная: Дома и коттеджи</t>
        </is>
      </c>
      <c r="C37" s="9" t="inlineStr">
        <is>
          <t>Москва</t>
        </is>
      </c>
      <c r="D37" s="10" t="n">
        <v>3556</v>
      </c>
    </row>
    <row r="38">
      <c r="A38" s="9" t="inlineStr">
        <is>
          <t>Аренда квартир</t>
        </is>
      </c>
      <c r="B38" s="9" t="inlineStr">
        <is>
          <t>Длительная: Дома и коттеджи</t>
        </is>
      </c>
      <c r="C38" s="9" t="inlineStr">
        <is>
          <t>Санкт-Петербург</t>
        </is>
      </c>
      <c r="D38" s="10" t="n">
        <v>133</v>
      </c>
    </row>
    <row r="39">
      <c r="A39" s="9" t="inlineStr">
        <is>
          <t>Аренда квартир</t>
        </is>
      </c>
      <c r="B39" s="9" t="inlineStr">
        <is>
          <t>Длительная: Дома и коттеджи</t>
        </is>
      </c>
      <c r="C39" s="9" t="inlineStr">
        <is>
          <t>Новосибирск</t>
        </is>
      </c>
      <c r="D39" s="10" t="n">
        <v>41</v>
      </c>
    </row>
    <row r="40">
      <c r="A40" s="9" t="inlineStr">
        <is>
          <t>Аренда квартир</t>
        </is>
      </c>
      <c r="B40" s="9" t="inlineStr">
        <is>
          <t>Длительная: Дома и коттеджи</t>
        </is>
      </c>
      <c r="C40" s="9" t="inlineStr">
        <is>
          <t>Екатеринбург</t>
        </is>
      </c>
      <c r="D40" s="10" t="n">
        <v>27</v>
      </c>
    </row>
    <row r="41">
      <c r="A41" s="9" t="inlineStr">
        <is>
          <t>Аренда квартир</t>
        </is>
      </c>
      <c r="B41" s="9" t="inlineStr">
        <is>
          <t>Длительная: Дома и коттеджи</t>
        </is>
      </c>
      <c r="C41" s="9" t="inlineStr">
        <is>
          <t>Казань</t>
        </is>
      </c>
      <c r="D41" s="10" t="n">
        <v>39</v>
      </c>
    </row>
    <row r="42">
      <c r="A42" s="9" t="inlineStr">
        <is>
          <t>Аренда квартир</t>
        </is>
      </c>
      <c r="B42" s="9" t="inlineStr">
        <is>
          <t>Длительная: Дома и коттеджи</t>
        </is>
      </c>
      <c r="C42" s="9" t="inlineStr">
        <is>
          <t>Красноярск</t>
        </is>
      </c>
      <c r="D42" s="10" t="n">
        <v>16</v>
      </c>
    </row>
    <row r="43">
      <c r="A43" s="9" t="inlineStr">
        <is>
          <t>Аренда квартир</t>
        </is>
      </c>
      <c r="B43" s="9" t="inlineStr">
        <is>
          <t>Длительная: Дома и коттеджи</t>
        </is>
      </c>
      <c r="C43" s="9" t="inlineStr">
        <is>
          <t>Нижний Новгород</t>
        </is>
      </c>
      <c r="D43" s="10" t="n">
        <v>20</v>
      </c>
    </row>
    <row r="44">
      <c r="A44" s="9" t="inlineStr">
        <is>
          <t>Аренда квартир</t>
        </is>
      </c>
      <c r="B44" s="9" t="inlineStr">
        <is>
          <t>Длительная: Дома и коттеджи</t>
        </is>
      </c>
      <c r="C44" s="9" t="inlineStr">
        <is>
          <t>Челябинск</t>
        </is>
      </c>
      <c r="D44" s="10" t="n">
        <v>10</v>
      </c>
    </row>
    <row r="45">
      <c r="A45" s="9" t="inlineStr">
        <is>
          <t>Аренда квартир</t>
        </is>
      </c>
      <c r="B45" s="9" t="inlineStr">
        <is>
          <t>Длительная: Дома и коттеджи</t>
        </is>
      </c>
      <c r="C45" s="9" t="inlineStr">
        <is>
          <t>Уфа</t>
        </is>
      </c>
      <c r="D45" s="10" t="n">
        <v>13</v>
      </c>
    </row>
    <row r="46">
      <c r="A46" s="9" t="inlineStr">
        <is>
          <t>Аренда квартир</t>
        </is>
      </c>
      <c r="B46" s="9" t="inlineStr">
        <is>
          <t>Длительная: Дома и коттеджи</t>
        </is>
      </c>
      <c r="C46" s="9" t="inlineStr">
        <is>
          <t>Краснодар</t>
        </is>
      </c>
      <c r="D46" s="10" t="n">
        <v>110</v>
      </c>
    </row>
    <row r="47">
      <c r="A47" s="9" t="inlineStr">
        <is>
          <t>Аренда квартир</t>
        </is>
      </c>
      <c r="B47" s="9" t="inlineStr">
        <is>
          <t>Длительная: Дома и коттеджи</t>
        </is>
      </c>
      <c r="C47" s="9" t="inlineStr">
        <is>
          <t>Самара</t>
        </is>
      </c>
      <c r="D47" s="10" t="n">
        <v>37</v>
      </c>
    </row>
    <row r="48">
      <c r="A48" s="9" t="inlineStr">
        <is>
          <t>Аренда квартир</t>
        </is>
      </c>
      <c r="B48" s="9" t="inlineStr">
        <is>
          <t>Длительная: Дома и коттеджи</t>
        </is>
      </c>
      <c r="C48" s="9" t="inlineStr">
        <is>
          <t>Ростов-на-Дону</t>
        </is>
      </c>
      <c r="D48" s="10" t="n">
        <v>99</v>
      </c>
    </row>
    <row r="49">
      <c r="A49" s="9" t="inlineStr">
        <is>
          <t>Аренда квартир</t>
        </is>
      </c>
      <c r="B49" s="9" t="inlineStr">
        <is>
          <t>Длительная: Дома и коттеджи</t>
        </is>
      </c>
      <c r="C49" s="9" t="inlineStr">
        <is>
          <t>Омск</t>
        </is>
      </c>
      <c r="D49" s="10" t="n">
        <v>10</v>
      </c>
    </row>
    <row r="50">
      <c r="A50" s="9" t="inlineStr">
        <is>
          <t>Аренда квартир</t>
        </is>
      </c>
      <c r="B50" s="9" t="inlineStr">
        <is>
          <t>Длительная: Дома и коттеджи</t>
        </is>
      </c>
      <c r="C50" s="9" t="inlineStr">
        <is>
          <t>Воронеж</t>
        </is>
      </c>
      <c r="D50" s="10" t="n">
        <v>10</v>
      </c>
    </row>
    <row r="51">
      <c r="A51" s="9" t="inlineStr">
        <is>
          <t>Аренда квартир</t>
        </is>
      </c>
      <c r="B51" s="9" t="inlineStr">
        <is>
          <t>Длительная: Дома и коттеджи</t>
        </is>
      </c>
      <c r="C51" s="9" t="inlineStr">
        <is>
          <t>Пермь</t>
        </is>
      </c>
      <c r="D51" s="10" t="n">
        <v>17</v>
      </c>
    </row>
    <row r="52">
      <c r="A52" s="9" t="inlineStr">
        <is>
          <t>Аренда квартир</t>
        </is>
      </c>
      <c r="B52" s="9" t="inlineStr">
        <is>
          <t>Длительная: Дома и коттеджи</t>
        </is>
      </c>
      <c r="C52" s="9" t="inlineStr">
        <is>
          <t>Волгоград</t>
        </is>
      </c>
      <c r="D52" s="10" t="n">
        <v>30</v>
      </c>
    </row>
    <row r="53">
      <c r="A53" s="6" t="inlineStr">
        <is>
          <t>Аренда квартир</t>
        </is>
      </c>
      <c r="B53" s="7" t="inlineStr">
        <is>
          <t>Посуточная аренда</t>
        </is>
      </c>
      <c r="C53" s="6" t="inlineStr">
        <is>
          <t>🇷🇺 Вся Россия</t>
        </is>
      </c>
      <c r="D53" s="8" t="n">
        <v>584414</v>
      </c>
    </row>
    <row r="54">
      <c r="A54" s="9" t="inlineStr">
        <is>
          <t>Аренда квартир</t>
        </is>
      </c>
      <c r="B54" s="9" t="inlineStr">
        <is>
          <t>Посуточная аренда</t>
        </is>
      </c>
      <c r="C54" s="9" t="inlineStr">
        <is>
          <t>Москва</t>
        </is>
      </c>
      <c r="D54" s="10" t="n">
        <v>52818</v>
      </c>
    </row>
    <row r="55">
      <c r="A55" s="9" t="inlineStr">
        <is>
          <t>Аренда квартир</t>
        </is>
      </c>
      <c r="B55" s="9" t="inlineStr">
        <is>
          <t>Посуточная аренда</t>
        </is>
      </c>
      <c r="C55" s="9" t="inlineStr">
        <is>
          <t>Санкт-Петербург</t>
        </is>
      </c>
      <c r="D55" s="10" t="n">
        <v>62840</v>
      </c>
    </row>
    <row r="56">
      <c r="A56" s="9" t="inlineStr">
        <is>
          <t>Аренда квартир</t>
        </is>
      </c>
      <c r="B56" s="9" t="inlineStr">
        <is>
          <t>Посуточная аренда</t>
        </is>
      </c>
      <c r="C56" s="9" t="inlineStr">
        <is>
          <t>Новосибирск</t>
        </is>
      </c>
      <c r="D56" s="10" t="n">
        <v>11032</v>
      </c>
    </row>
    <row r="57">
      <c r="A57" s="9" t="inlineStr">
        <is>
          <t>Аренда квартир</t>
        </is>
      </c>
      <c r="B57" s="9" t="inlineStr">
        <is>
          <t>Посуточная аренда</t>
        </is>
      </c>
      <c r="C57" s="9" t="inlineStr">
        <is>
          <t>Екатеринбург</t>
        </is>
      </c>
      <c r="D57" s="10" t="n">
        <v>13435</v>
      </c>
    </row>
    <row r="58">
      <c r="A58" s="9" t="inlineStr">
        <is>
          <t>Аренда квартир</t>
        </is>
      </c>
      <c r="B58" s="9" t="inlineStr">
        <is>
          <t>Посуточная аренда</t>
        </is>
      </c>
      <c r="C58" s="9" t="inlineStr">
        <is>
          <t>Казань</t>
        </is>
      </c>
      <c r="D58" s="10" t="n">
        <v>18896</v>
      </c>
    </row>
    <row r="59">
      <c r="A59" s="9" t="inlineStr">
        <is>
          <t>Аренда квартир</t>
        </is>
      </c>
      <c r="B59" s="9" t="inlineStr">
        <is>
          <t>Посуточная аренда</t>
        </is>
      </c>
      <c r="C59" s="9" t="inlineStr">
        <is>
          <t>Красноярск</t>
        </is>
      </c>
      <c r="D59" s="10" t="n">
        <v>7923</v>
      </c>
    </row>
    <row r="60">
      <c r="A60" s="9" t="inlineStr">
        <is>
          <t>Аренда квартир</t>
        </is>
      </c>
      <c r="B60" s="9" t="inlineStr">
        <is>
          <t>Посуточная аренда</t>
        </is>
      </c>
      <c r="C60" s="9" t="inlineStr">
        <is>
          <t>Нижний Новгород</t>
        </is>
      </c>
      <c r="D60" s="10" t="n">
        <v>11981</v>
      </c>
    </row>
    <row r="61">
      <c r="A61" s="9" t="inlineStr">
        <is>
          <t>Аренда квартир</t>
        </is>
      </c>
      <c r="B61" s="9" t="inlineStr">
        <is>
          <t>Посуточная аренда</t>
        </is>
      </c>
      <c r="C61" s="9" t="inlineStr">
        <is>
          <t>Челябинск</t>
        </is>
      </c>
      <c r="D61" s="10" t="n">
        <v>4106</v>
      </c>
    </row>
    <row r="62">
      <c r="A62" s="9" t="inlineStr">
        <is>
          <t>Аренда квартир</t>
        </is>
      </c>
      <c r="B62" s="9" t="inlineStr">
        <is>
          <t>Посуточная аренда</t>
        </is>
      </c>
      <c r="C62" s="9" t="inlineStr">
        <is>
          <t>Уфа</t>
        </is>
      </c>
      <c r="D62" s="10" t="n">
        <v>5682</v>
      </c>
    </row>
    <row r="63">
      <c r="A63" s="9" t="inlineStr">
        <is>
          <t>Аренда квартир</t>
        </is>
      </c>
      <c r="B63" s="9" t="inlineStr">
        <is>
          <t>Посуточная аренда</t>
        </is>
      </c>
      <c r="C63" s="9" t="inlineStr">
        <is>
          <t>Краснодар</t>
        </is>
      </c>
      <c r="D63" s="10" t="n">
        <v>14516</v>
      </c>
    </row>
    <row r="64">
      <c r="A64" s="9" t="inlineStr">
        <is>
          <t>Аренда квартир</t>
        </is>
      </c>
      <c r="B64" s="9" t="inlineStr">
        <is>
          <t>Посуточная аренда</t>
        </is>
      </c>
      <c r="C64" s="9" t="inlineStr">
        <is>
          <t>Самара</t>
        </is>
      </c>
      <c r="D64" s="10" t="n">
        <v>5791</v>
      </c>
    </row>
    <row r="65">
      <c r="A65" s="9" t="inlineStr">
        <is>
          <t>Аренда квартир</t>
        </is>
      </c>
      <c r="B65" s="9" t="inlineStr">
        <is>
          <t>Посуточная аренда</t>
        </is>
      </c>
      <c r="C65" s="9" t="inlineStr">
        <is>
          <t>Ростов-на-Дону</t>
        </is>
      </c>
      <c r="D65" s="10" t="n">
        <v>8943</v>
      </c>
    </row>
    <row r="66">
      <c r="A66" s="9" t="inlineStr">
        <is>
          <t>Аренда квартир</t>
        </is>
      </c>
      <c r="B66" s="9" t="inlineStr">
        <is>
          <t>Посуточная аренда</t>
        </is>
      </c>
      <c r="C66" s="9" t="inlineStr">
        <is>
          <t>Омск</t>
        </is>
      </c>
      <c r="D66" s="10" t="n">
        <v>2798</v>
      </c>
    </row>
    <row r="67">
      <c r="A67" s="9" t="inlineStr">
        <is>
          <t>Аренда квартир</t>
        </is>
      </c>
      <c r="B67" s="9" t="inlineStr">
        <is>
          <t>Посуточная аренда</t>
        </is>
      </c>
      <c r="C67" s="9" t="inlineStr">
        <is>
          <t>Воронеж</t>
        </is>
      </c>
      <c r="D67" s="10" t="n">
        <v>5269</v>
      </c>
    </row>
    <row r="68">
      <c r="A68" s="9" t="inlineStr">
        <is>
          <t>Аренда квартир</t>
        </is>
      </c>
      <c r="B68" s="9" t="inlineStr">
        <is>
          <t>Посуточная аренда</t>
        </is>
      </c>
      <c r="C68" s="9" t="inlineStr">
        <is>
          <t>Пермь</t>
        </is>
      </c>
      <c r="D68" s="10" t="n">
        <v>4211</v>
      </c>
    </row>
    <row r="69">
      <c r="A69" s="9" t="inlineStr">
        <is>
          <t>Аренда квартир</t>
        </is>
      </c>
      <c r="B69" s="9" t="inlineStr">
        <is>
          <t>Посуточная аренда</t>
        </is>
      </c>
      <c r="C69" s="9" t="inlineStr">
        <is>
          <t>Волгоград</t>
        </is>
      </c>
      <c r="D69" s="10" t="n">
        <v>5938</v>
      </c>
    </row>
    <row r="70">
      <c r="A70" s="6" t="inlineStr">
        <is>
          <t>Продажи квартир</t>
        </is>
      </c>
      <c r="B70" s="7" t="inlineStr">
        <is>
          <t>Квартиры в новостройках</t>
        </is>
      </c>
      <c r="C70" s="6" t="inlineStr">
        <is>
          <t>🇷🇺 Вся Россия</t>
        </is>
      </c>
      <c r="D70" s="8" t="n">
        <v>719218</v>
      </c>
    </row>
    <row r="71">
      <c r="A71" s="9" t="inlineStr">
        <is>
          <t>Продажи квартир</t>
        </is>
      </c>
      <c r="B71" s="9" t="inlineStr">
        <is>
          <t>Квартиры в новостройках</t>
        </is>
      </c>
      <c r="C71" s="9" t="inlineStr">
        <is>
          <t>Москва</t>
        </is>
      </c>
      <c r="D71" s="10" t="n">
        <v>89930</v>
      </c>
    </row>
    <row r="72">
      <c r="A72" s="9" t="inlineStr">
        <is>
          <t>Продажи квартир</t>
        </is>
      </c>
      <c r="B72" s="9" t="inlineStr">
        <is>
          <t>Квартиры в новостройках</t>
        </is>
      </c>
      <c r="C72" s="9" t="inlineStr">
        <is>
          <t>Санкт-Петербург</t>
        </is>
      </c>
      <c r="D72" s="10" t="n">
        <v>34325</v>
      </c>
    </row>
    <row r="73">
      <c r="A73" s="9" t="inlineStr">
        <is>
          <t>Продажи квартир</t>
        </is>
      </c>
      <c r="B73" s="9" t="inlineStr">
        <is>
          <t>Квартиры в новостройках</t>
        </is>
      </c>
      <c r="C73" s="9" t="inlineStr">
        <is>
          <t>Новосибирск</t>
        </is>
      </c>
      <c r="D73" s="10" t="n">
        <v>25178</v>
      </c>
    </row>
    <row r="74">
      <c r="A74" s="9" t="inlineStr">
        <is>
          <t>Продажи квартир</t>
        </is>
      </c>
      <c r="B74" s="9" t="inlineStr">
        <is>
          <t>Квартиры в новостройках</t>
        </is>
      </c>
      <c r="C74" s="9" t="inlineStr">
        <is>
          <t>Екатеринбург</t>
        </is>
      </c>
      <c r="D74" s="10" t="n">
        <v>35615</v>
      </c>
    </row>
    <row r="75">
      <c r="A75" s="9" t="inlineStr">
        <is>
          <t>Продажи квартир</t>
        </is>
      </c>
      <c r="B75" s="9" t="inlineStr">
        <is>
          <t>Квартиры в новостройках</t>
        </is>
      </c>
      <c r="C75" s="9" t="inlineStr">
        <is>
          <t>Казань</t>
        </is>
      </c>
      <c r="D75" s="10" t="n">
        <v>12302</v>
      </c>
    </row>
    <row r="76">
      <c r="A76" s="9" t="inlineStr">
        <is>
          <t>Продажи квартир</t>
        </is>
      </c>
      <c r="B76" s="9" t="inlineStr">
        <is>
          <t>Квартиры в новостройках</t>
        </is>
      </c>
      <c r="C76" s="9" t="inlineStr">
        <is>
          <t>Красноярск</t>
        </is>
      </c>
      <c r="D76" s="10" t="n">
        <v>14455</v>
      </c>
    </row>
    <row r="77">
      <c r="A77" s="9" t="inlineStr">
        <is>
          <t>Продажи квартир</t>
        </is>
      </c>
      <c r="B77" s="9" t="inlineStr">
        <is>
          <t>Квартиры в новостройках</t>
        </is>
      </c>
      <c r="C77" s="9" t="inlineStr">
        <is>
          <t>Нижний Новгород</t>
        </is>
      </c>
      <c r="D77" s="10" t="n">
        <v>9057</v>
      </c>
    </row>
    <row r="78">
      <c r="A78" s="9" t="inlineStr">
        <is>
          <t>Продажи квартир</t>
        </is>
      </c>
      <c r="B78" s="9" t="inlineStr">
        <is>
          <t>Квартиры в новостройках</t>
        </is>
      </c>
      <c r="C78" s="9" t="inlineStr">
        <is>
          <t>Челябинск</t>
        </is>
      </c>
      <c r="D78" s="10" t="n">
        <v>8394</v>
      </c>
    </row>
    <row r="79">
      <c r="A79" s="9" t="inlineStr">
        <is>
          <t>Продажи квартир</t>
        </is>
      </c>
      <c r="B79" s="9" t="inlineStr">
        <is>
          <t>Квартиры в новостройках</t>
        </is>
      </c>
      <c r="C79" s="9" t="inlineStr">
        <is>
          <t>Уфа</t>
        </is>
      </c>
      <c r="D79" s="10" t="n">
        <v>15820</v>
      </c>
    </row>
    <row r="80">
      <c r="A80" s="9" t="inlineStr">
        <is>
          <t>Продажи квартир</t>
        </is>
      </c>
      <c r="B80" s="9" t="inlineStr">
        <is>
          <t>Квартиры в новостройках</t>
        </is>
      </c>
      <c r="C80" s="9" t="inlineStr">
        <is>
          <t>Краснодар</t>
        </is>
      </c>
      <c r="D80" s="10" t="n">
        <v>44373</v>
      </c>
    </row>
    <row r="81">
      <c r="A81" s="9" t="inlineStr">
        <is>
          <t>Продажи квартир</t>
        </is>
      </c>
      <c r="B81" s="9" t="inlineStr">
        <is>
          <t>Квартиры в новостройках</t>
        </is>
      </c>
      <c r="C81" s="9" t="inlineStr">
        <is>
          <t>Самара</t>
        </is>
      </c>
      <c r="D81" s="10" t="n">
        <v>2085</v>
      </c>
    </row>
    <row r="82">
      <c r="A82" s="9" t="inlineStr">
        <is>
          <t>Продажи квартир</t>
        </is>
      </c>
      <c r="B82" s="9" t="inlineStr">
        <is>
          <t>Квартиры в новостройках</t>
        </is>
      </c>
      <c r="C82" s="9" t="inlineStr">
        <is>
          <t>Ростов-на-Дону</t>
        </is>
      </c>
      <c r="D82" s="10" t="n">
        <v>24288</v>
      </c>
    </row>
    <row r="83">
      <c r="A83" s="9" t="inlineStr">
        <is>
          <t>Продажи квартир</t>
        </is>
      </c>
      <c r="B83" s="9" t="inlineStr">
        <is>
          <t>Квартиры в новостройках</t>
        </is>
      </c>
      <c r="C83" s="9" t="inlineStr">
        <is>
          <t>Омск</t>
        </is>
      </c>
      <c r="D83" s="10" t="n">
        <v>3869</v>
      </c>
    </row>
    <row r="84">
      <c r="A84" s="9" t="inlineStr">
        <is>
          <t>Продажи квартир</t>
        </is>
      </c>
      <c r="B84" s="9" t="inlineStr">
        <is>
          <t>Квартиры в новостройках</t>
        </is>
      </c>
      <c r="C84" s="9" t="inlineStr">
        <is>
          <t>Воронеж</t>
        </is>
      </c>
      <c r="D84" s="10" t="n">
        <v>19127</v>
      </c>
    </row>
    <row r="85">
      <c r="A85" s="9" t="inlineStr">
        <is>
          <t>Продажи квартир</t>
        </is>
      </c>
      <c r="B85" s="9" t="inlineStr">
        <is>
          <t>Квартиры в новостройках</t>
        </is>
      </c>
      <c r="C85" s="9" t="inlineStr">
        <is>
          <t>Пермь</t>
        </is>
      </c>
      <c r="D85" s="10" t="n">
        <v>10424</v>
      </c>
    </row>
    <row r="86">
      <c r="A86" s="9" t="inlineStr">
        <is>
          <t>Продажи квартир</t>
        </is>
      </c>
      <c r="B86" s="9" t="inlineStr">
        <is>
          <t>Квартиры в новостройках</t>
        </is>
      </c>
      <c r="C86" s="9" t="inlineStr">
        <is>
          <t>Волгоград</t>
        </is>
      </c>
      <c r="D86" s="10" t="n">
        <v>5235</v>
      </c>
    </row>
    <row r="87">
      <c r="A87" s="6" t="inlineStr">
        <is>
          <t>Продажи квартир</t>
        </is>
      </c>
      <c r="B87" s="7" t="inlineStr">
        <is>
          <t>Квартиры во вторичке</t>
        </is>
      </c>
      <c r="C87" s="6" t="inlineStr">
        <is>
          <t>🇷🇺 Вся Россия</t>
        </is>
      </c>
      <c r="D87" s="8" t="n">
        <v>363612</v>
      </c>
    </row>
    <row r="88">
      <c r="A88" s="9" t="inlineStr">
        <is>
          <t>Продажи квартир</t>
        </is>
      </c>
      <c r="B88" s="9" t="inlineStr">
        <is>
          <t>Квартиры во вторичке</t>
        </is>
      </c>
      <c r="C88" s="9" t="inlineStr">
        <is>
          <t>Москва</t>
        </is>
      </c>
      <c r="D88" s="10" t="n">
        <v>37099</v>
      </c>
    </row>
    <row r="89">
      <c r="A89" s="9" t="inlineStr">
        <is>
          <t>Продажи квартир</t>
        </is>
      </c>
      <c r="B89" s="9" t="inlineStr">
        <is>
          <t>Квартиры во вторичке</t>
        </is>
      </c>
      <c r="C89" s="9" t="inlineStr">
        <is>
          <t>Санкт-Петербург</t>
        </is>
      </c>
      <c r="D89" s="10" t="n">
        <v>18753</v>
      </c>
    </row>
    <row r="90">
      <c r="A90" s="9" t="inlineStr">
        <is>
          <t>Продажи квартир</t>
        </is>
      </c>
      <c r="B90" s="9" t="inlineStr">
        <is>
          <t>Квартиры во вторичке</t>
        </is>
      </c>
      <c r="C90" s="9" t="inlineStr">
        <is>
          <t>Новосибирск</t>
        </is>
      </c>
      <c r="D90" s="10" t="n">
        <v>9739</v>
      </c>
    </row>
    <row r="91">
      <c r="A91" s="9" t="inlineStr">
        <is>
          <t>Продажи квартир</t>
        </is>
      </c>
      <c r="B91" s="9" t="inlineStr">
        <is>
          <t>Квартиры во вторичке</t>
        </is>
      </c>
      <c r="C91" s="9" t="inlineStr">
        <is>
          <t>Екатеринбург</t>
        </is>
      </c>
      <c r="D91" s="10" t="n">
        <v>6751</v>
      </c>
    </row>
    <row r="92">
      <c r="A92" s="9" t="inlineStr">
        <is>
          <t>Продажи квартир</t>
        </is>
      </c>
      <c r="B92" s="9" t="inlineStr">
        <is>
          <t>Квартиры во вторичке</t>
        </is>
      </c>
      <c r="C92" s="9" t="inlineStr">
        <is>
          <t>Казань</t>
        </is>
      </c>
      <c r="D92" s="10" t="n">
        <v>3329</v>
      </c>
    </row>
    <row r="93">
      <c r="A93" s="9" t="inlineStr">
        <is>
          <t>Продажи квартир</t>
        </is>
      </c>
      <c r="B93" s="9" t="inlineStr">
        <is>
          <t>Квартиры во вторичке</t>
        </is>
      </c>
      <c r="C93" s="9" t="inlineStr">
        <is>
          <t>Красноярск</t>
        </is>
      </c>
      <c r="D93" s="10" t="n">
        <v>3262</v>
      </c>
    </row>
    <row r="94">
      <c r="A94" s="9" t="inlineStr">
        <is>
          <t>Продажи квартир</t>
        </is>
      </c>
      <c r="B94" s="9" t="inlineStr">
        <is>
          <t>Квартиры во вторичке</t>
        </is>
      </c>
      <c r="C94" s="9" t="inlineStr">
        <is>
          <t>Нижний Новгород</t>
        </is>
      </c>
      <c r="D94" s="10" t="n">
        <v>4383</v>
      </c>
    </row>
    <row r="95">
      <c r="A95" s="9" t="inlineStr">
        <is>
          <t>Продажи квартир</t>
        </is>
      </c>
      <c r="B95" s="9" t="inlineStr">
        <is>
          <t>Квартиры во вторичке</t>
        </is>
      </c>
      <c r="C95" s="9" t="inlineStr">
        <is>
          <t>Челябинск</t>
        </is>
      </c>
      <c r="D95" s="10" t="n">
        <v>2979</v>
      </c>
    </row>
    <row r="96">
      <c r="A96" s="9" t="inlineStr">
        <is>
          <t>Продажи квартир</t>
        </is>
      </c>
      <c r="B96" s="9" t="inlineStr">
        <is>
          <t>Квартиры во вторичке</t>
        </is>
      </c>
      <c r="C96" s="9" t="inlineStr">
        <is>
          <t>Уфа</t>
        </is>
      </c>
      <c r="D96" s="10" t="n">
        <v>4084</v>
      </c>
    </row>
    <row r="97">
      <c r="A97" s="9" t="inlineStr">
        <is>
          <t>Продажи квартир</t>
        </is>
      </c>
      <c r="B97" s="9" t="inlineStr">
        <is>
          <t>Квартиры во вторичке</t>
        </is>
      </c>
      <c r="C97" s="9" t="inlineStr">
        <is>
          <t>Краснодар</t>
        </is>
      </c>
      <c r="D97" s="10" t="n">
        <v>14437</v>
      </c>
    </row>
    <row r="98">
      <c r="A98" s="9" t="inlineStr">
        <is>
          <t>Продажи квартир</t>
        </is>
      </c>
      <c r="B98" s="9" t="inlineStr">
        <is>
          <t>Квартиры во вторичке</t>
        </is>
      </c>
      <c r="C98" s="9" t="inlineStr">
        <is>
          <t>Самара</t>
        </is>
      </c>
      <c r="D98" s="10" t="n">
        <v>3457</v>
      </c>
    </row>
    <row r="99">
      <c r="A99" s="9" t="inlineStr">
        <is>
          <t>Продажи квартир</t>
        </is>
      </c>
      <c r="B99" s="9" t="inlineStr">
        <is>
          <t>Квартиры во вторичке</t>
        </is>
      </c>
      <c r="C99" s="9" t="inlineStr">
        <is>
          <t>Ростов-на-Дону</t>
        </is>
      </c>
      <c r="D99" s="10" t="n">
        <v>9085</v>
      </c>
    </row>
    <row r="100">
      <c r="A100" s="9" t="inlineStr">
        <is>
          <t>Продажи квартир</t>
        </is>
      </c>
      <c r="B100" s="9" t="inlineStr">
        <is>
          <t>Квартиры во вторичке</t>
        </is>
      </c>
      <c r="C100" s="9" t="inlineStr">
        <is>
          <t>Омск</t>
        </is>
      </c>
      <c r="D100" s="10" t="n">
        <v>5839</v>
      </c>
    </row>
    <row r="101">
      <c r="A101" s="9" t="inlineStr">
        <is>
          <t>Продажи квартир</t>
        </is>
      </c>
      <c r="B101" s="9" t="inlineStr">
        <is>
          <t>Квартиры во вторичке</t>
        </is>
      </c>
      <c r="C101" s="9" t="inlineStr">
        <is>
          <t>Воронеж</t>
        </is>
      </c>
      <c r="D101" s="10" t="n">
        <v>3699</v>
      </c>
    </row>
    <row r="102">
      <c r="A102" s="9" t="inlineStr">
        <is>
          <t>Продажи квартир</t>
        </is>
      </c>
      <c r="B102" s="9" t="inlineStr">
        <is>
          <t>Квартиры во вторичке</t>
        </is>
      </c>
      <c r="C102" s="9" t="inlineStr">
        <is>
          <t>Пермь</t>
        </is>
      </c>
      <c r="D102" s="10" t="n">
        <v>2426</v>
      </c>
    </row>
    <row r="103">
      <c r="A103" s="9" t="inlineStr">
        <is>
          <t>Продажи квартир</t>
        </is>
      </c>
      <c r="B103" s="9" t="inlineStr">
        <is>
          <t>Квартиры во вторичке</t>
        </is>
      </c>
      <c r="C103" s="9" t="inlineStr">
        <is>
          <t>Волгоград</t>
        </is>
      </c>
      <c r="D103" s="10" t="n">
        <v>4565</v>
      </c>
    </row>
    <row r="104">
      <c r="A104" s="6" t="inlineStr">
        <is>
          <t>Продажи квартир</t>
        </is>
      </c>
      <c r="B104" s="7" t="inlineStr">
        <is>
          <t>Комнаты</t>
        </is>
      </c>
      <c r="C104" s="6" t="inlineStr">
        <is>
          <t>🇷🇺 Вся Россия</t>
        </is>
      </c>
      <c r="D104" s="8" t="n">
        <v>14050</v>
      </c>
    </row>
    <row r="105">
      <c r="A105" s="9" t="inlineStr">
        <is>
          <t>Продажи квартир</t>
        </is>
      </c>
      <c r="B105" s="9" t="inlineStr">
        <is>
          <t>Комнаты</t>
        </is>
      </c>
      <c r="C105" s="9" t="inlineStr">
        <is>
          <t>Москва</t>
        </is>
      </c>
      <c r="D105" s="10" t="n">
        <v>726</v>
      </c>
    </row>
    <row r="106">
      <c r="A106" s="9" t="inlineStr">
        <is>
          <t>Продажи квартир</t>
        </is>
      </c>
      <c r="B106" s="9" t="inlineStr">
        <is>
          <t>Комнаты</t>
        </is>
      </c>
      <c r="C106" s="9" t="inlineStr">
        <is>
          <t>Санкт-Петербург</t>
        </is>
      </c>
      <c r="D106" s="10" t="n">
        <v>2037</v>
      </c>
    </row>
    <row r="107">
      <c r="A107" s="9" t="inlineStr">
        <is>
          <t>Продажи квартир</t>
        </is>
      </c>
      <c r="B107" s="9" t="inlineStr">
        <is>
          <t>Комнаты</t>
        </is>
      </c>
      <c r="C107" s="9" t="inlineStr">
        <is>
          <t>Новосибирск</t>
        </is>
      </c>
      <c r="D107" s="10" t="n">
        <v>464</v>
      </c>
    </row>
    <row r="108">
      <c r="A108" s="9" t="inlineStr">
        <is>
          <t>Продажи квартир</t>
        </is>
      </c>
      <c r="B108" s="9" t="inlineStr">
        <is>
          <t>Комнаты</t>
        </is>
      </c>
      <c r="C108" s="9" t="inlineStr">
        <is>
          <t>Екатеринбург</t>
        </is>
      </c>
      <c r="D108" s="10" t="n">
        <v>434</v>
      </c>
    </row>
    <row r="109">
      <c r="A109" s="9" t="inlineStr">
        <is>
          <t>Продажи квартир</t>
        </is>
      </c>
      <c r="B109" s="9" t="inlineStr">
        <is>
          <t>Комнаты</t>
        </is>
      </c>
      <c r="C109" s="9" t="inlineStr">
        <is>
          <t>Казань</t>
        </is>
      </c>
      <c r="D109" s="10" t="n">
        <v>128</v>
      </c>
    </row>
    <row r="110">
      <c r="A110" s="9" t="inlineStr">
        <is>
          <t>Продажи квартир</t>
        </is>
      </c>
      <c r="B110" s="9" t="inlineStr">
        <is>
          <t>Комнаты</t>
        </is>
      </c>
      <c r="C110" s="9" t="inlineStr">
        <is>
          <t>Красноярск</t>
        </is>
      </c>
      <c r="D110" s="10" t="n">
        <v>165</v>
      </c>
    </row>
    <row r="111">
      <c r="A111" s="9" t="inlineStr">
        <is>
          <t>Продажи квартир</t>
        </is>
      </c>
      <c r="B111" s="9" t="inlineStr">
        <is>
          <t>Комнаты</t>
        </is>
      </c>
      <c r="C111" s="9" t="inlineStr">
        <is>
          <t>Нижний Новгород</t>
        </is>
      </c>
      <c r="D111" s="10" t="n">
        <v>285</v>
      </c>
    </row>
    <row r="112">
      <c r="A112" s="9" t="inlineStr">
        <is>
          <t>Продажи квартир</t>
        </is>
      </c>
      <c r="B112" s="9" t="inlineStr">
        <is>
          <t>Комнаты</t>
        </is>
      </c>
      <c r="C112" s="9" t="inlineStr">
        <is>
          <t>Челябинск</t>
        </is>
      </c>
      <c r="D112" s="10" t="n">
        <v>122</v>
      </c>
    </row>
    <row r="113">
      <c r="A113" s="9" t="inlineStr">
        <is>
          <t>Продажи квартир</t>
        </is>
      </c>
      <c r="B113" s="9" t="inlineStr">
        <is>
          <t>Комнаты</t>
        </is>
      </c>
      <c r="C113" s="9" t="inlineStr">
        <is>
          <t>Уфа</t>
        </is>
      </c>
      <c r="D113" s="10" t="n">
        <v>315</v>
      </c>
    </row>
    <row r="114">
      <c r="A114" s="9" t="inlineStr">
        <is>
          <t>Продажи квартир</t>
        </is>
      </c>
      <c r="B114" s="9" t="inlineStr">
        <is>
          <t>Комнаты</t>
        </is>
      </c>
      <c r="C114" s="9" t="inlineStr">
        <is>
          <t>Краснодар</t>
        </is>
      </c>
      <c r="D114" s="10" t="n">
        <v>104</v>
      </c>
    </row>
    <row r="115">
      <c r="A115" s="9" t="inlineStr">
        <is>
          <t>Продажи квартир</t>
        </is>
      </c>
      <c r="B115" s="9" t="inlineStr">
        <is>
          <t>Комнаты</t>
        </is>
      </c>
      <c r="C115" s="9" t="inlineStr">
        <is>
          <t>Самара</t>
        </is>
      </c>
      <c r="D115" s="10" t="n">
        <v>162</v>
      </c>
    </row>
    <row r="116">
      <c r="A116" s="9" t="inlineStr">
        <is>
          <t>Продажи квартир</t>
        </is>
      </c>
      <c r="B116" s="9" t="inlineStr">
        <is>
          <t>Комнаты</t>
        </is>
      </c>
      <c r="C116" s="9" t="inlineStr">
        <is>
          <t>Ростов-на-Дону</t>
        </is>
      </c>
      <c r="D116" s="10" t="n">
        <v>401</v>
      </c>
    </row>
    <row r="117">
      <c r="A117" s="9" t="inlineStr">
        <is>
          <t>Продажи квартир</t>
        </is>
      </c>
      <c r="B117" s="9" t="inlineStr">
        <is>
          <t>Комнаты</t>
        </is>
      </c>
      <c r="C117" s="9" t="inlineStr">
        <is>
          <t>Омск</t>
        </is>
      </c>
      <c r="D117" s="10" t="n">
        <v>314</v>
      </c>
    </row>
    <row r="118">
      <c r="A118" s="9" t="inlineStr">
        <is>
          <t>Продажи квартир</t>
        </is>
      </c>
      <c r="B118" s="9" t="inlineStr">
        <is>
          <t>Комнаты</t>
        </is>
      </c>
      <c r="C118" s="9" t="inlineStr">
        <is>
          <t>Воронеж</t>
        </is>
      </c>
      <c r="D118" s="10" t="n">
        <v>158</v>
      </c>
    </row>
    <row r="119">
      <c r="A119" s="9" t="inlineStr">
        <is>
          <t>Продажи квартир</t>
        </is>
      </c>
      <c r="B119" s="9" t="inlineStr">
        <is>
          <t>Комнаты</t>
        </is>
      </c>
      <c r="C119" s="9" t="inlineStr">
        <is>
          <t>Пермь</t>
        </is>
      </c>
      <c r="D119" s="10" t="n">
        <v>305</v>
      </c>
    </row>
    <row r="120">
      <c r="A120" s="9" t="inlineStr">
        <is>
          <t>Продажи квартир</t>
        </is>
      </c>
      <c r="B120" s="9" t="inlineStr">
        <is>
          <t>Комнаты</t>
        </is>
      </c>
      <c r="C120" s="9" t="inlineStr">
        <is>
          <t>Волгоград</t>
        </is>
      </c>
      <c r="D120" s="10" t="n">
        <v>294</v>
      </c>
    </row>
    <row r="121">
      <c r="A121" s="6" t="inlineStr">
        <is>
          <t>Продажи квартир</t>
        </is>
      </c>
      <c r="B121" s="7" t="inlineStr">
        <is>
          <t>Дома и коттеджи</t>
        </is>
      </c>
      <c r="C121" s="6" t="inlineStr">
        <is>
          <t>🇷🇺 Вся Россия</t>
        </is>
      </c>
      <c r="D121" s="8" t="n">
        <v>261165</v>
      </c>
    </row>
    <row r="122">
      <c r="A122" s="9" t="inlineStr">
        <is>
          <t>Продажи квартир</t>
        </is>
      </c>
      <c r="B122" s="9" t="inlineStr">
        <is>
          <t>Дома и коттеджи</t>
        </is>
      </c>
      <c r="C122" s="9" t="inlineStr">
        <is>
          <t>Москва</t>
        </is>
      </c>
      <c r="D122" s="10" t="n">
        <v>3567</v>
      </c>
    </row>
    <row r="123">
      <c r="A123" s="9" t="inlineStr">
        <is>
          <t>Продажи квартир</t>
        </is>
      </c>
      <c r="B123" s="9" t="inlineStr">
        <is>
          <t>Дома и коттеджи</t>
        </is>
      </c>
      <c r="C123" s="9" t="inlineStr">
        <is>
          <t>Санкт-Петербург</t>
        </is>
      </c>
      <c r="D123" s="10" t="n">
        <v>797</v>
      </c>
    </row>
    <row r="124">
      <c r="A124" s="9" t="inlineStr">
        <is>
          <t>Продажи квартир</t>
        </is>
      </c>
      <c r="B124" s="9" t="inlineStr">
        <is>
          <t>Дома и коттеджи</t>
        </is>
      </c>
      <c r="C124" s="9" t="inlineStr">
        <is>
          <t>Новосибирск</t>
        </is>
      </c>
      <c r="D124" s="10" t="n">
        <v>1448</v>
      </c>
    </row>
    <row r="125">
      <c r="A125" s="9" t="inlineStr">
        <is>
          <t>Продажи квартир</t>
        </is>
      </c>
      <c r="B125" s="9" t="inlineStr">
        <is>
          <t>Дома и коттеджи</t>
        </is>
      </c>
      <c r="C125" s="9" t="inlineStr">
        <is>
          <t>Екатеринбург</t>
        </is>
      </c>
      <c r="D125" s="10" t="n">
        <v>882</v>
      </c>
    </row>
    <row r="126">
      <c r="A126" s="9" t="inlineStr">
        <is>
          <t>Продажи квартир</t>
        </is>
      </c>
      <c r="B126" s="9" t="inlineStr">
        <is>
          <t>Дома и коттеджи</t>
        </is>
      </c>
      <c r="C126" s="9" t="inlineStr">
        <is>
          <t>Казань</t>
        </is>
      </c>
      <c r="D126" s="10" t="n">
        <v>1002</v>
      </c>
    </row>
    <row r="127">
      <c r="A127" s="9" t="inlineStr">
        <is>
          <t>Продажи квартир</t>
        </is>
      </c>
      <c r="B127" s="9" t="inlineStr">
        <is>
          <t>Дома и коттеджи</t>
        </is>
      </c>
      <c r="C127" s="9" t="inlineStr">
        <is>
          <t>Красноярск</t>
        </is>
      </c>
      <c r="D127" s="10" t="n">
        <v>413</v>
      </c>
    </row>
    <row r="128">
      <c r="A128" s="9" t="inlineStr">
        <is>
          <t>Продажи квартир</t>
        </is>
      </c>
      <c r="B128" s="9" t="inlineStr">
        <is>
          <t>Дома и коттеджи</t>
        </is>
      </c>
      <c r="C128" s="9" t="inlineStr">
        <is>
          <t>Нижний Новгород</t>
        </is>
      </c>
      <c r="D128" s="10" t="n">
        <v>1232</v>
      </c>
    </row>
    <row r="129">
      <c r="A129" s="9" t="inlineStr">
        <is>
          <t>Продажи квартир</t>
        </is>
      </c>
      <c r="B129" s="9" t="inlineStr">
        <is>
          <t>Дома и коттеджи</t>
        </is>
      </c>
      <c r="C129" s="9" t="inlineStr">
        <is>
          <t>Челябинск</t>
        </is>
      </c>
      <c r="D129" s="10" t="n">
        <v>568</v>
      </c>
    </row>
    <row r="130">
      <c r="A130" s="9" t="inlineStr">
        <is>
          <t>Продажи квартир</t>
        </is>
      </c>
      <c r="B130" s="9" t="inlineStr">
        <is>
          <t>Дома и коттеджи</t>
        </is>
      </c>
      <c r="C130" s="9" t="inlineStr">
        <is>
          <t>Уфа</t>
        </is>
      </c>
      <c r="D130" s="10" t="n">
        <v>687</v>
      </c>
    </row>
    <row r="131">
      <c r="A131" s="9" t="inlineStr">
        <is>
          <t>Продажи квартир</t>
        </is>
      </c>
      <c r="B131" s="9" t="inlineStr">
        <is>
          <t>Дома и коттеджи</t>
        </is>
      </c>
      <c r="C131" s="9" t="inlineStr">
        <is>
          <t>Краснодар</t>
        </is>
      </c>
      <c r="D131" s="10" t="n">
        <v>3564</v>
      </c>
    </row>
    <row r="132">
      <c r="A132" s="9" t="inlineStr">
        <is>
          <t>Продажи квартир</t>
        </is>
      </c>
      <c r="B132" s="9" t="inlineStr">
        <is>
          <t>Дома и коттеджи</t>
        </is>
      </c>
      <c r="C132" s="9" t="inlineStr">
        <is>
          <t>Самара</t>
        </is>
      </c>
      <c r="D132" s="10" t="n">
        <v>639</v>
      </c>
    </row>
    <row r="133">
      <c r="A133" s="9" t="inlineStr">
        <is>
          <t>Продажи квартир</t>
        </is>
      </c>
      <c r="B133" s="9" t="inlineStr">
        <is>
          <t>Дома и коттеджи</t>
        </is>
      </c>
      <c r="C133" s="9" t="inlineStr">
        <is>
          <t>Ростов-на-Дону</t>
        </is>
      </c>
      <c r="D133" s="10" t="n">
        <v>2206</v>
      </c>
    </row>
    <row r="134">
      <c r="A134" s="9" t="inlineStr">
        <is>
          <t>Продажи квартир</t>
        </is>
      </c>
      <c r="B134" s="9" t="inlineStr">
        <is>
          <t>Дома и коттеджи</t>
        </is>
      </c>
      <c r="C134" s="9" t="inlineStr">
        <is>
          <t>Омск</t>
        </is>
      </c>
      <c r="D134" s="10" t="n">
        <v>1818</v>
      </c>
    </row>
    <row r="135">
      <c r="A135" s="9" t="inlineStr">
        <is>
          <t>Продажи квартир</t>
        </is>
      </c>
      <c r="B135" s="9" t="inlineStr">
        <is>
          <t>Дома и коттеджи</t>
        </is>
      </c>
      <c r="C135" s="9" t="inlineStr">
        <is>
          <t>Воронеж</t>
        </is>
      </c>
      <c r="D135" s="10" t="n">
        <v>527</v>
      </c>
    </row>
    <row r="136">
      <c r="A136" s="9" t="inlineStr">
        <is>
          <t>Продажи квартир</t>
        </is>
      </c>
      <c r="B136" s="9" t="inlineStr">
        <is>
          <t>Дома и коттеджи</t>
        </is>
      </c>
      <c r="C136" s="9" t="inlineStr">
        <is>
          <t>Пермь</t>
        </is>
      </c>
      <c r="D136" s="10" t="n">
        <v>537</v>
      </c>
    </row>
    <row r="137">
      <c r="A137" s="9" t="inlineStr">
        <is>
          <t>Продажи квартир</t>
        </is>
      </c>
      <c r="B137" s="9" t="inlineStr">
        <is>
          <t>Дома и коттеджи</t>
        </is>
      </c>
      <c r="C137" s="9" t="inlineStr">
        <is>
          <t>Волгоград</t>
        </is>
      </c>
      <c r="D137" s="10" t="n">
        <v>1401</v>
      </c>
    </row>
    <row r="138">
      <c r="A138" s="6" t="inlineStr">
        <is>
          <t>Продажи квартир</t>
        </is>
      </c>
      <c r="B138" s="7" t="inlineStr">
        <is>
          <t>Участки</t>
        </is>
      </c>
      <c r="C138" s="6" t="inlineStr">
        <is>
          <t>🇷🇺 Вся Россия</t>
        </is>
      </c>
      <c r="D138" s="8" t="n">
        <v>233133</v>
      </c>
    </row>
    <row r="139">
      <c r="A139" s="9" t="inlineStr">
        <is>
          <t>Продажи квартир</t>
        </is>
      </c>
      <c r="B139" s="9" t="inlineStr">
        <is>
          <t>Участки</t>
        </is>
      </c>
      <c r="C139" s="9" t="inlineStr">
        <is>
          <t>Москва</t>
        </is>
      </c>
      <c r="D139" s="10" t="n">
        <v>1580</v>
      </c>
    </row>
    <row r="140">
      <c r="A140" s="9" t="inlineStr">
        <is>
          <t>Продажи квартир</t>
        </is>
      </c>
      <c r="B140" s="9" t="inlineStr">
        <is>
          <t>Участки</t>
        </is>
      </c>
      <c r="C140" s="9" t="inlineStr">
        <is>
          <t>Санкт-Петербург</t>
        </is>
      </c>
      <c r="D140" s="10" t="n">
        <v>767</v>
      </c>
    </row>
    <row r="141">
      <c r="A141" s="9" t="inlineStr">
        <is>
          <t>Продажи квартир</t>
        </is>
      </c>
      <c r="B141" s="9" t="inlineStr">
        <is>
          <t>Участки</t>
        </is>
      </c>
      <c r="C141" s="9" t="inlineStr">
        <is>
          <t>Новосибирск</t>
        </is>
      </c>
      <c r="D141" s="10" t="n">
        <v>498</v>
      </c>
    </row>
    <row r="142">
      <c r="A142" s="9" t="inlineStr">
        <is>
          <t>Продажи квартир</t>
        </is>
      </c>
      <c r="B142" s="9" t="inlineStr">
        <is>
          <t>Участки</t>
        </is>
      </c>
      <c r="C142" s="9" t="inlineStr">
        <is>
          <t>Екатеринбург</t>
        </is>
      </c>
      <c r="D142" s="10" t="n">
        <v>455</v>
      </c>
    </row>
    <row r="143">
      <c r="A143" s="9" t="inlineStr">
        <is>
          <t>Продажи квартир</t>
        </is>
      </c>
      <c r="B143" s="9" t="inlineStr">
        <is>
          <t>Участки</t>
        </is>
      </c>
      <c r="C143" s="9" t="inlineStr">
        <is>
          <t>Казань</t>
        </is>
      </c>
      <c r="D143" s="10" t="n">
        <v>694</v>
      </c>
    </row>
    <row r="144">
      <c r="A144" s="9" t="inlineStr">
        <is>
          <t>Продажи квартир</t>
        </is>
      </c>
      <c r="B144" s="9" t="inlineStr">
        <is>
          <t>Участки</t>
        </is>
      </c>
      <c r="C144" s="9" t="inlineStr">
        <is>
          <t>Красноярск</t>
        </is>
      </c>
      <c r="D144" s="10" t="n">
        <v>242</v>
      </c>
    </row>
    <row r="145">
      <c r="A145" s="9" t="inlineStr">
        <is>
          <t>Продажи квартир</t>
        </is>
      </c>
      <c r="B145" s="9" t="inlineStr">
        <is>
          <t>Участки</t>
        </is>
      </c>
      <c r="C145" s="9" t="inlineStr">
        <is>
          <t>Нижний Новгород</t>
        </is>
      </c>
      <c r="D145" s="10" t="n">
        <v>640</v>
      </c>
    </row>
    <row r="146">
      <c r="A146" s="9" t="inlineStr">
        <is>
          <t>Продажи квартир</t>
        </is>
      </c>
      <c r="B146" s="9" t="inlineStr">
        <is>
          <t>Участки</t>
        </is>
      </c>
      <c r="C146" s="9" t="inlineStr">
        <is>
          <t>Челябинск</t>
        </is>
      </c>
      <c r="D146" s="10" t="n">
        <v>203</v>
      </c>
    </row>
    <row r="147">
      <c r="A147" s="9" t="inlineStr">
        <is>
          <t>Продажи квартир</t>
        </is>
      </c>
      <c r="B147" s="9" t="inlineStr">
        <is>
          <t>Участки</t>
        </is>
      </c>
      <c r="C147" s="9" t="inlineStr">
        <is>
          <t>Уфа</t>
        </is>
      </c>
      <c r="D147" s="10" t="n">
        <v>663</v>
      </c>
    </row>
    <row r="148">
      <c r="A148" s="9" t="inlineStr">
        <is>
          <t>Продажи квартир</t>
        </is>
      </c>
      <c r="B148" s="9" t="inlineStr">
        <is>
          <t>Участки</t>
        </is>
      </c>
      <c r="C148" s="9" t="inlineStr">
        <is>
          <t>Краснодар</t>
        </is>
      </c>
      <c r="D148" s="10" t="n">
        <v>1483</v>
      </c>
    </row>
    <row r="149">
      <c r="A149" s="9" t="inlineStr">
        <is>
          <t>Продажи квартир</t>
        </is>
      </c>
      <c r="B149" s="9" t="inlineStr">
        <is>
          <t>Участки</t>
        </is>
      </c>
      <c r="C149" s="9" t="inlineStr">
        <is>
          <t>Самара</t>
        </is>
      </c>
      <c r="D149" s="10" t="n">
        <v>419</v>
      </c>
    </row>
    <row r="150">
      <c r="A150" s="9" t="inlineStr">
        <is>
          <t>Продажи квартир</t>
        </is>
      </c>
      <c r="B150" s="9" t="inlineStr">
        <is>
          <t>Участки</t>
        </is>
      </c>
      <c r="C150" s="9" t="inlineStr">
        <is>
          <t>Ростов-на-Дону</t>
        </is>
      </c>
      <c r="D150" s="10" t="n">
        <v>946</v>
      </c>
    </row>
    <row r="151">
      <c r="A151" s="9" t="inlineStr">
        <is>
          <t>Продажи квартир</t>
        </is>
      </c>
      <c r="B151" s="9" t="inlineStr">
        <is>
          <t>Участки</t>
        </is>
      </c>
      <c r="C151" s="9" t="inlineStr">
        <is>
          <t>Омск</t>
        </is>
      </c>
      <c r="D151" s="10" t="n">
        <v>470</v>
      </c>
    </row>
    <row r="152">
      <c r="A152" s="9" t="inlineStr">
        <is>
          <t>Продажи квартир</t>
        </is>
      </c>
      <c r="B152" s="9" t="inlineStr">
        <is>
          <t>Участки</t>
        </is>
      </c>
      <c r="C152" s="9" t="inlineStr">
        <is>
          <t>Воронеж</t>
        </is>
      </c>
      <c r="D152" s="10" t="n">
        <v>332</v>
      </c>
    </row>
    <row r="153">
      <c r="A153" s="9" t="inlineStr">
        <is>
          <t>Продажи квартир</t>
        </is>
      </c>
      <c r="B153" s="9" t="inlineStr">
        <is>
          <t>Участки</t>
        </is>
      </c>
      <c r="C153" s="9" t="inlineStr">
        <is>
          <t>Пермь</t>
        </is>
      </c>
      <c r="D153" s="10" t="n">
        <v>280</v>
      </c>
    </row>
    <row r="154">
      <c r="A154" s="9" t="inlineStr">
        <is>
          <t>Продажи квартир</t>
        </is>
      </c>
      <c r="B154" s="9" t="inlineStr">
        <is>
          <t>Участки</t>
        </is>
      </c>
      <c r="C154" s="9" t="inlineStr">
        <is>
          <t>Волгоград</t>
        </is>
      </c>
      <c r="D154" s="10" t="n">
        <v>801</v>
      </c>
    </row>
    <row r="155">
      <c r="A155" s="6" t="inlineStr">
        <is>
          <t>Дома и участки</t>
        </is>
      </c>
      <c r="B155" s="7" t="inlineStr">
        <is>
          <t>Продажа таунхаусов</t>
        </is>
      </c>
      <c r="C155" s="6" t="inlineStr">
        <is>
          <t>🇷🇺 Вся Россия</t>
        </is>
      </c>
      <c r="D155" s="8" t="n">
        <v>7309</v>
      </c>
    </row>
    <row r="156">
      <c r="A156" s="9" t="inlineStr">
        <is>
          <t>Дома и участки</t>
        </is>
      </c>
      <c r="B156" s="9" t="inlineStr">
        <is>
          <t>Продажа таунхаусов</t>
        </is>
      </c>
      <c r="C156" s="9" t="inlineStr">
        <is>
          <t>Москва</t>
        </is>
      </c>
      <c r="D156" s="10" t="n">
        <v>393</v>
      </c>
    </row>
    <row r="157">
      <c r="A157" s="9" t="inlineStr">
        <is>
          <t>Дома и участки</t>
        </is>
      </c>
      <c r="B157" s="9" t="inlineStr">
        <is>
          <t>Продажа таунхаусов</t>
        </is>
      </c>
      <c r="C157" s="9" t="inlineStr">
        <is>
          <t>Санкт-Петербург</t>
        </is>
      </c>
      <c r="D157" s="10" t="n">
        <v>146</v>
      </c>
    </row>
    <row r="158">
      <c r="A158" s="9" t="inlineStr">
        <is>
          <t>Дома и участки</t>
        </is>
      </c>
      <c r="B158" s="9" t="inlineStr">
        <is>
          <t>Продажа таунхаусов</t>
        </is>
      </c>
      <c r="C158" s="9" t="inlineStr">
        <is>
          <t>Новосибирск</t>
        </is>
      </c>
      <c r="D158" s="10" t="n">
        <v>42</v>
      </c>
    </row>
    <row r="159">
      <c r="A159" s="9" t="inlineStr">
        <is>
          <t>Дома и участки</t>
        </is>
      </c>
      <c r="B159" s="9" t="inlineStr">
        <is>
          <t>Продажа таунхаусов</t>
        </is>
      </c>
      <c r="C159" s="9" t="inlineStr">
        <is>
          <t>Екатеринбург</t>
        </is>
      </c>
      <c r="D159" s="10" t="n">
        <v>37</v>
      </c>
    </row>
    <row r="160">
      <c r="A160" s="9" t="inlineStr">
        <is>
          <t>Дома и участки</t>
        </is>
      </c>
      <c r="B160" s="9" t="inlineStr">
        <is>
          <t>Продажа таунхаусов</t>
        </is>
      </c>
      <c r="C160" s="9" t="inlineStr">
        <is>
          <t>Казань</t>
        </is>
      </c>
      <c r="D160" s="10" t="n">
        <v>37</v>
      </c>
    </row>
    <row r="161">
      <c r="A161" s="9" t="inlineStr">
        <is>
          <t>Дома и участки</t>
        </is>
      </c>
      <c r="B161" s="9" t="inlineStr">
        <is>
          <t>Продажа таунхаусов</t>
        </is>
      </c>
      <c r="C161" s="9" t="inlineStr">
        <is>
          <t>Красноярск</t>
        </is>
      </c>
      <c r="D161" s="10" t="n">
        <v>16</v>
      </c>
    </row>
    <row r="162">
      <c r="A162" s="9" t="inlineStr">
        <is>
          <t>Дома и участки</t>
        </is>
      </c>
      <c r="B162" s="9" t="inlineStr">
        <is>
          <t>Продажа таунхаусов</t>
        </is>
      </c>
      <c r="C162" s="9" t="inlineStr">
        <is>
          <t>Нижний Новгород</t>
        </is>
      </c>
      <c r="D162" s="10" t="n">
        <v>108</v>
      </c>
    </row>
    <row r="163">
      <c r="A163" s="9" t="inlineStr">
        <is>
          <t>Дома и участки</t>
        </is>
      </c>
      <c r="B163" s="9" t="inlineStr">
        <is>
          <t>Продажа таунхаусов</t>
        </is>
      </c>
      <c r="C163" s="9" t="inlineStr">
        <is>
          <t>Челябинск</t>
        </is>
      </c>
      <c r="D163" s="10" t="n">
        <v>13</v>
      </c>
    </row>
    <row r="164">
      <c r="A164" s="9" t="inlineStr">
        <is>
          <t>Дома и участки</t>
        </is>
      </c>
      <c r="B164" s="9" t="inlineStr">
        <is>
          <t>Продажа таунхаусов</t>
        </is>
      </c>
      <c r="C164" s="9" t="inlineStr">
        <is>
          <t>Уфа</t>
        </is>
      </c>
      <c r="D164" s="10" t="n">
        <v>51</v>
      </c>
    </row>
    <row r="165">
      <c r="A165" s="9" t="inlineStr">
        <is>
          <t>Дома и участки</t>
        </is>
      </c>
      <c r="B165" s="9" t="inlineStr">
        <is>
          <t>Продажа таунхаусов</t>
        </is>
      </c>
      <c r="C165" s="9" t="inlineStr">
        <is>
          <t>Краснодар</t>
        </is>
      </c>
      <c r="D165" s="10" t="n">
        <v>262</v>
      </c>
    </row>
    <row r="166">
      <c r="A166" s="9" t="inlineStr">
        <is>
          <t>Дома и участки</t>
        </is>
      </c>
      <c r="B166" s="9" t="inlineStr">
        <is>
          <t>Продажа таунхаусов</t>
        </is>
      </c>
      <c r="C166" s="9" t="inlineStr">
        <is>
          <t>Самара</t>
        </is>
      </c>
      <c r="D166" s="10" t="n">
        <v>30</v>
      </c>
    </row>
    <row r="167">
      <c r="A167" s="9" t="inlineStr">
        <is>
          <t>Дома и участки</t>
        </is>
      </c>
      <c r="B167" s="9" t="inlineStr">
        <is>
          <t>Продажа таунхаусов</t>
        </is>
      </c>
      <c r="C167" s="9" t="inlineStr">
        <is>
          <t>Ростов-на-Дону</t>
        </is>
      </c>
      <c r="D167" s="10" t="n">
        <v>26</v>
      </c>
    </row>
    <row r="168">
      <c r="A168" s="9" t="inlineStr">
        <is>
          <t>Дома и участки</t>
        </is>
      </c>
      <c r="B168" s="9" t="inlineStr">
        <is>
          <t>Продажа таунхаусов</t>
        </is>
      </c>
      <c r="C168" s="9" t="inlineStr">
        <is>
          <t>Омск</t>
        </is>
      </c>
      <c r="D168" s="10" t="n">
        <v>20</v>
      </c>
    </row>
    <row r="169">
      <c r="A169" s="9" t="inlineStr">
        <is>
          <t>Дома и участки</t>
        </is>
      </c>
      <c r="B169" s="9" t="inlineStr">
        <is>
          <t>Продажа таунхаусов</t>
        </is>
      </c>
      <c r="C169" s="9" t="inlineStr">
        <is>
          <t>Воронеж</t>
        </is>
      </c>
      <c r="D169" s="10" t="n">
        <v>27</v>
      </c>
    </row>
    <row r="170">
      <c r="A170" s="9" t="inlineStr">
        <is>
          <t>Дома и участки</t>
        </is>
      </c>
      <c r="B170" s="9" t="inlineStr">
        <is>
          <t>Продажа таунхаусов</t>
        </is>
      </c>
      <c r="C170" s="9" t="inlineStr">
        <is>
          <t>Пермь</t>
        </is>
      </c>
      <c r="D170" s="10" t="n">
        <v>26</v>
      </c>
    </row>
    <row r="171">
      <c r="A171" s="9" t="inlineStr">
        <is>
          <t>Дома и участки</t>
        </is>
      </c>
      <c r="B171" s="9" t="inlineStr">
        <is>
          <t>Продажа таунхаусов</t>
        </is>
      </c>
      <c r="C171" s="9" t="inlineStr">
        <is>
          <t>Волгоград</t>
        </is>
      </c>
      <c r="D171" s="10" t="n">
        <v>6</v>
      </c>
    </row>
    <row r="172">
      <c r="A172" s="6" t="inlineStr">
        <is>
          <t>Коммерческая · Аренда</t>
        </is>
      </c>
      <c r="B172" s="7" t="inlineStr">
        <is>
          <t>Офис</t>
        </is>
      </c>
      <c r="C172" s="6" t="inlineStr">
        <is>
          <t>🇷🇺 Вся Россия</t>
        </is>
      </c>
      <c r="D172" s="8" t="n">
        <v>40541</v>
      </c>
    </row>
    <row r="173">
      <c r="A173" s="9" t="inlineStr">
        <is>
          <t>Коммерческая · Аренда</t>
        </is>
      </c>
      <c r="B173" s="9" t="inlineStr">
        <is>
          <t>Офис</t>
        </is>
      </c>
      <c r="C173" s="9" t="inlineStr">
        <is>
          <t>Москва</t>
        </is>
      </c>
      <c r="D173" s="10" t="n">
        <v>18979</v>
      </c>
    </row>
    <row r="174">
      <c r="A174" s="9" t="inlineStr">
        <is>
          <t>Коммерческая · Аренда</t>
        </is>
      </c>
      <c r="B174" s="9" t="inlineStr">
        <is>
          <t>Офис</t>
        </is>
      </c>
      <c r="C174" s="9" t="inlineStr">
        <is>
          <t>Санкт-Петербург</t>
        </is>
      </c>
      <c r="D174" s="10" t="n">
        <v>3512</v>
      </c>
    </row>
    <row r="175">
      <c r="A175" s="9" t="inlineStr">
        <is>
          <t>Коммерческая · Аренда</t>
        </is>
      </c>
      <c r="B175" s="9" t="inlineStr">
        <is>
          <t>Офис</t>
        </is>
      </c>
      <c r="C175" s="9" t="inlineStr">
        <is>
          <t>Новосибирск</t>
        </is>
      </c>
      <c r="D175" s="10" t="n">
        <v>1109</v>
      </c>
    </row>
    <row r="176">
      <c r="A176" s="9" t="inlineStr">
        <is>
          <t>Коммерческая · Аренда</t>
        </is>
      </c>
      <c r="B176" s="9" t="inlineStr">
        <is>
          <t>Офис</t>
        </is>
      </c>
      <c r="C176" s="9" t="inlineStr">
        <is>
          <t>Екатеринбург</t>
        </is>
      </c>
      <c r="D176" s="10" t="n">
        <v>1133</v>
      </c>
    </row>
    <row r="177">
      <c r="A177" s="9" t="inlineStr">
        <is>
          <t>Коммерческая · Аренда</t>
        </is>
      </c>
      <c r="B177" s="9" t="inlineStr">
        <is>
          <t>Офис</t>
        </is>
      </c>
      <c r="C177" s="9" t="inlineStr">
        <is>
          <t>Казань</t>
        </is>
      </c>
      <c r="D177" s="10" t="n">
        <v>476</v>
      </c>
    </row>
    <row r="178">
      <c r="A178" s="9" t="inlineStr">
        <is>
          <t>Коммерческая · Аренда</t>
        </is>
      </c>
      <c r="B178" s="9" t="inlineStr">
        <is>
          <t>Офис</t>
        </is>
      </c>
      <c r="C178" s="9" t="inlineStr">
        <is>
          <t>Красноярск</t>
        </is>
      </c>
      <c r="D178" s="10" t="n">
        <v>311</v>
      </c>
    </row>
    <row r="179">
      <c r="A179" s="9" t="inlineStr">
        <is>
          <t>Коммерческая · Аренда</t>
        </is>
      </c>
      <c r="B179" s="9" t="inlineStr">
        <is>
          <t>Офис</t>
        </is>
      </c>
      <c r="C179" s="9" t="inlineStr">
        <is>
          <t>Нижний Новгород</t>
        </is>
      </c>
      <c r="D179" s="10" t="n">
        <v>505</v>
      </c>
    </row>
    <row r="180">
      <c r="A180" s="9" t="inlineStr">
        <is>
          <t>Коммерческая · Аренда</t>
        </is>
      </c>
      <c r="B180" s="9" t="inlineStr">
        <is>
          <t>Офис</t>
        </is>
      </c>
      <c r="C180" s="9" t="inlineStr">
        <is>
          <t>Челябинск</t>
        </is>
      </c>
      <c r="D180" s="10" t="n">
        <v>260</v>
      </c>
    </row>
    <row r="181">
      <c r="A181" s="9" t="inlineStr">
        <is>
          <t>Коммерческая · Аренда</t>
        </is>
      </c>
      <c r="B181" s="9" t="inlineStr">
        <is>
          <t>Офис</t>
        </is>
      </c>
      <c r="C181" s="9" t="inlineStr">
        <is>
          <t>Уфа</t>
        </is>
      </c>
      <c r="D181" s="10" t="n">
        <v>220</v>
      </c>
    </row>
    <row r="182">
      <c r="A182" s="9" t="inlineStr">
        <is>
          <t>Коммерческая · Аренда</t>
        </is>
      </c>
      <c r="B182" s="9" t="inlineStr">
        <is>
          <t>Офис</t>
        </is>
      </c>
      <c r="C182" s="9" t="inlineStr">
        <is>
          <t>Краснодар</t>
        </is>
      </c>
      <c r="D182" s="10" t="n">
        <v>867</v>
      </c>
    </row>
    <row r="183">
      <c r="A183" s="9" t="inlineStr">
        <is>
          <t>Коммерческая · Аренда</t>
        </is>
      </c>
      <c r="B183" s="9" t="inlineStr">
        <is>
          <t>Офис</t>
        </is>
      </c>
      <c r="C183" s="9" t="inlineStr">
        <is>
          <t>Самара</t>
        </is>
      </c>
      <c r="D183" s="10" t="n">
        <v>484</v>
      </c>
    </row>
    <row r="184">
      <c r="A184" s="9" t="inlineStr">
        <is>
          <t>Коммерческая · Аренда</t>
        </is>
      </c>
      <c r="B184" s="9" t="inlineStr">
        <is>
          <t>Офис</t>
        </is>
      </c>
      <c r="C184" s="9" t="inlineStr">
        <is>
          <t>Ростов-на-Дону</t>
        </is>
      </c>
      <c r="D184" s="10" t="n">
        <v>481</v>
      </c>
    </row>
    <row r="185">
      <c r="A185" s="9" t="inlineStr">
        <is>
          <t>Коммерческая · Аренда</t>
        </is>
      </c>
      <c r="B185" s="9" t="inlineStr">
        <is>
          <t>Офис</t>
        </is>
      </c>
      <c r="C185" s="9" t="inlineStr">
        <is>
          <t>Омск</t>
        </is>
      </c>
      <c r="D185" s="10" t="n">
        <v>352</v>
      </c>
    </row>
    <row r="186">
      <c r="A186" s="9" t="inlineStr">
        <is>
          <t>Коммерческая · Аренда</t>
        </is>
      </c>
      <c r="B186" s="9" t="inlineStr">
        <is>
          <t>Офис</t>
        </is>
      </c>
      <c r="C186" s="9" t="inlineStr">
        <is>
          <t>Воронеж</t>
        </is>
      </c>
      <c r="D186" s="10" t="n">
        <v>334</v>
      </c>
    </row>
    <row r="187">
      <c r="A187" s="9" t="inlineStr">
        <is>
          <t>Коммерческая · Аренда</t>
        </is>
      </c>
      <c r="B187" s="9" t="inlineStr">
        <is>
          <t>Офис</t>
        </is>
      </c>
      <c r="C187" s="9" t="inlineStr">
        <is>
          <t>Пермь</t>
        </is>
      </c>
      <c r="D187" s="10" t="n">
        <v>284</v>
      </c>
    </row>
    <row r="188">
      <c r="A188" s="9" t="inlineStr">
        <is>
          <t>Коммерческая · Аренда</t>
        </is>
      </c>
      <c r="B188" s="9" t="inlineStr">
        <is>
          <t>Офис</t>
        </is>
      </c>
      <c r="C188" s="9" t="inlineStr">
        <is>
          <t>Волгоград</t>
        </is>
      </c>
      <c r="D188" s="10" t="n">
        <v>238</v>
      </c>
    </row>
    <row r="189">
      <c r="A189" s="6" t="inlineStr">
        <is>
          <t>Коммерческая · Аренда</t>
        </is>
      </c>
      <c r="B189" s="7" t="inlineStr">
        <is>
          <t>Коворкинг</t>
        </is>
      </c>
      <c r="C189" s="6" t="inlineStr">
        <is>
          <t>🇷🇺 Вся Россия</t>
        </is>
      </c>
      <c r="D189" s="8" t="n">
        <v>2552</v>
      </c>
    </row>
    <row r="190">
      <c r="A190" s="9" t="inlineStr">
        <is>
          <t>Коммерческая · Аренда</t>
        </is>
      </c>
      <c r="B190" s="9" t="inlineStr">
        <is>
          <t>Коворкинг</t>
        </is>
      </c>
      <c r="C190" s="9" t="inlineStr">
        <is>
          <t>Москва</t>
        </is>
      </c>
      <c r="D190" s="10" t="n">
        <v>508</v>
      </c>
    </row>
    <row r="191">
      <c r="A191" s="9" t="inlineStr">
        <is>
          <t>Коммерческая · Аренда</t>
        </is>
      </c>
      <c r="B191" s="9" t="inlineStr">
        <is>
          <t>Коворкинг</t>
        </is>
      </c>
      <c r="C191" s="9" t="inlineStr">
        <is>
          <t>Санкт-Петербург</t>
        </is>
      </c>
      <c r="D191" s="10" t="n">
        <v>81</v>
      </c>
    </row>
    <row r="192">
      <c r="A192" s="9" t="inlineStr">
        <is>
          <t>Коммерческая · Аренда</t>
        </is>
      </c>
      <c r="B192" s="9" t="inlineStr">
        <is>
          <t>Коворкинг</t>
        </is>
      </c>
      <c r="C192" s="9" t="inlineStr">
        <is>
          <t>Новосибирск</t>
        </is>
      </c>
      <c r="D192" s="10" t="n">
        <v>41</v>
      </c>
    </row>
    <row r="193">
      <c r="A193" s="9" t="inlineStr">
        <is>
          <t>Коммерческая · Аренда</t>
        </is>
      </c>
      <c r="B193" s="9" t="inlineStr">
        <is>
          <t>Коворкинг</t>
        </is>
      </c>
      <c r="C193" s="9" t="inlineStr">
        <is>
          <t>Екатеринбург</t>
        </is>
      </c>
      <c r="D193" s="10" t="n">
        <v>34</v>
      </c>
    </row>
    <row r="194">
      <c r="A194" s="9" t="inlineStr">
        <is>
          <t>Коммерческая · Аренда</t>
        </is>
      </c>
      <c r="B194" s="9" t="inlineStr">
        <is>
          <t>Коворкинг</t>
        </is>
      </c>
      <c r="C194" s="9" t="inlineStr">
        <is>
          <t>Казань</t>
        </is>
      </c>
      <c r="D194" s="10" t="n">
        <v>28</v>
      </c>
    </row>
    <row r="195">
      <c r="A195" s="9" t="inlineStr">
        <is>
          <t>Коммерческая · Аренда</t>
        </is>
      </c>
      <c r="B195" s="9" t="inlineStr">
        <is>
          <t>Коворкинг</t>
        </is>
      </c>
      <c r="C195" s="9" t="inlineStr">
        <is>
          <t>Красноярск</t>
        </is>
      </c>
      <c r="D195" s="10" t="n">
        <v>18</v>
      </c>
    </row>
    <row r="196">
      <c r="A196" s="9" t="inlineStr">
        <is>
          <t>Коммерческая · Аренда</t>
        </is>
      </c>
      <c r="B196" s="9" t="inlineStr">
        <is>
          <t>Коворкинг</t>
        </is>
      </c>
      <c r="C196" s="9" t="inlineStr">
        <is>
          <t>Нижний Новгород</t>
        </is>
      </c>
      <c r="D196" s="10" t="n">
        <v>34</v>
      </c>
    </row>
    <row r="197">
      <c r="A197" s="9" t="inlineStr">
        <is>
          <t>Коммерческая · Аренда</t>
        </is>
      </c>
      <c r="B197" s="9" t="inlineStr">
        <is>
          <t>Коворкинг</t>
        </is>
      </c>
      <c r="C197" s="9" t="inlineStr">
        <is>
          <t>Челябинск</t>
        </is>
      </c>
      <c r="D197" s="10" t="n">
        <v>30</v>
      </c>
    </row>
    <row r="198">
      <c r="A198" s="9" t="inlineStr">
        <is>
          <t>Коммерческая · Аренда</t>
        </is>
      </c>
      <c r="B198" s="9" t="inlineStr">
        <is>
          <t>Коворкинг</t>
        </is>
      </c>
      <c r="C198" s="9" t="inlineStr">
        <is>
          <t>Уфа</t>
        </is>
      </c>
      <c r="D198" s="10" t="n">
        <v>16</v>
      </c>
    </row>
    <row r="199">
      <c r="A199" s="9" t="inlineStr">
        <is>
          <t>Коммерческая · Аренда</t>
        </is>
      </c>
      <c r="B199" s="9" t="inlineStr">
        <is>
          <t>Коворкинг</t>
        </is>
      </c>
      <c r="C199" s="9" t="inlineStr">
        <is>
          <t>Краснодар</t>
        </is>
      </c>
      <c r="D199" s="10" t="n">
        <v>67</v>
      </c>
    </row>
    <row r="200">
      <c r="A200" s="9" t="inlineStr">
        <is>
          <t>Коммерческая · Аренда</t>
        </is>
      </c>
      <c r="B200" s="9" t="inlineStr">
        <is>
          <t>Коворкинг</t>
        </is>
      </c>
      <c r="C200" s="9" t="inlineStr">
        <is>
          <t>Самара</t>
        </is>
      </c>
      <c r="D200" s="10" t="n">
        <v>38</v>
      </c>
    </row>
    <row r="201">
      <c r="A201" s="9" t="inlineStr">
        <is>
          <t>Коммерческая · Аренда</t>
        </is>
      </c>
      <c r="B201" s="9" t="inlineStr">
        <is>
          <t>Коворкинг</t>
        </is>
      </c>
      <c r="C201" s="9" t="inlineStr">
        <is>
          <t>Ростов-на-Дону</t>
        </is>
      </c>
      <c r="D201" s="10" t="n">
        <v>41</v>
      </c>
    </row>
    <row r="202">
      <c r="A202" s="9" t="inlineStr">
        <is>
          <t>Коммерческая · Аренда</t>
        </is>
      </c>
      <c r="B202" s="9" t="inlineStr">
        <is>
          <t>Коворкинг</t>
        </is>
      </c>
      <c r="C202" s="9" t="inlineStr">
        <is>
          <t>Омск</t>
        </is>
      </c>
      <c r="D202" s="10" t="n">
        <v>14</v>
      </c>
    </row>
    <row r="203">
      <c r="A203" s="9" t="inlineStr">
        <is>
          <t>Коммерческая · Аренда</t>
        </is>
      </c>
      <c r="B203" s="9" t="inlineStr">
        <is>
          <t>Коворкинг</t>
        </is>
      </c>
      <c r="C203" s="9" t="inlineStr">
        <is>
          <t>Воронеж</t>
        </is>
      </c>
      <c r="D203" s="10" t="n">
        <v>17</v>
      </c>
    </row>
    <row r="204">
      <c r="A204" s="9" t="inlineStr">
        <is>
          <t>Коммерческая · Аренда</t>
        </is>
      </c>
      <c r="B204" s="9" t="inlineStr">
        <is>
          <t>Коворкинг</t>
        </is>
      </c>
      <c r="C204" s="9" t="inlineStr">
        <is>
          <t>Пермь</t>
        </is>
      </c>
      <c r="D204" s="10" t="n">
        <v>17</v>
      </c>
    </row>
    <row r="205">
      <c r="A205" s="9" t="inlineStr">
        <is>
          <t>Коммерческая · Аренда</t>
        </is>
      </c>
      <c r="B205" s="9" t="inlineStr">
        <is>
          <t>Коворкинг</t>
        </is>
      </c>
      <c r="C205" s="9" t="inlineStr">
        <is>
          <t>Волгоград</t>
        </is>
      </c>
      <c r="D205" s="10" t="n">
        <v>19</v>
      </c>
    </row>
    <row r="206">
      <c r="A206" s="6" t="inlineStr">
        <is>
          <t>Коммерческая · Аренда</t>
        </is>
      </c>
      <c r="B206" s="7" t="inlineStr">
        <is>
          <t>Торговая площадь</t>
        </is>
      </c>
      <c r="C206" s="6" t="inlineStr">
        <is>
          <t>🇷🇺 Вся Россия</t>
        </is>
      </c>
      <c r="D206" s="8" t="n">
        <v>20459</v>
      </c>
    </row>
    <row r="207">
      <c r="A207" s="9" t="inlineStr">
        <is>
          <t>Коммерческая · Аренда</t>
        </is>
      </c>
      <c r="B207" s="9" t="inlineStr">
        <is>
          <t>Торговая площадь</t>
        </is>
      </c>
      <c r="C207" s="9" t="inlineStr">
        <is>
          <t>Москва</t>
        </is>
      </c>
      <c r="D207" s="10" t="n">
        <v>6330</v>
      </c>
    </row>
    <row r="208">
      <c r="A208" s="9" t="inlineStr">
        <is>
          <t>Коммерческая · Аренда</t>
        </is>
      </c>
      <c r="B208" s="9" t="inlineStr">
        <is>
          <t>Торговая площадь</t>
        </is>
      </c>
      <c r="C208" s="9" t="inlineStr">
        <is>
          <t>Санкт-Петербург</t>
        </is>
      </c>
      <c r="D208" s="10" t="n">
        <v>977</v>
      </c>
    </row>
    <row r="209">
      <c r="A209" s="9" t="inlineStr">
        <is>
          <t>Коммерческая · Аренда</t>
        </is>
      </c>
      <c r="B209" s="9" t="inlineStr">
        <is>
          <t>Торговая площадь</t>
        </is>
      </c>
      <c r="C209" s="9" t="inlineStr">
        <is>
          <t>Новосибирск</t>
        </is>
      </c>
      <c r="D209" s="10" t="n">
        <v>413</v>
      </c>
    </row>
    <row r="210">
      <c r="A210" s="9" t="inlineStr">
        <is>
          <t>Коммерческая · Аренда</t>
        </is>
      </c>
      <c r="B210" s="9" t="inlineStr">
        <is>
          <t>Торговая площадь</t>
        </is>
      </c>
      <c r="C210" s="9" t="inlineStr">
        <is>
          <t>Екатеринбург</t>
        </is>
      </c>
      <c r="D210" s="10" t="n">
        <v>559</v>
      </c>
    </row>
    <row r="211">
      <c r="A211" s="9" t="inlineStr">
        <is>
          <t>Коммерческая · Аренда</t>
        </is>
      </c>
      <c r="B211" s="9" t="inlineStr">
        <is>
          <t>Торговая площадь</t>
        </is>
      </c>
      <c r="C211" s="9" t="inlineStr">
        <is>
          <t>Казань</t>
        </is>
      </c>
      <c r="D211" s="10" t="n">
        <v>139</v>
      </c>
    </row>
    <row r="212">
      <c r="A212" s="9" t="inlineStr">
        <is>
          <t>Коммерческая · Аренда</t>
        </is>
      </c>
      <c r="B212" s="9" t="inlineStr">
        <is>
          <t>Торговая площадь</t>
        </is>
      </c>
      <c r="C212" s="9" t="inlineStr">
        <is>
          <t>Красноярск</t>
        </is>
      </c>
      <c r="D212" s="10" t="n">
        <v>146</v>
      </c>
    </row>
    <row r="213">
      <c r="A213" s="9" t="inlineStr">
        <is>
          <t>Коммерческая · Аренда</t>
        </is>
      </c>
      <c r="B213" s="9" t="inlineStr">
        <is>
          <t>Торговая площадь</t>
        </is>
      </c>
      <c r="C213" s="9" t="inlineStr">
        <is>
          <t>Нижний Новгород</t>
        </is>
      </c>
      <c r="D213" s="10" t="n">
        <v>295</v>
      </c>
    </row>
    <row r="214">
      <c r="A214" s="9" t="inlineStr">
        <is>
          <t>Коммерческая · Аренда</t>
        </is>
      </c>
      <c r="B214" s="9" t="inlineStr">
        <is>
          <t>Торговая площадь</t>
        </is>
      </c>
      <c r="C214" s="9" t="inlineStr">
        <is>
          <t>Челябинск</t>
        </is>
      </c>
      <c r="D214" s="10" t="n">
        <v>213</v>
      </c>
    </row>
    <row r="215">
      <c r="A215" s="9" t="inlineStr">
        <is>
          <t>Коммерческая · Аренда</t>
        </is>
      </c>
      <c r="B215" s="9" t="inlineStr">
        <is>
          <t>Торговая площадь</t>
        </is>
      </c>
      <c r="C215" s="9" t="inlineStr">
        <is>
          <t>Уфа</t>
        </is>
      </c>
      <c r="D215" s="10" t="n">
        <v>108</v>
      </c>
    </row>
    <row r="216">
      <c r="A216" s="9" t="inlineStr">
        <is>
          <t>Коммерческая · Аренда</t>
        </is>
      </c>
      <c r="B216" s="9" t="inlineStr">
        <is>
          <t>Торговая площадь</t>
        </is>
      </c>
      <c r="C216" s="9" t="inlineStr">
        <is>
          <t>Краснодар</t>
        </is>
      </c>
      <c r="D216" s="10" t="n">
        <v>437</v>
      </c>
    </row>
    <row r="217">
      <c r="A217" s="9" t="inlineStr">
        <is>
          <t>Коммерческая · Аренда</t>
        </is>
      </c>
      <c r="B217" s="9" t="inlineStr">
        <is>
          <t>Торговая площадь</t>
        </is>
      </c>
      <c r="C217" s="9" t="inlineStr">
        <is>
          <t>Самара</t>
        </is>
      </c>
      <c r="D217" s="10" t="n">
        <v>445</v>
      </c>
    </row>
    <row r="218">
      <c r="A218" s="9" t="inlineStr">
        <is>
          <t>Коммерческая · Аренда</t>
        </is>
      </c>
      <c r="B218" s="9" t="inlineStr">
        <is>
          <t>Торговая площадь</t>
        </is>
      </c>
      <c r="C218" s="9" t="inlineStr">
        <is>
          <t>Ростов-на-Дону</t>
        </is>
      </c>
      <c r="D218" s="10" t="n">
        <v>339</v>
      </c>
    </row>
    <row r="219">
      <c r="A219" s="9" t="inlineStr">
        <is>
          <t>Коммерческая · Аренда</t>
        </is>
      </c>
      <c r="B219" s="9" t="inlineStr">
        <is>
          <t>Торговая площадь</t>
        </is>
      </c>
      <c r="C219" s="9" t="inlineStr">
        <is>
          <t>Омск</t>
        </is>
      </c>
      <c r="D219" s="10" t="n">
        <v>178</v>
      </c>
    </row>
    <row r="220">
      <c r="A220" s="9" t="inlineStr">
        <is>
          <t>Коммерческая · Аренда</t>
        </is>
      </c>
      <c r="B220" s="9" t="inlineStr">
        <is>
          <t>Торговая площадь</t>
        </is>
      </c>
      <c r="C220" s="9" t="inlineStr">
        <is>
          <t>Воронеж</t>
        </is>
      </c>
      <c r="D220" s="10" t="n">
        <v>138</v>
      </c>
    </row>
    <row r="221">
      <c r="A221" s="9" t="inlineStr">
        <is>
          <t>Коммерческая · Аренда</t>
        </is>
      </c>
      <c r="B221" s="9" t="inlineStr">
        <is>
          <t>Торговая площадь</t>
        </is>
      </c>
      <c r="C221" s="9" t="inlineStr">
        <is>
          <t>Пермь</t>
        </is>
      </c>
      <c r="D221" s="10" t="n">
        <v>170</v>
      </c>
    </row>
    <row r="222">
      <c r="A222" s="9" t="inlineStr">
        <is>
          <t>Коммерческая · Аренда</t>
        </is>
      </c>
      <c r="B222" s="9" t="inlineStr">
        <is>
          <t>Торговая площадь</t>
        </is>
      </c>
      <c r="C222" s="9" t="inlineStr">
        <is>
          <t>Волгоград</t>
        </is>
      </c>
      <c r="D222" s="10" t="n">
        <v>107</v>
      </c>
    </row>
    <row r="223">
      <c r="A223" s="6" t="inlineStr">
        <is>
          <t>Коммерческая · Аренда</t>
        </is>
      </c>
      <c r="B223" s="7" t="inlineStr">
        <is>
          <t>Складское помещение</t>
        </is>
      </c>
      <c r="C223" s="6" t="inlineStr">
        <is>
          <t>🇷🇺 Вся Россия</t>
        </is>
      </c>
      <c r="D223" s="8" t="n">
        <v>16884</v>
      </c>
    </row>
    <row r="224">
      <c r="A224" s="9" t="inlineStr">
        <is>
          <t>Коммерческая · Аренда</t>
        </is>
      </c>
      <c r="B224" s="9" t="inlineStr">
        <is>
          <t>Складское помещение</t>
        </is>
      </c>
      <c r="C224" s="9" t="inlineStr">
        <is>
          <t>Москва</t>
        </is>
      </c>
      <c r="D224" s="10" t="n">
        <v>3304</v>
      </c>
    </row>
    <row r="225">
      <c r="A225" s="9" t="inlineStr">
        <is>
          <t>Коммерческая · Аренда</t>
        </is>
      </c>
      <c r="B225" s="9" t="inlineStr">
        <is>
          <t>Складское помещение</t>
        </is>
      </c>
      <c r="C225" s="9" t="inlineStr">
        <is>
          <t>Санкт-Петербург</t>
        </is>
      </c>
      <c r="D225" s="10" t="n">
        <v>765</v>
      </c>
    </row>
    <row r="226">
      <c r="A226" s="9" t="inlineStr">
        <is>
          <t>Коммерческая · Аренда</t>
        </is>
      </c>
      <c r="B226" s="9" t="inlineStr">
        <is>
          <t>Складское помещение</t>
        </is>
      </c>
      <c r="C226" s="9" t="inlineStr">
        <is>
          <t>Новосибирск</t>
        </is>
      </c>
      <c r="D226" s="10" t="n">
        <v>550</v>
      </c>
    </row>
    <row r="227">
      <c r="A227" s="9" t="inlineStr">
        <is>
          <t>Коммерческая · Аренда</t>
        </is>
      </c>
      <c r="B227" s="9" t="inlineStr">
        <is>
          <t>Складское помещение</t>
        </is>
      </c>
      <c r="C227" s="9" t="inlineStr">
        <is>
          <t>Екатеринбург</t>
        </is>
      </c>
      <c r="D227" s="10" t="n">
        <v>431</v>
      </c>
    </row>
    <row r="228">
      <c r="A228" s="9" t="inlineStr">
        <is>
          <t>Коммерческая · Аренда</t>
        </is>
      </c>
      <c r="B228" s="9" t="inlineStr">
        <is>
          <t>Складское помещение</t>
        </is>
      </c>
      <c r="C228" s="9" t="inlineStr">
        <is>
          <t>Казань</t>
        </is>
      </c>
      <c r="D228" s="10" t="n">
        <v>209</v>
      </c>
    </row>
    <row r="229">
      <c r="A229" s="9" t="inlineStr">
        <is>
          <t>Коммерческая · Аренда</t>
        </is>
      </c>
      <c r="B229" s="9" t="inlineStr">
        <is>
          <t>Складское помещение</t>
        </is>
      </c>
      <c r="C229" s="9" t="inlineStr">
        <is>
          <t>Красноярск</t>
        </is>
      </c>
      <c r="D229" s="10" t="n">
        <v>113</v>
      </c>
    </row>
    <row r="230">
      <c r="A230" s="9" t="inlineStr">
        <is>
          <t>Коммерческая · Аренда</t>
        </is>
      </c>
      <c r="B230" s="9" t="inlineStr">
        <is>
          <t>Складское помещение</t>
        </is>
      </c>
      <c r="C230" s="9" t="inlineStr">
        <is>
          <t>Нижний Новгород</t>
        </is>
      </c>
      <c r="D230" s="10" t="n">
        <v>269</v>
      </c>
    </row>
    <row r="231">
      <c r="A231" s="9" t="inlineStr">
        <is>
          <t>Коммерческая · Аренда</t>
        </is>
      </c>
      <c r="B231" s="9" t="inlineStr">
        <is>
          <t>Складское помещение</t>
        </is>
      </c>
      <c r="C231" s="9" t="inlineStr">
        <is>
          <t>Челябинск</t>
        </is>
      </c>
      <c r="D231" s="10" t="n">
        <v>139</v>
      </c>
    </row>
    <row r="232">
      <c r="A232" s="9" t="inlineStr">
        <is>
          <t>Коммерческая · Аренда</t>
        </is>
      </c>
      <c r="B232" s="9" t="inlineStr">
        <is>
          <t>Складское помещение</t>
        </is>
      </c>
      <c r="C232" s="9" t="inlineStr">
        <is>
          <t>Уфа</t>
        </is>
      </c>
      <c r="D232" s="10" t="n">
        <v>104</v>
      </c>
    </row>
    <row r="233">
      <c r="A233" s="9" t="inlineStr">
        <is>
          <t>Коммерческая · Аренда</t>
        </is>
      </c>
      <c r="B233" s="9" t="inlineStr">
        <is>
          <t>Складское помещение</t>
        </is>
      </c>
      <c r="C233" s="9" t="inlineStr">
        <is>
          <t>Краснодар</t>
        </is>
      </c>
      <c r="D233" s="10" t="n">
        <v>411</v>
      </c>
    </row>
    <row r="234">
      <c r="A234" s="9" t="inlineStr">
        <is>
          <t>Коммерческая · Аренда</t>
        </is>
      </c>
      <c r="B234" s="9" t="inlineStr">
        <is>
          <t>Складское помещение</t>
        </is>
      </c>
      <c r="C234" s="9" t="inlineStr">
        <is>
          <t>Самара</t>
        </is>
      </c>
      <c r="D234" s="10" t="n">
        <v>125</v>
      </c>
    </row>
    <row r="235">
      <c r="A235" s="9" t="inlineStr">
        <is>
          <t>Коммерческая · Аренда</t>
        </is>
      </c>
      <c r="B235" s="9" t="inlineStr">
        <is>
          <t>Складское помещение</t>
        </is>
      </c>
      <c r="C235" s="9" t="inlineStr">
        <is>
          <t>Ростов-на-Дону</t>
        </is>
      </c>
      <c r="D235" s="10" t="n">
        <v>176</v>
      </c>
    </row>
    <row r="236">
      <c r="A236" s="9" t="inlineStr">
        <is>
          <t>Коммерческая · Аренда</t>
        </is>
      </c>
      <c r="B236" s="9" t="inlineStr">
        <is>
          <t>Складское помещение</t>
        </is>
      </c>
      <c r="C236" s="9" t="inlineStr">
        <is>
          <t>Омск</t>
        </is>
      </c>
      <c r="D236" s="10" t="n">
        <v>127</v>
      </c>
    </row>
    <row r="237">
      <c r="A237" s="9" t="inlineStr">
        <is>
          <t>Коммерческая · Аренда</t>
        </is>
      </c>
      <c r="B237" s="9" t="inlineStr">
        <is>
          <t>Складское помещение</t>
        </is>
      </c>
      <c r="C237" s="9" t="inlineStr">
        <is>
          <t>Воронеж</t>
        </is>
      </c>
      <c r="D237" s="10" t="n">
        <v>90</v>
      </c>
    </row>
    <row r="238">
      <c r="A238" s="9" t="inlineStr">
        <is>
          <t>Коммерческая · Аренда</t>
        </is>
      </c>
      <c r="B238" s="9" t="inlineStr">
        <is>
          <t>Складское помещение</t>
        </is>
      </c>
      <c r="C238" s="9" t="inlineStr">
        <is>
          <t>Пермь</t>
        </is>
      </c>
      <c r="D238" s="10" t="n">
        <v>84</v>
      </c>
    </row>
    <row r="239">
      <c r="A239" s="9" t="inlineStr">
        <is>
          <t>Коммерческая · Аренда</t>
        </is>
      </c>
      <c r="B239" s="9" t="inlineStr">
        <is>
          <t>Складское помещение</t>
        </is>
      </c>
      <c r="C239" s="9" t="inlineStr">
        <is>
          <t>Волгоград</t>
        </is>
      </c>
      <c r="D239" s="10" t="n">
        <v>68</v>
      </c>
    </row>
    <row r="240">
      <c r="A240" s="6" t="inlineStr">
        <is>
          <t>Коммерческая · Продажа</t>
        </is>
      </c>
      <c r="B240" s="7" t="inlineStr">
        <is>
          <t>Офис</t>
        </is>
      </c>
      <c r="C240" s="6" t="inlineStr">
        <is>
          <t>🇷🇺 Вся Россия</t>
        </is>
      </c>
      <c r="D240" s="8" t="n">
        <v>18315</v>
      </c>
    </row>
    <row r="241">
      <c r="A241" s="9" t="inlineStr">
        <is>
          <t>Коммерческая · Продажа</t>
        </is>
      </c>
      <c r="B241" s="9" t="inlineStr">
        <is>
          <t>Офис</t>
        </is>
      </c>
      <c r="C241" s="9" t="inlineStr">
        <is>
          <t>Москва</t>
        </is>
      </c>
      <c r="D241" s="10" t="n">
        <v>7798</v>
      </c>
    </row>
    <row r="242">
      <c r="A242" s="9" t="inlineStr">
        <is>
          <t>Коммерческая · Продажа</t>
        </is>
      </c>
      <c r="B242" s="9" t="inlineStr">
        <is>
          <t>Офис</t>
        </is>
      </c>
      <c r="C242" s="9" t="inlineStr">
        <is>
          <t>Санкт-Петербург</t>
        </is>
      </c>
      <c r="D242" s="10" t="n">
        <v>925</v>
      </c>
    </row>
    <row r="243">
      <c r="A243" s="9" t="inlineStr">
        <is>
          <t>Коммерческая · Продажа</t>
        </is>
      </c>
      <c r="B243" s="9" t="inlineStr">
        <is>
          <t>Офис</t>
        </is>
      </c>
      <c r="C243" s="9" t="inlineStr">
        <is>
          <t>Новосибирск</t>
        </is>
      </c>
      <c r="D243" s="10" t="n">
        <v>535</v>
      </c>
    </row>
    <row r="244">
      <c r="A244" s="9" t="inlineStr">
        <is>
          <t>Коммерческая · Продажа</t>
        </is>
      </c>
      <c r="B244" s="9" t="inlineStr">
        <is>
          <t>Офис</t>
        </is>
      </c>
      <c r="C244" s="9" t="inlineStr">
        <is>
          <t>Екатеринбург</t>
        </is>
      </c>
      <c r="D244" s="10" t="n">
        <v>426</v>
      </c>
    </row>
    <row r="245">
      <c r="A245" s="9" t="inlineStr">
        <is>
          <t>Коммерческая · Продажа</t>
        </is>
      </c>
      <c r="B245" s="9" t="inlineStr">
        <is>
          <t>Офис</t>
        </is>
      </c>
      <c r="C245" s="9" t="inlineStr">
        <is>
          <t>Казань</t>
        </is>
      </c>
      <c r="D245" s="10" t="n">
        <v>212</v>
      </c>
    </row>
    <row r="246">
      <c r="A246" s="9" t="inlineStr">
        <is>
          <t>Коммерческая · Продажа</t>
        </is>
      </c>
      <c r="B246" s="9" t="inlineStr">
        <is>
          <t>Офис</t>
        </is>
      </c>
      <c r="C246" s="9" t="inlineStr">
        <is>
          <t>Красноярск</t>
        </is>
      </c>
      <c r="D246" s="10" t="n">
        <v>156</v>
      </c>
    </row>
    <row r="247">
      <c r="A247" s="9" t="inlineStr">
        <is>
          <t>Коммерческая · Продажа</t>
        </is>
      </c>
      <c r="B247" s="9" t="inlineStr">
        <is>
          <t>Офис</t>
        </is>
      </c>
      <c r="C247" s="9" t="inlineStr">
        <is>
          <t>Нижний Новгород</t>
        </is>
      </c>
      <c r="D247" s="10" t="n">
        <v>179</v>
      </c>
    </row>
    <row r="248">
      <c r="A248" s="9" t="inlineStr">
        <is>
          <t>Коммерческая · Продажа</t>
        </is>
      </c>
      <c r="B248" s="9" t="inlineStr">
        <is>
          <t>Офис</t>
        </is>
      </c>
      <c r="C248" s="9" t="inlineStr">
        <is>
          <t>Челябинск</t>
        </is>
      </c>
      <c r="D248" s="10" t="n">
        <v>110</v>
      </c>
    </row>
    <row r="249">
      <c r="A249" s="9" t="inlineStr">
        <is>
          <t>Коммерческая · Продажа</t>
        </is>
      </c>
      <c r="B249" s="9" t="inlineStr">
        <is>
          <t>Офис</t>
        </is>
      </c>
      <c r="C249" s="9" t="inlineStr">
        <is>
          <t>Уфа</t>
        </is>
      </c>
      <c r="D249" s="10" t="n">
        <v>160</v>
      </c>
    </row>
    <row r="250">
      <c r="A250" s="9" t="inlineStr">
        <is>
          <t>Коммерческая · Продажа</t>
        </is>
      </c>
      <c r="B250" s="9" t="inlineStr">
        <is>
          <t>Офис</t>
        </is>
      </c>
      <c r="C250" s="9" t="inlineStr">
        <is>
          <t>Краснодар</t>
        </is>
      </c>
      <c r="D250" s="10" t="n">
        <v>437</v>
      </c>
    </row>
    <row r="251">
      <c r="A251" s="9" t="inlineStr">
        <is>
          <t>Коммерческая · Продажа</t>
        </is>
      </c>
      <c r="B251" s="9" t="inlineStr">
        <is>
          <t>Офис</t>
        </is>
      </c>
      <c r="C251" s="9" t="inlineStr">
        <is>
          <t>Самара</t>
        </is>
      </c>
      <c r="D251" s="10" t="n">
        <v>205</v>
      </c>
    </row>
    <row r="252">
      <c r="A252" s="9" t="inlineStr">
        <is>
          <t>Коммерческая · Продажа</t>
        </is>
      </c>
      <c r="B252" s="9" t="inlineStr">
        <is>
          <t>Офис</t>
        </is>
      </c>
      <c r="C252" s="9" t="inlineStr">
        <is>
          <t>Ростов-на-Дону</t>
        </is>
      </c>
      <c r="D252" s="10" t="n">
        <v>218</v>
      </c>
    </row>
    <row r="253">
      <c r="A253" s="9" t="inlineStr">
        <is>
          <t>Коммерческая · Продажа</t>
        </is>
      </c>
      <c r="B253" s="9" t="inlineStr">
        <is>
          <t>Офис</t>
        </is>
      </c>
      <c r="C253" s="9" t="inlineStr">
        <is>
          <t>Омск</t>
        </is>
      </c>
      <c r="D253" s="10" t="n">
        <v>180</v>
      </c>
    </row>
    <row r="254">
      <c r="A254" s="9" t="inlineStr">
        <is>
          <t>Коммерческая · Продажа</t>
        </is>
      </c>
      <c r="B254" s="9" t="inlineStr">
        <is>
          <t>Офис</t>
        </is>
      </c>
      <c r="C254" s="9" t="inlineStr">
        <is>
          <t>Воронеж</t>
        </is>
      </c>
      <c r="D254" s="10" t="n">
        <v>105</v>
      </c>
    </row>
    <row r="255">
      <c r="A255" s="9" t="inlineStr">
        <is>
          <t>Коммерческая · Продажа</t>
        </is>
      </c>
      <c r="B255" s="9" t="inlineStr">
        <is>
          <t>Офис</t>
        </is>
      </c>
      <c r="C255" s="9" t="inlineStr">
        <is>
          <t>Пермь</t>
        </is>
      </c>
      <c r="D255" s="10" t="n">
        <v>136</v>
      </c>
    </row>
    <row r="256">
      <c r="A256" s="9" t="inlineStr">
        <is>
          <t>Коммерческая · Продажа</t>
        </is>
      </c>
      <c r="B256" s="9" t="inlineStr">
        <is>
          <t>Офис</t>
        </is>
      </c>
      <c r="C256" s="9" t="inlineStr">
        <is>
          <t>Волгоград</t>
        </is>
      </c>
      <c r="D256" s="10" t="n">
        <v>116</v>
      </c>
    </row>
    <row r="257">
      <c r="A257" s="6" t="inlineStr">
        <is>
          <t>Коммерческая · Продажа</t>
        </is>
      </c>
      <c r="B257" s="7" t="inlineStr">
        <is>
          <t>Торговая площадь</t>
        </is>
      </c>
      <c r="C257" s="6" t="inlineStr">
        <is>
          <t>🇷🇺 Вся Россия</t>
        </is>
      </c>
      <c r="D257" s="8" t="n">
        <v>17528</v>
      </c>
    </row>
    <row r="258">
      <c r="A258" s="9" t="inlineStr">
        <is>
          <t>Коммерческая · Продажа</t>
        </is>
      </c>
      <c r="B258" s="9" t="inlineStr">
        <is>
          <t>Торговая площадь</t>
        </is>
      </c>
      <c r="C258" s="9" t="inlineStr">
        <is>
          <t>Москва</t>
        </is>
      </c>
      <c r="D258" s="10" t="n">
        <v>6639</v>
      </c>
    </row>
    <row r="259">
      <c r="A259" s="9" t="inlineStr">
        <is>
          <t>Коммерческая · Продажа</t>
        </is>
      </c>
      <c r="B259" s="9" t="inlineStr">
        <is>
          <t>Торговая площадь</t>
        </is>
      </c>
      <c r="C259" s="9" t="inlineStr">
        <is>
          <t>Санкт-Петербург</t>
        </is>
      </c>
      <c r="D259" s="10" t="n">
        <v>484</v>
      </c>
    </row>
    <row r="260">
      <c r="A260" s="9" t="inlineStr">
        <is>
          <t>Коммерческая · Продажа</t>
        </is>
      </c>
      <c r="B260" s="9" t="inlineStr">
        <is>
          <t>Торговая площадь</t>
        </is>
      </c>
      <c r="C260" s="9" t="inlineStr">
        <is>
          <t>Новосибирск</t>
        </is>
      </c>
      <c r="D260" s="10" t="n">
        <v>201</v>
      </c>
    </row>
    <row r="261">
      <c r="A261" s="9" t="inlineStr">
        <is>
          <t>Коммерческая · Продажа</t>
        </is>
      </c>
      <c r="B261" s="9" t="inlineStr">
        <is>
          <t>Торговая площадь</t>
        </is>
      </c>
      <c r="C261" s="9" t="inlineStr">
        <is>
          <t>Екатеринбург</t>
        </is>
      </c>
      <c r="D261" s="10" t="n">
        <v>272</v>
      </c>
    </row>
    <row r="262">
      <c r="A262" s="9" t="inlineStr">
        <is>
          <t>Коммерческая · Продажа</t>
        </is>
      </c>
      <c r="B262" s="9" t="inlineStr">
        <is>
          <t>Торговая площадь</t>
        </is>
      </c>
      <c r="C262" s="9" t="inlineStr">
        <is>
          <t>Казань</t>
        </is>
      </c>
      <c r="D262" s="10" t="n">
        <v>108</v>
      </c>
    </row>
    <row r="263">
      <c r="A263" s="9" t="inlineStr">
        <is>
          <t>Коммерческая · Продажа</t>
        </is>
      </c>
      <c r="B263" s="9" t="inlineStr">
        <is>
          <t>Торговая площадь</t>
        </is>
      </c>
      <c r="C263" s="9" t="inlineStr">
        <is>
          <t>Красноярск</t>
        </is>
      </c>
      <c r="D263" s="10" t="n">
        <v>91</v>
      </c>
    </row>
    <row r="264">
      <c r="A264" s="9" t="inlineStr">
        <is>
          <t>Коммерческая · Продажа</t>
        </is>
      </c>
      <c r="B264" s="9" t="inlineStr">
        <is>
          <t>Торговая площадь</t>
        </is>
      </c>
      <c r="C264" s="9" t="inlineStr">
        <is>
          <t>Нижний Новгород</t>
        </is>
      </c>
      <c r="D264" s="10" t="n">
        <v>134</v>
      </c>
    </row>
    <row r="265">
      <c r="A265" s="9" t="inlineStr">
        <is>
          <t>Коммерческая · Продажа</t>
        </is>
      </c>
      <c r="B265" s="9" t="inlineStr">
        <is>
          <t>Торговая площадь</t>
        </is>
      </c>
      <c r="C265" s="9" t="inlineStr">
        <is>
          <t>Челябинск</t>
        </is>
      </c>
      <c r="D265" s="10" t="n">
        <v>94</v>
      </c>
    </row>
    <row r="266">
      <c r="A266" s="9" t="inlineStr">
        <is>
          <t>Коммерческая · Продажа</t>
        </is>
      </c>
      <c r="B266" s="9" t="inlineStr">
        <is>
          <t>Торговая площадь</t>
        </is>
      </c>
      <c r="C266" s="9" t="inlineStr">
        <is>
          <t>Уфа</t>
        </is>
      </c>
      <c r="D266" s="10" t="n">
        <v>64</v>
      </c>
    </row>
    <row r="267">
      <c r="A267" s="9" t="inlineStr">
        <is>
          <t>Коммерческая · Продажа</t>
        </is>
      </c>
      <c r="B267" s="9" t="inlineStr">
        <is>
          <t>Торговая площадь</t>
        </is>
      </c>
      <c r="C267" s="9" t="inlineStr">
        <is>
          <t>Краснодар</t>
        </is>
      </c>
      <c r="D267" s="10" t="n">
        <v>313</v>
      </c>
    </row>
    <row r="268">
      <c r="A268" s="9" t="inlineStr">
        <is>
          <t>Коммерческая · Продажа</t>
        </is>
      </c>
      <c r="B268" s="9" t="inlineStr">
        <is>
          <t>Торговая площадь</t>
        </is>
      </c>
      <c r="C268" s="9" t="inlineStr">
        <is>
          <t>Самара</t>
        </is>
      </c>
      <c r="D268" s="10" t="n">
        <v>288</v>
      </c>
    </row>
    <row r="269">
      <c r="A269" s="9" t="inlineStr">
        <is>
          <t>Коммерческая · Продажа</t>
        </is>
      </c>
      <c r="B269" s="9" t="inlineStr">
        <is>
          <t>Торговая площадь</t>
        </is>
      </c>
      <c r="C269" s="9" t="inlineStr">
        <is>
          <t>Ростов-на-Дону</t>
        </is>
      </c>
      <c r="D269" s="10" t="n">
        <v>246</v>
      </c>
    </row>
    <row r="270">
      <c r="A270" s="9" t="inlineStr">
        <is>
          <t>Коммерческая · Продажа</t>
        </is>
      </c>
      <c r="B270" s="9" t="inlineStr">
        <is>
          <t>Торговая площадь</t>
        </is>
      </c>
      <c r="C270" s="9" t="inlineStr">
        <is>
          <t>Омск</t>
        </is>
      </c>
      <c r="D270" s="10" t="n">
        <v>93</v>
      </c>
    </row>
    <row r="271">
      <c r="A271" s="9" t="inlineStr">
        <is>
          <t>Коммерческая · Продажа</t>
        </is>
      </c>
      <c r="B271" s="9" t="inlineStr">
        <is>
          <t>Торговая площадь</t>
        </is>
      </c>
      <c r="C271" s="9" t="inlineStr">
        <is>
          <t>Воронеж</t>
        </is>
      </c>
      <c r="D271" s="10" t="n">
        <v>79</v>
      </c>
    </row>
    <row r="272">
      <c r="A272" s="9" t="inlineStr">
        <is>
          <t>Коммерческая · Продажа</t>
        </is>
      </c>
      <c r="B272" s="9" t="inlineStr">
        <is>
          <t>Торговая площадь</t>
        </is>
      </c>
      <c r="C272" s="9" t="inlineStr">
        <is>
          <t>Пермь</t>
        </is>
      </c>
      <c r="D272" s="10" t="n">
        <v>94</v>
      </c>
    </row>
    <row r="273">
      <c r="A273" s="9" t="inlineStr">
        <is>
          <t>Коммерческая · Продажа</t>
        </is>
      </c>
      <c r="B273" s="9" t="inlineStr">
        <is>
          <t>Торговая площадь</t>
        </is>
      </c>
      <c r="C273" s="9" t="inlineStr">
        <is>
          <t>Волгоград</t>
        </is>
      </c>
      <c r="D273" s="10" t="n">
        <v>68</v>
      </c>
    </row>
    <row r="274">
      <c r="A274" s="6" t="inlineStr">
        <is>
          <t>Коммерческая · Продажа</t>
        </is>
      </c>
      <c r="B274" s="7" t="inlineStr">
        <is>
          <t>Складское помещение</t>
        </is>
      </c>
      <c r="C274" s="6" t="inlineStr">
        <is>
          <t>🇷🇺 Вся Россия</t>
        </is>
      </c>
      <c r="D274" s="8" t="n">
        <v>6882</v>
      </c>
    </row>
    <row r="275">
      <c r="A275" s="9" t="inlineStr">
        <is>
          <t>Коммерческая · Продажа</t>
        </is>
      </c>
      <c r="B275" s="9" t="inlineStr">
        <is>
          <t>Складское помещение</t>
        </is>
      </c>
      <c r="C275" s="9" t="inlineStr">
        <is>
          <t>Москва</t>
        </is>
      </c>
      <c r="D275" s="10" t="n">
        <v>1385</v>
      </c>
    </row>
    <row r="276">
      <c r="A276" s="9" t="inlineStr">
        <is>
          <t>Коммерческая · Продажа</t>
        </is>
      </c>
      <c r="B276" s="9" t="inlineStr">
        <is>
          <t>Складское помещение</t>
        </is>
      </c>
      <c r="C276" s="9" t="inlineStr">
        <is>
          <t>Санкт-Петербург</t>
        </is>
      </c>
      <c r="D276" s="10" t="n">
        <v>159</v>
      </c>
    </row>
    <row r="277">
      <c r="A277" s="9" t="inlineStr">
        <is>
          <t>Коммерческая · Продажа</t>
        </is>
      </c>
      <c r="B277" s="9" t="inlineStr">
        <is>
          <t>Складское помещение</t>
        </is>
      </c>
      <c r="C277" s="9" t="inlineStr">
        <is>
          <t>Новосибирск</t>
        </is>
      </c>
      <c r="D277" s="10" t="n">
        <v>192</v>
      </c>
    </row>
    <row r="278">
      <c r="A278" s="9" t="inlineStr">
        <is>
          <t>Коммерческая · Продажа</t>
        </is>
      </c>
      <c r="B278" s="9" t="inlineStr">
        <is>
          <t>Складское помещение</t>
        </is>
      </c>
      <c r="C278" s="9" t="inlineStr">
        <is>
          <t>Екатеринбург</t>
        </is>
      </c>
      <c r="D278" s="10" t="n">
        <v>140</v>
      </c>
    </row>
    <row r="279">
      <c r="A279" s="9" t="inlineStr">
        <is>
          <t>Коммерческая · Продажа</t>
        </is>
      </c>
      <c r="B279" s="9" t="inlineStr">
        <is>
          <t>Складское помещение</t>
        </is>
      </c>
      <c r="C279" s="9" t="inlineStr">
        <is>
          <t>Казань</t>
        </is>
      </c>
      <c r="D279" s="10" t="n">
        <v>44</v>
      </c>
    </row>
    <row r="280">
      <c r="A280" s="9" t="inlineStr">
        <is>
          <t>Коммерческая · Продажа</t>
        </is>
      </c>
      <c r="B280" s="9" t="inlineStr">
        <is>
          <t>Складское помещение</t>
        </is>
      </c>
      <c r="C280" s="9" t="inlineStr">
        <is>
          <t>Красноярск</t>
        </is>
      </c>
      <c r="D280" s="10" t="n">
        <v>48</v>
      </c>
    </row>
    <row r="281">
      <c r="A281" s="9" t="inlineStr">
        <is>
          <t>Коммерческая · Продажа</t>
        </is>
      </c>
      <c r="B281" s="9" t="inlineStr">
        <is>
          <t>Складское помещение</t>
        </is>
      </c>
      <c r="C281" s="9" t="inlineStr">
        <is>
          <t>Нижний Новгород</t>
        </is>
      </c>
      <c r="D281" s="10" t="n">
        <v>52</v>
      </c>
    </row>
    <row r="282">
      <c r="A282" s="9" t="inlineStr">
        <is>
          <t>Коммерческая · Продажа</t>
        </is>
      </c>
      <c r="B282" s="9" t="inlineStr">
        <is>
          <t>Складское помещение</t>
        </is>
      </c>
      <c r="C282" s="9" t="inlineStr">
        <is>
          <t>Челябинск</t>
        </is>
      </c>
      <c r="D282" s="10" t="n">
        <v>42</v>
      </c>
    </row>
    <row r="283">
      <c r="A283" s="9" t="inlineStr">
        <is>
          <t>Коммерческая · Продажа</t>
        </is>
      </c>
      <c r="B283" s="9" t="inlineStr">
        <is>
          <t>Складское помещение</t>
        </is>
      </c>
      <c r="C283" s="9" t="inlineStr">
        <is>
          <t>Уфа</t>
        </is>
      </c>
      <c r="D283" s="10" t="n">
        <v>49</v>
      </c>
    </row>
    <row r="284">
      <c r="A284" s="9" t="inlineStr">
        <is>
          <t>Коммерческая · Продажа</t>
        </is>
      </c>
      <c r="B284" s="9" t="inlineStr">
        <is>
          <t>Складское помещение</t>
        </is>
      </c>
      <c r="C284" s="9" t="inlineStr">
        <is>
          <t>Краснодар</t>
        </is>
      </c>
      <c r="D284" s="10" t="n">
        <v>130</v>
      </c>
    </row>
    <row r="285">
      <c r="A285" s="9" t="inlineStr">
        <is>
          <t>Коммерческая · Продажа</t>
        </is>
      </c>
      <c r="B285" s="9" t="inlineStr">
        <is>
          <t>Складское помещение</t>
        </is>
      </c>
      <c r="C285" s="9" t="inlineStr">
        <is>
          <t>Самара</t>
        </is>
      </c>
      <c r="D285" s="10" t="n">
        <v>37</v>
      </c>
    </row>
    <row r="286">
      <c r="A286" s="9" t="inlineStr">
        <is>
          <t>Коммерческая · Продажа</t>
        </is>
      </c>
      <c r="B286" s="9" t="inlineStr">
        <is>
          <t>Складское помещение</t>
        </is>
      </c>
      <c r="C286" s="9" t="inlineStr">
        <is>
          <t>Ростов-на-Дону</t>
        </is>
      </c>
      <c r="D286" s="10" t="n">
        <v>48</v>
      </c>
    </row>
    <row r="287">
      <c r="A287" s="9" t="inlineStr">
        <is>
          <t>Коммерческая · Продажа</t>
        </is>
      </c>
      <c r="B287" s="9" t="inlineStr">
        <is>
          <t>Складское помещение</t>
        </is>
      </c>
      <c r="C287" s="9" t="inlineStr">
        <is>
          <t>Омск</t>
        </is>
      </c>
      <c r="D287" s="10" t="n">
        <v>46</v>
      </c>
    </row>
    <row r="288">
      <c r="A288" s="9" t="inlineStr">
        <is>
          <t>Коммерческая · Продажа</t>
        </is>
      </c>
      <c r="B288" s="9" t="inlineStr">
        <is>
          <t>Складское помещение</t>
        </is>
      </c>
      <c r="C288" s="9" t="inlineStr">
        <is>
          <t>Воронеж</t>
        </is>
      </c>
      <c r="D288" s="10" t="n">
        <v>31</v>
      </c>
    </row>
    <row r="289">
      <c r="A289" s="9" t="inlineStr">
        <is>
          <t>Коммерческая · Продажа</t>
        </is>
      </c>
      <c r="B289" s="9" t="inlineStr">
        <is>
          <t>Складское помещение</t>
        </is>
      </c>
      <c r="C289" s="9" t="inlineStr">
        <is>
          <t>Пермь</t>
        </is>
      </c>
      <c r="D289" s="10" t="n">
        <v>36</v>
      </c>
    </row>
    <row r="290">
      <c r="A290" s="9" t="inlineStr">
        <is>
          <t>Коммерческая · Продажа</t>
        </is>
      </c>
      <c r="B290" s="9" t="inlineStr">
        <is>
          <t>Складское помещение</t>
        </is>
      </c>
      <c r="C290" s="9" t="inlineStr">
        <is>
          <t>Волгоград</t>
        </is>
      </c>
      <c r="D290" s="10" t="n">
        <v>47</v>
      </c>
    </row>
    <row r="291">
      <c r="A291" s="6" t="inlineStr">
        <is>
          <t>Коммерческая · Продажа</t>
        </is>
      </c>
      <c r="B291" s="7" t="inlineStr">
        <is>
          <t>Бизнес (готовый)</t>
        </is>
      </c>
      <c r="C291" s="6" t="inlineStr">
        <is>
          <t>🇷🇺 Вся Россия</t>
        </is>
      </c>
      <c r="D291" s="8" t="n">
        <v>9138</v>
      </c>
    </row>
    <row r="292">
      <c r="A292" s="9" t="inlineStr">
        <is>
          <t>Коммерческая · Продажа</t>
        </is>
      </c>
      <c r="B292" s="9" t="inlineStr">
        <is>
          <t>Бизнес (готовый)</t>
        </is>
      </c>
      <c r="C292" s="9" t="inlineStr">
        <is>
          <t>Москва</t>
        </is>
      </c>
      <c r="D292" s="10" t="n">
        <v>2138</v>
      </c>
    </row>
    <row r="293">
      <c r="A293" s="9" t="inlineStr">
        <is>
          <t>Коммерческая · Продажа</t>
        </is>
      </c>
      <c r="B293" s="9" t="inlineStr">
        <is>
          <t>Бизнес (готовый)</t>
        </is>
      </c>
      <c r="C293" s="9" t="inlineStr">
        <is>
          <t>Санкт-Петербург</t>
        </is>
      </c>
      <c r="D293" s="10" t="n">
        <v>156</v>
      </c>
    </row>
    <row r="294">
      <c r="A294" s="9" t="inlineStr">
        <is>
          <t>Коммерческая · Продажа</t>
        </is>
      </c>
      <c r="B294" s="9" t="inlineStr">
        <is>
          <t>Бизнес (готовый)</t>
        </is>
      </c>
      <c r="C294" s="9" t="inlineStr">
        <is>
          <t>Новосибирск</t>
        </is>
      </c>
      <c r="D294" s="10" t="n">
        <v>180</v>
      </c>
    </row>
    <row r="295">
      <c r="A295" s="9" t="inlineStr">
        <is>
          <t>Коммерческая · Продажа</t>
        </is>
      </c>
      <c r="B295" s="9" t="inlineStr">
        <is>
          <t>Бизнес (готовый)</t>
        </is>
      </c>
      <c r="C295" s="9" t="inlineStr">
        <is>
          <t>Екатеринбург</t>
        </is>
      </c>
      <c r="D295" s="10" t="n">
        <v>100</v>
      </c>
    </row>
    <row r="296">
      <c r="A296" s="9" t="inlineStr">
        <is>
          <t>Коммерческая · Продажа</t>
        </is>
      </c>
      <c r="B296" s="9" t="inlineStr">
        <is>
          <t>Бизнес (готовый)</t>
        </is>
      </c>
      <c r="C296" s="9" t="inlineStr">
        <is>
          <t>Казань</t>
        </is>
      </c>
      <c r="D296" s="10" t="n">
        <v>96</v>
      </c>
    </row>
    <row r="297">
      <c r="A297" s="9" t="inlineStr">
        <is>
          <t>Коммерческая · Продажа</t>
        </is>
      </c>
      <c r="B297" s="9" t="inlineStr">
        <is>
          <t>Бизнес (готовый)</t>
        </is>
      </c>
      <c r="C297" s="9" t="inlineStr">
        <is>
          <t>Красноярск</t>
        </is>
      </c>
      <c r="D297" s="10" t="n">
        <v>64</v>
      </c>
    </row>
    <row r="298">
      <c r="A298" s="9" t="inlineStr">
        <is>
          <t>Коммерческая · Продажа</t>
        </is>
      </c>
      <c r="B298" s="9" t="inlineStr">
        <is>
          <t>Бизнес (готовый)</t>
        </is>
      </c>
      <c r="C298" s="9" t="inlineStr">
        <is>
          <t>Нижний Новгород</t>
        </is>
      </c>
      <c r="D298" s="10" t="n">
        <v>79</v>
      </c>
    </row>
    <row r="299">
      <c r="A299" s="9" t="inlineStr">
        <is>
          <t>Коммерческая · Продажа</t>
        </is>
      </c>
      <c r="B299" s="9" t="inlineStr">
        <is>
          <t>Бизнес (готовый)</t>
        </is>
      </c>
      <c r="C299" s="9" t="inlineStr">
        <is>
          <t>Челябинск</t>
        </is>
      </c>
      <c r="D299" s="10" t="n">
        <v>57</v>
      </c>
    </row>
    <row r="300">
      <c r="A300" s="9" t="inlineStr">
        <is>
          <t>Коммерческая · Продажа</t>
        </is>
      </c>
      <c r="B300" s="9" t="inlineStr">
        <is>
          <t>Бизнес (готовый)</t>
        </is>
      </c>
      <c r="C300" s="9" t="inlineStr">
        <is>
          <t>Уфа</t>
        </is>
      </c>
      <c r="D300" s="10" t="n">
        <v>55</v>
      </c>
    </row>
    <row r="301">
      <c r="A301" s="9" t="inlineStr">
        <is>
          <t>Коммерческая · Продажа</t>
        </is>
      </c>
      <c r="B301" s="9" t="inlineStr">
        <is>
          <t>Бизнес (готовый)</t>
        </is>
      </c>
      <c r="C301" s="9" t="inlineStr">
        <is>
          <t>Краснодар</t>
        </is>
      </c>
      <c r="D301" s="10" t="n">
        <v>128</v>
      </c>
    </row>
    <row r="302">
      <c r="A302" s="9" t="inlineStr">
        <is>
          <t>Коммерческая · Продажа</t>
        </is>
      </c>
      <c r="B302" s="9" t="inlineStr">
        <is>
          <t>Бизнес (готовый)</t>
        </is>
      </c>
      <c r="C302" s="9" t="inlineStr">
        <is>
          <t>Самара</t>
        </is>
      </c>
      <c r="D302" s="10" t="n">
        <v>56</v>
      </c>
    </row>
    <row r="303">
      <c r="A303" s="9" t="inlineStr">
        <is>
          <t>Коммерческая · Продажа</t>
        </is>
      </c>
      <c r="B303" s="9" t="inlineStr">
        <is>
          <t>Бизнес (готовый)</t>
        </is>
      </c>
      <c r="C303" s="9" t="inlineStr">
        <is>
          <t>Ростов-на-Дону</t>
        </is>
      </c>
      <c r="D303" s="10" t="n">
        <v>97</v>
      </c>
    </row>
    <row r="304">
      <c r="A304" s="9" t="inlineStr">
        <is>
          <t>Коммерческая · Продажа</t>
        </is>
      </c>
      <c r="B304" s="9" t="inlineStr">
        <is>
          <t>Бизнес (готовый)</t>
        </is>
      </c>
      <c r="C304" s="9" t="inlineStr">
        <is>
          <t>Омск</t>
        </is>
      </c>
      <c r="D304" s="10" t="n">
        <v>62</v>
      </c>
    </row>
    <row r="305">
      <c r="A305" s="9" t="inlineStr">
        <is>
          <t>Коммерческая · Продажа</t>
        </is>
      </c>
      <c r="B305" s="9" t="inlineStr">
        <is>
          <t>Бизнес (готовый)</t>
        </is>
      </c>
      <c r="C305" s="9" t="inlineStr">
        <is>
          <t>Воронеж</t>
        </is>
      </c>
      <c r="D305" s="10" t="n">
        <v>52</v>
      </c>
    </row>
    <row r="306">
      <c r="A306" s="9" t="inlineStr">
        <is>
          <t>Коммерческая · Продажа</t>
        </is>
      </c>
      <c r="B306" s="9" t="inlineStr">
        <is>
          <t>Бизнес (готовый)</t>
        </is>
      </c>
      <c r="C306" s="9" t="inlineStr">
        <is>
          <t>Пермь</t>
        </is>
      </c>
      <c r="D306" s="10" t="n">
        <v>36</v>
      </c>
    </row>
    <row r="307">
      <c r="A307" s="9" t="inlineStr">
        <is>
          <t>Коммерческая · Продажа</t>
        </is>
      </c>
      <c r="B307" s="9" t="inlineStr">
        <is>
          <t>Бизнес (готовый)</t>
        </is>
      </c>
      <c r="C307" s="9" t="inlineStr">
        <is>
          <t>Волгоград</t>
        </is>
      </c>
      <c r="D307" s="10" t="n">
        <v>40</v>
      </c>
    </row>
    <row r="308">
      <c r="A308" s="11" t="inlineStr">
        <is>
          <t>Коммерческая · Спец-объекты</t>
        </is>
      </c>
      <c r="B308" s="12" t="inlineStr">
        <is>
          <t>Бизнес-центры</t>
        </is>
      </c>
      <c r="C308" s="13" t="inlineStr">
        <is>
          <t>Москва</t>
        </is>
      </c>
      <c r="D308" s="14" t="n">
        <v>14983</v>
      </c>
    </row>
    <row r="309">
      <c r="A309" s="9" t="inlineStr">
        <is>
          <t>Коммерческая · Спец-объекты</t>
        </is>
      </c>
      <c r="B309" s="9" t="inlineStr">
        <is>
          <t>Бизнес-центры</t>
        </is>
      </c>
      <c r="C309" s="9" t="inlineStr">
        <is>
          <t>Санкт-Петербург</t>
        </is>
      </c>
      <c r="D309" s="10" t="n">
        <v>2584</v>
      </c>
    </row>
    <row r="310">
      <c r="A310" s="9" t="inlineStr">
        <is>
          <t>Коммерческая · Спец-объекты</t>
        </is>
      </c>
      <c r="B310" s="9" t="inlineStr">
        <is>
          <t>Бизнес-центры</t>
        </is>
      </c>
      <c r="C310" s="9" t="inlineStr">
        <is>
          <t>Новосибирск</t>
        </is>
      </c>
      <c r="D310" s="10" t="n">
        <v>371</v>
      </c>
    </row>
    <row r="311">
      <c r="A311" s="9" t="inlineStr">
        <is>
          <t>Коммерческая · Спец-объекты</t>
        </is>
      </c>
      <c r="B311" s="9" t="inlineStr">
        <is>
          <t>Бизнес-центры</t>
        </is>
      </c>
      <c r="C311" s="9" t="inlineStr">
        <is>
          <t>Екатеринбург</t>
        </is>
      </c>
      <c r="D311" s="10" t="n">
        <v>112</v>
      </c>
    </row>
    <row r="312">
      <c r="A312" s="9" t="inlineStr">
        <is>
          <t>Коммерческая · Спец-объекты</t>
        </is>
      </c>
      <c r="B312" s="9" t="inlineStr">
        <is>
          <t>Бизнес-центры</t>
        </is>
      </c>
      <c r="C312" s="9" t="inlineStr">
        <is>
          <t>Казань</t>
        </is>
      </c>
      <c r="D312" s="10" t="n">
        <v>236</v>
      </c>
    </row>
    <row r="313">
      <c r="A313" s="9" t="inlineStr">
        <is>
          <t>Коммерческая · Спец-объекты</t>
        </is>
      </c>
      <c r="B313" s="9" t="inlineStr">
        <is>
          <t>Бизнес-центры</t>
        </is>
      </c>
      <c r="C313" s="9" t="inlineStr">
        <is>
          <t>Красноярск</t>
        </is>
      </c>
      <c r="D313" s="10" t="n">
        <v>63</v>
      </c>
    </row>
    <row r="314">
      <c r="A314" s="9" t="inlineStr">
        <is>
          <t>Коммерческая · Спец-объекты</t>
        </is>
      </c>
      <c r="B314" s="9" t="inlineStr">
        <is>
          <t>Бизнес-центры</t>
        </is>
      </c>
      <c r="C314" s="9" t="inlineStr">
        <is>
          <t>Нижний Новгород</t>
        </is>
      </c>
      <c r="D314" s="10" t="n">
        <v>265</v>
      </c>
    </row>
    <row r="315">
      <c r="A315" s="9" t="inlineStr">
        <is>
          <t>Коммерческая · Спец-объекты</t>
        </is>
      </c>
      <c r="B315" s="9" t="inlineStr">
        <is>
          <t>Бизнес-центры</t>
        </is>
      </c>
      <c r="C315" s="9" t="inlineStr">
        <is>
          <t>Челябинск</t>
        </is>
      </c>
      <c r="D315" s="10" t="n">
        <v>84</v>
      </c>
    </row>
    <row r="316">
      <c r="A316" s="9" t="inlineStr">
        <is>
          <t>Коммерческая · Спец-объекты</t>
        </is>
      </c>
      <c r="B316" s="9" t="inlineStr">
        <is>
          <t>Бизнес-центры</t>
        </is>
      </c>
      <c r="C316" s="9" t="inlineStr">
        <is>
          <t>Уфа</t>
        </is>
      </c>
      <c r="D316" s="10" t="n">
        <v>68</v>
      </c>
    </row>
    <row r="317">
      <c r="A317" s="9" t="inlineStr">
        <is>
          <t>Коммерческая · Спец-объекты</t>
        </is>
      </c>
      <c r="B317" s="9" t="inlineStr">
        <is>
          <t>Бизнес-центры</t>
        </is>
      </c>
      <c r="C317" s="9" t="inlineStr">
        <is>
          <t>Краснодар</t>
        </is>
      </c>
      <c r="D317" s="10" t="n">
        <v>140</v>
      </c>
    </row>
    <row r="318">
      <c r="A318" s="9" t="inlineStr">
        <is>
          <t>Коммерческая · Спец-объекты</t>
        </is>
      </c>
      <c r="B318" s="9" t="inlineStr">
        <is>
          <t>Бизнес-центры</t>
        </is>
      </c>
      <c r="C318" s="9" t="inlineStr">
        <is>
          <t>Самара</t>
        </is>
      </c>
      <c r="D318" s="10" t="n">
        <v>206</v>
      </c>
    </row>
    <row r="319">
      <c r="A319" s="9" t="inlineStr">
        <is>
          <t>Коммерческая · Спец-объекты</t>
        </is>
      </c>
      <c r="B319" s="9" t="inlineStr">
        <is>
          <t>Бизнес-центры</t>
        </is>
      </c>
      <c r="C319" s="9" t="inlineStr">
        <is>
          <t>Ростов-на-Дону</t>
        </is>
      </c>
      <c r="D319" s="10" t="n">
        <v>111</v>
      </c>
    </row>
    <row r="320">
      <c r="A320" s="9" t="inlineStr">
        <is>
          <t>Коммерческая · Спец-объекты</t>
        </is>
      </c>
      <c r="B320" s="9" t="inlineStr">
        <is>
          <t>Бизнес-центры</t>
        </is>
      </c>
      <c r="C320" s="9" t="inlineStr">
        <is>
          <t>Омск</t>
        </is>
      </c>
      <c r="D320" s="10" t="n">
        <v>86</v>
      </c>
    </row>
    <row r="321">
      <c r="A321" s="9" t="inlineStr">
        <is>
          <t>Коммерческая · Спец-объекты</t>
        </is>
      </c>
      <c r="B321" s="9" t="inlineStr">
        <is>
          <t>Бизнес-центры</t>
        </is>
      </c>
      <c r="C321" s="9" t="inlineStr">
        <is>
          <t>Воронеж</t>
        </is>
      </c>
      <c r="D321" s="10" t="n">
        <v>160</v>
      </c>
    </row>
    <row r="322">
      <c r="A322" s="9" t="inlineStr">
        <is>
          <t>Коммерческая · Спец-объекты</t>
        </is>
      </c>
      <c r="B322" s="9" t="inlineStr">
        <is>
          <t>Бизнес-центры</t>
        </is>
      </c>
      <c r="C322" s="9" t="inlineStr">
        <is>
          <t>Пермь</t>
        </is>
      </c>
      <c r="D322" s="10" t="n">
        <v>78</v>
      </c>
    </row>
    <row r="323">
      <c r="A323" s="9" t="inlineStr">
        <is>
          <t>Коммерческая · Спец-объекты</t>
        </is>
      </c>
      <c r="B323" s="9" t="inlineStr">
        <is>
          <t>Бизнес-центры</t>
        </is>
      </c>
      <c r="C323" s="9" t="inlineStr">
        <is>
          <t>Волгоград</t>
        </is>
      </c>
      <c r="D323" s="10" t="n">
        <v>77</v>
      </c>
    </row>
    <row r="324">
      <c r="A324" s="11" t="inlineStr">
        <is>
          <t>Коммерческая · Спец-объекты</t>
        </is>
      </c>
      <c r="B324" s="12" t="inlineStr">
        <is>
          <t>Торговые центры</t>
        </is>
      </c>
      <c r="C324" s="13" t="inlineStr">
        <is>
          <t>Москва</t>
        </is>
      </c>
      <c r="D324" s="14" t="n">
        <v>2890</v>
      </c>
    </row>
    <row r="325">
      <c r="A325" s="9" t="inlineStr">
        <is>
          <t>Коммерческая · Спец-объекты</t>
        </is>
      </c>
      <c r="B325" s="9" t="inlineStr">
        <is>
          <t>Торговые центры</t>
        </is>
      </c>
      <c r="C325" s="9" t="inlineStr">
        <is>
          <t>Санкт-Петербург</t>
        </is>
      </c>
      <c r="D325" s="10" t="n">
        <v>434</v>
      </c>
    </row>
    <row r="326">
      <c r="A326" s="9" t="inlineStr">
        <is>
          <t>Коммерческая · Спец-объекты</t>
        </is>
      </c>
      <c r="B326" s="9" t="inlineStr">
        <is>
          <t>Торговые центры</t>
        </is>
      </c>
      <c r="C326" s="9" t="inlineStr">
        <is>
          <t>Новосибирск</t>
        </is>
      </c>
      <c r="D326" s="10" t="n">
        <v>127</v>
      </c>
    </row>
    <row r="327">
      <c r="A327" s="9" t="inlineStr">
        <is>
          <t>Коммерческая · Спец-объекты</t>
        </is>
      </c>
      <c r="B327" s="9" t="inlineStr">
        <is>
          <t>Торговые центры</t>
        </is>
      </c>
      <c r="C327" s="9" t="inlineStr">
        <is>
          <t>Екатеринбург</t>
        </is>
      </c>
      <c r="D327" s="10" t="n">
        <v>35</v>
      </c>
    </row>
    <row r="328">
      <c r="A328" s="9" t="inlineStr">
        <is>
          <t>Коммерческая · Спец-объекты</t>
        </is>
      </c>
      <c r="B328" s="9" t="inlineStr">
        <is>
          <t>Торговые центры</t>
        </is>
      </c>
      <c r="C328" s="9" t="inlineStr">
        <is>
          <t>Казань</t>
        </is>
      </c>
      <c r="D328" s="10" t="n">
        <v>94</v>
      </c>
    </row>
    <row r="329">
      <c r="A329" s="9" t="inlineStr">
        <is>
          <t>Коммерческая · Спец-объекты</t>
        </is>
      </c>
      <c r="B329" s="9" t="inlineStr">
        <is>
          <t>Торговые центры</t>
        </is>
      </c>
      <c r="C329" s="9" t="inlineStr">
        <is>
          <t>Красноярск</t>
        </is>
      </c>
      <c r="D329" s="10" t="n">
        <v>34</v>
      </c>
    </row>
    <row r="330">
      <c r="A330" s="9" t="inlineStr">
        <is>
          <t>Коммерческая · Спец-объекты</t>
        </is>
      </c>
      <c r="B330" s="9" t="inlineStr">
        <is>
          <t>Торговые центры</t>
        </is>
      </c>
      <c r="C330" s="9" t="inlineStr">
        <is>
          <t>Нижний Новгород</t>
        </is>
      </c>
      <c r="D330" s="10" t="n">
        <v>80</v>
      </c>
    </row>
    <row r="331">
      <c r="A331" s="9" t="inlineStr">
        <is>
          <t>Коммерческая · Спец-объекты</t>
        </is>
      </c>
      <c r="B331" s="9" t="inlineStr">
        <is>
          <t>Торговые центры</t>
        </is>
      </c>
      <c r="C331" s="9" t="inlineStr">
        <is>
          <t>Челябинск</t>
        </is>
      </c>
      <c r="D331" s="10" t="n">
        <v>75</v>
      </c>
    </row>
    <row r="332">
      <c r="A332" s="9" t="inlineStr">
        <is>
          <t>Коммерческая · Спец-объекты</t>
        </is>
      </c>
      <c r="B332" s="9" t="inlineStr">
        <is>
          <t>Торговые центры</t>
        </is>
      </c>
      <c r="C332" s="9" t="inlineStr">
        <is>
          <t>Уфа</t>
        </is>
      </c>
      <c r="D332" s="10" t="n">
        <v>31</v>
      </c>
    </row>
    <row r="333">
      <c r="A333" s="9" t="inlineStr">
        <is>
          <t>Коммерческая · Спец-объекты</t>
        </is>
      </c>
      <c r="B333" s="9" t="inlineStr">
        <is>
          <t>Торговые центры</t>
        </is>
      </c>
      <c r="C333" s="9" t="inlineStr">
        <is>
          <t>Краснодар</t>
        </is>
      </c>
      <c r="D333" s="10" t="n">
        <v>48</v>
      </c>
    </row>
    <row r="334">
      <c r="A334" s="9" t="inlineStr">
        <is>
          <t>Коммерческая · Спец-объекты</t>
        </is>
      </c>
      <c r="B334" s="9" t="inlineStr">
        <is>
          <t>Торговые центры</t>
        </is>
      </c>
      <c r="C334" s="9" t="inlineStr">
        <is>
          <t>Самара</t>
        </is>
      </c>
      <c r="D334" s="10" t="n">
        <v>119</v>
      </c>
    </row>
    <row r="335">
      <c r="A335" s="9" t="inlineStr">
        <is>
          <t>Коммерческая · Спец-объекты</t>
        </is>
      </c>
      <c r="B335" s="9" t="inlineStr">
        <is>
          <t>Торговые центры</t>
        </is>
      </c>
      <c r="C335" s="9" t="inlineStr">
        <is>
          <t>Ростов-на-Дону</t>
        </is>
      </c>
      <c r="D335" s="10" t="n">
        <v>67</v>
      </c>
    </row>
    <row r="336">
      <c r="A336" s="9" t="inlineStr">
        <is>
          <t>Коммерческая · Спец-объекты</t>
        </is>
      </c>
      <c r="B336" s="9" t="inlineStr">
        <is>
          <t>Торговые центры</t>
        </is>
      </c>
      <c r="C336" s="9" t="inlineStr">
        <is>
          <t>Омск</t>
        </is>
      </c>
      <c r="D336" s="10" t="n">
        <v>71</v>
      </c>
    </row>
    <row r="337">
      <c r="A337" s="9" t="inlineStr">
        <is>
          <t>Коммерческая · Спец-объекты</t>
        </is>
      </c>
      <c r="B337" s="9" t="inlineStr">
        <is>
          <t>Торговые центры</t>
        </is>
      </c>
      <c r="C337" s="9" t="inlineStr">
        <is>
          <t>Воронеж</t>
        </is>
      </c>
      <c r="D337" s="10" t="n">
        <v>53</v>
      </c>
    </row>
    <row r="338">
      <c r="A338" s="9" t="inlineStr">
        <is>
          <t>Коммерческая · Спец-объекты</t>
        </is>
      </c>
      <c r="B338" s="9" t="inlineStr">
        <is>
          <t>Торговые центры</t>
        </is>
      </c>
      <c r="C338" s="9" t="inlineStr">
        <is>
          <t>Пермь</t>
        </is>
      </c>
      <c r="D338" s="10" t="n">
        <v>102</v>
      </c>
    </row>
    <row r="339">
      <c r="A339" s="9" t="inlineStr">
        <is>
          <t>Коммерческая · Спец-объекты</t>
        </is>
      </c>
      <c r="B339" s="9" t="inlineStr">
        <is>
          <t>Торговые центры</t>
        </is>
      </c>
      <c r="C339" s="9" t="inlineStr">
        <is>
          <t>Волгоград</t>
        </is>
      </c>
      <c r="D339" s="10" t="n">
        <v>18</v>
      </c>
    </row>
    <row r="340">
      <c r="A340" s="11" t="inlineStr">
        <is>
          <t>Коммерческая · Спец-объекты</t>
        </is>
      </c>
      <c r="B340" s="12" t="inlineStr">
        <is>
          <t>Складские комплексы</t>
        </is>
      </c>
      <c r="C340" s="13" t="inlineStr">
        <is>
          <t>Москва</t>
        </is>
      </c>
      <c r="D340" s="14" t="n">
        <v>1028</v>
      </c>
    </row>
    <row r="341">
      <c r="A341" s="9" t="inlineStr">
        <is>
          <t>Коммерческая · Спец-объекты</t>
        </is>
      </c>
      <c r="B341" s="9" t="inlineStr">
        <is>
          <t>Складские комплексы</t>
        </is>
      </c>
      <c r="C341" s="9" t="inlineStr">
        <is>
          <t>Санкт-Петербург</t>
        </is>
      </c>
      <c r="D341" s="10" t="n">
        <v>298</v>
      </c>
    </row>
    <row r="342">
      <c r="A342" s="9" t="inlineStr">
        <is>
          <t>Коммерческая · Спец-объекты</t>
        </is>
      </c>
      <c r="B342" s="9" t="inlineStr">
        <is>
          <t>Складские комплексы</t>
        </is>
      </c>
      <c r="C342" s="9" t="inlineStr">
        <is>
          <t>Новосибирск</t>
        </is>
      </c>
      <c r="D342" s="10" t="n">
        <v>96</v>
      </c>
    </row>
    <row r="343">
      <c r="A343" s="9" t="inlineStr">
        <is>
          <t>Коммерческая · Спец-объекты</t>
        </is>
      </c>
      <c r="B343" s="9" t="inlineStr">
        <is>
          <t>Складские комплексы</t>
        </is>
      </c>
      <c r="C343" s="9" t="inlineStr">
        <is>
          <t>Екатеринбург</t>
        </is>
      </c>
      <c r="D343" s="10" t="n">
        <v>16</v>
      </c>
    </row>
    <row r="344">
      <c r="A344" s="9" t="inlineStr">
        <is>
          <t>Коммерческая · Спец-объекты</t>
        </is>
      </c>
      <c r="B344" s="9" t="inlineStr">
        <is>
          <t>Складские комплексы</t>
        </is>
      </c>
      <c r="C344" s="9" t="inlineStr">
        <is>
          <t>Казань</t>
        </is>
      </c>
      <c r="D344" s="10" t="n">
        <v>71</v>
      </c>
    </row>
    <row r="345">
      <c r="A345" s="9" t="inlineStr">
        <is>
          <t>Коммерческая · Спец-объекты</t>
        </is>
      </c>
      <c r="B345" s="9" t="inlineStr">
        <is>
          <t>Складские комплексы</t>
        </is>
      </c>
      <c r="C345" s="9" t="inlineStr">
        <is>
          <t>Красноярск</t>
        </is>
      </c>
      <c r="D345" s="10" t="n">
        <v>9</v>
      </c>
    </row>
    <row r="346">
      <c r="A346" s="9" t="inlineStr">
        <is>
          <t>Коммерческая · Спец-объекты</t>
        </is>
      </c>
      <c r="B346" s="9" t="inlineStr">
        <is>
          <t>Складские комплексы</t>
        </is>
      </c>
      <c r="C346" s="9" t="inlineStr">
        <is>
          <t>Нижний Новгород</t>
        </is>
      </c>
      <c r="D346" s="10" t="n">
        <v>64</v>
      </c>
    </row>
    <row r="347">
      <c r="A347" s="9" t="inlineStr">
        <is>
          <t>Коммерческая · Спец-объекты</t>
        </is>
      </c>
      <c r="B347" s="9" t="inlineStr">
        <is>
          <t>Складские комплексы</t>
        </is>
      </c>
      <c r="C347" s="9" t="inlineStr">
        <is>
          <t>Челябинск</t>
        </is>
      </c>
      <c r="D347" s="10" t="n">
        <v>51</v>
      </c>
    </row>
    <row r="348">
      <c r="A348" s="9" t="inlineStr">
        <is>
          <t>Коммерческая · Спец-объекты</t>
        </is>
      </c>
      <c r="B348" s="9" t="inlineStr">
        <is>
          <t>Складские комплексы</t>
        </is>
      </c>
      <c r="C348" s="9" t="inlineStr">
        <is>
          <t>Уфа</t>
        </is>
      </c>
      <c r="D348" s="10" t="n">
        <v>16</v>
      </c>
    </row>
    <row r="349">
      <c r="A349" s="9" t="inlineStr">
        <is>
          <t>Коммерческая · Спец-объекты</t>
        </is>
      </c>
      <c r="B349" s="9" t="inlineStr">
        <is>
          <t>Складские комплексы</t>
        </is>
      </c>
      <c r="C349" s="9" t="inlineStr">
        <is>
          <t>Краснодар</t>
        </is>
      </c>
      <c r="D349" s="10" t="n">
        <v>18</v>
      </c>
    </row>
    <row r="350">
      <c r="A350" s="9" t="inlineStr">
        <is>
          <t>Коммерческая · Спец-объекты</t>
        </is>
      </c>
      <c r="B350" s="9" t="inlineStr">
        <is>
          <t>Складские комплексы</t>
        </is>
      </c>
      <c r="C350" s="9" t="inlineStr">
        <is>
          <t>Самара</t>
        </is>
      </c>
      <c r="D350" s="10" t="n">
        <v>27</v>
      </c>
    </row>
    <row r="351">
      <c r="A351" s="9" t="inlineStr">
        <is>
          <t>Коммерческая · Спец-объекты</t>
        </is>
      </c>
      <c r="B351" s="9" t="inlineStr">
        <is>
          <t>Складские комплексы</t>
        </is>
      </c>
      <c r="C351" s="9" t="inlineStr">
        <is>
          <t>Ростов-на-Дону</t>
        </is>
      </c>
      <c r="D351" s="10" t="n">
        <v>35</v>
      </c>
    </row>
    <row r="352">
      <c r="A352" s="9" t="inlineStr">
        <is>
          <t>Коммерческая · Спец-объекты</t>
        </is>
      </c>
      <c r="B352" s="9" t="inlineStr">
        <is>
          <t>Складские комплексы</t>
        </is>
      </c>
      <c r="C352" s="9" t="inlineStr">
        <is>
          <t>Омск</t>
        </is>
      </c>
      <c r="D352" s="10" t="n">
        <v>14</v>
      </c>
    </row>
    <row r="353">
      <c r="A353" s="9" t="inlineStr">
        <is>
          <t>Коммерческая · Спец-объекты</t>
        </is>
      </c>
      <c r="B353" s="9" t="inlineStr">
        <is>
          <t>Складские комплексы</t>
        </is>
      </c>
      <c r="C353" s="9" t="inlineStr">
        <is>
          <t>Воронеж</t>
        </is>
      </c>
      <c r="D353" s="10" t="n">
        <v>6</v>
      </c>
    </row>
    <row r="354">
      <c r="A354" s="9" t="inlineStr">
        <is>
          <t>Коммерческая · Спец-объекты</t>
        </is>
      </c>
      <c r="B354" s="9" t="inlineStr">
        <is>
          <t>Складские комплексы</t>
        </is>
      </c>
      <c r="C354" s="9" t="inlineStr">
        <is>
          <t>Пермь</t>
        </is>
      </c>
      <c r="D354" s="10" t="n">
        <v>13</v>
      </c>
    </row>
    <row r="355">
      <c r="A355" s="9" t="inlineStr">
        <is>
          <t>Коммерческая · Спец-объекты</t>
        </is>
      </c>
      <c r="B355" s="9" t="inlineStr">
        <is>
          <t>Складские комплексы</t>
        </is>
      </c>
      <c r="C355" s="9" t="inlineStr">
        <is>
          <t>Волгоград</t>
        </is>
      </c>
      <c r="D355" s="10" t="n">
        <v>5</v>
      </c>
    </row>
    <row r="357">
      <c r="A357" s="1" t="inlineStr">
        <is>
          <t>Итого (по фильтру)</t>
        </is>
      </c>
      <c r="C357" s="2" t="inlineStr">
        <is>
          <t>← сумма видимых строк (без «Вся Россия»)</t>
        </is>
      </c>
      <c r="D357" s="3">
        <f>SUMPRODUCT(SUBTOTAL(109,OFFSET(D$2,ROW(D$2:D$355)-ROW(D$2),0)),--($C$2:$C$355&lt;&gt;"🇷🇺 Вся Россия"))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33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D1533" sqref="D1533"/>
    </sheetView>
  </sheetViews>
  <sheetFormatPr baseColWidth="8" defaultRowHeight="14.5"/>
  <cols>
    <col width="26" customWidth="1" min="1" max="1"/>
    <col width="30" customWidth="1" min="2" max="2"/>
    <col width="22" customWidth="1" min="3" max="3"/>
    <col width="12" customWidth="1" min="4" max="4"/>
  </cols>
  <sheetData>
    <row r="1">
      <c r="A1" s="4" t="inlineStr">
        <is>
          <t>Группа</t>
        </is>
      </c>
      <c r="B1" s="4" t="inlineStr">
        <is>
          <t>Категория</t>
        </is>
      </c>
      <c r="C1" s="4" t="inlineStr">
        <is>
          <t>Регион</t>
        </is>
      </c>
      <c r="D1" s="5" t="inlineStr">
        <is>
          <t>2026-06-10</t>
        </is>
      </c>
    </row>
    <row r="2">
      <c r="A2" s="11" t="inlineStr">
        <is>
          <t>Аренда квартир</t>
        </is>
      </c>
      <c r="B2" s="12" t="inlineStr">
        <is>
          <t>Длительная: Квартиры</t>
        </is>
      </c>
      <c r="C2" s="13" t="inlineStr">
        <is>
          <t>Москва</t>
        </is>
      </c>
      <c r="D2" s="14" t="n">
        <v>27241</v>
      </c>
    </row>
    <row r="3">
      <c r="A3" s="9" t="inlineStr">
        <is>
          <t>Аренда квартир</t>
        </is>
      </c>
      <c r="B3" s="9" t="inlineStr">
        <is>
          <t>Длительная: Квартиры</t>
        </is>
      </c>
      <c r="C3" s="9" t="inlineStr">
        <is>
          <t>Санкт-Петербург</t>
        </is>
      </c>
      <c r="D3" s="10" t="n">
        <v>9781</v>
      </c>
    </row>
    <row r="4">
      <c r="A4" s="9" t="inlineStr">
        <is>
          <t>Аренда квартир</t>
        </is>
      </c>
      <c r="B4" s="9" t="inlineStr">
        <is>
          <t>Длительная: Квартиры</t>
        </is>
      </c>
      <c r="C4" s="9" t="inlineStr">
        <is>
          <t>Республика Адыгея</t>
        </is>
      </c>
      <c r="D4" s="10" t="n">
        <v>372</v>
      </c>
    </row>
    <row r="5">
      <c r="A5" s="9" t="inlineStr">
        <is>
          <t>Аренда квартир</t>
        </is>
      </c>
      <c r="B5" s="9" t="inlineStr">
        <is>
          <t>Длительная: Квартиры</t>
        </is>
      </c>
      <c r="C5" s="9" t="inlineStr">
        <is>
          <t>Республика Алтай</t>
        </is>
      </c>
      <c r="D5" s="10" t="n">
        <v>27</v>
      </c>
    </row>
    <row r="6">
      <c r="A6" s="9" t="inlineStr">
        <is>
          <t>Аренда квартир</t>
        </is>
      </c>
      <c r="B6" s="9" t="inlineStr">
        <is>
          <t>Длительная: Квартиры</t>
        </is>
      </c>
      <c r="C6" s="9" t="inlineStr">
        <is>
          <t>Алтайский край</t>
        </is>
      </c>
      <c r="D6" s="10" t="n">
        <v>570</v>
      </c>
    </row>
    <row r="7">
      <c r="A7" s="9" t="inlineStr">
        <is>
          <t>Аренда квартир</t>
        </is>
      </c>
      <c r="B7" s="9" t="inlineStr">
        <is>
          <t>Длительная: Квартиры</t>
        </is>
      </c>
      <c r="C7" s="9" t="inlineStr">
        <is>
          <t>Амурская область</t>
        </is>
      </c>
      <c r="D7" s="10" t="n">
        <v>107</v>
      </c>
    </row>
    <row r="8">
      <c r="A8" s="9" t="inlineStr">
        <is>
          <t>Аренда квартир</t>
        </is>
      </c>
      <c r="B8" s="9" t="inlineStr">
        <is>
          <t>Длительная: Квартиры</t>
        </is>
      </c>
      <c r="C8" s="9" t="inlineStr">
        <is>
          <t>Архангельская область</t>
        </is>
      </c>
      <c r="D8" s="10" t="n">
        <v>173</v>
      </c>
    </row>
    <row r="9">
      <c r="A9" s="9" t="inlineStr">
        <is>
          <t>Аренда квартир</t>
        </is>
      </c>
      <c r="B9" s="9" t="inlineStr">
        <is>
          <t>Длительная: Квартиры</t>
        </is>
      </c>
      <c r="C9" s="9" t="inlineStr">
        <is>
          <t>Астраханская область</t>
        </is>
      </c>
      <c r="D9" s="10" t="n">
        <v>358</v>
      </c>
    </row>
    <row r="10">
      <c r="A10" s="9" t="inlineStr">
        <is>
          <t>Аренда квартир</t>
        </is>
      </c>
      <c r="B10" s="9" t="inlineStr">
        <is>
          <t>Длительная: Квартиры</t>
        </is>
      </c>
      <c r="C10" s="9" t="inlineStr">
        <is>
          <t>Республика Башкортостан</t>
        </is>
      </c>
      <c r="D10" s="10" t="n">
        <v>2052</v>
      </c>
    </row>
    <row r="11">
      <c r="A11" s="9" t="inlineStr">
        <is>
          <t>Аренда квартир</t>
        </is>
      </c>
      <c r="B11" s="9" t="inlineStr">
        <is>
          <t>Длительная: Квартиры</t>
        </is>
      </c>
      <c r="C11" s="9" t="inlineStr">
        <is>
          <t>Белгородская область</t>
        </is>
      </c>
      <c r="D11" s="10" t="n">
        <v>4156</v>
      </c>
    </row>
    <row r="12">
      <c r="A12" s="9" t="inlineStr">
        <is>
          <t>Аренда квартир</t>
        </is>
      </c>
      <c r="B12" s="9" t="inlineStr">
        <is>
          <t>Длительная: Квартиры</t>
        </is>
      </c>
      <c r="C12" s="9" t="inlineStr">
        <is>
          <t>Брянская область</t>
        </is>
      </c>
      <c r="D12" s="10" t="n">
        <v>399</v>
      </c>
    </row>
    <row r="13">
      <c r="A13" s="9" t="inlineStr">
        <is>
          <t>Аренда квартир</t>
        </is>
      </c>
      <c r="B13" s="9" t="inlineStr">
        <is>
          <t>Длительная: Квартиры</t>
        </is>
      </c>
      <c r="C13" s="9" t="inlineStr">
        <is>
          <t>Республика Бурятия</t>
        </is>
      </c>
      <c r="D13" s="10" t="n">
        <v>149</v>
      </c>
    </row>
    <row r="14">
      <c r="A14" s="9" t="inlineStr">
        <is>
          <t>Аренда квартир</t>
        </is>
      </c>
      <c r="B14" s="9" t="inlineStr">
        <is>
          <t>Длительная: Квартиры</t>
        </is>
      </c>
      <c r="C14" s="9" t="inlineStr">
        <is>
          <t>Владимирская область</t>
        </is>
      </c>
      <c r="D14" s="10" t="n">
        <v>827</v>
      </c>
    </row>
    <row r="15">
      <c r="A15" s="9" t="inlineStr">
        <is>
          <t>Аренда квартир</t>
        </is>
      </c>
      <c r="B15" s="9" t="inlineStr">
        <is>
          <t>Длительная: Квартиры</t>
        </is>
      </c>
      <c r="C15" s="9" t="inlineStr">
        <is>
          <t>Волгоградская область</t>
        </is>
      </c>
      <c r="D15" s="10" t="n">
        <v>1125</v>
      </c>
    </row>
    <row r="16">
      <c r="A16" s="9" t="inlineStr">
        <is>
          <t>Аренда квартир</t>
        </is>
      </c>
      <c r="B16" s="9" t="inlineStr">
        <is>
          <t>Длительная: Квартиры</t>
        </is>
      </c>
      <c r="C16" s="9" t="inlineStr">
        <is>
          <t>Вологодская область</t>
        </is>
      </c>
      <c r="D16" s="10" t="n">
        <v>275</v>
      </c>
    </row>
    <row r="17">
      <c r="A17" s="9" t="inlineStr">
        <is>
          <t>Аренда квартир</t>
        </is>
      </c>
      <c r="B17" s="9" t="inlineStr">
        <is>
          <t>Длительная: Квартиры</t>
        </is>
      </c>
      <c r="C17" s="9" t="inlineStr">
        <is>
          <t>Воронежская область</t>
        </is>
      </c>
      <c r="D17" s="10" t="n">
        <v>1308</v>
      </c>
    </row>
    <row r="18">
      <c r="A18" s="9" t="inlineStr">
        <is>
          <t>Аренда квартир</t>
        </is>
      </c>
      <c r="B18" s="9" t="inlineStr">
        <is>
          <t>Длительная: Квартиры</t>
        </is>
      </c>
      <c r="C18" s="9" t="inlineStr">
        <is>
          <t>Республика Дагестан</t>
        </is>
      </c>
      <c r="D18" s="10" t="n">
        <v>142</v>
      </c>
    </row>
    <row r="19">
      <c r="A19" s="9" t="inlineStr">
        <is>
          <t>Аренда квартир</t>
        </is>
      </c>
      <c r="B19" s="9" t="inlineStr">
        <is>
          <t>Длительная: Квартиры</t>
        </is>
      </c>
      <c r="C19" s="9" t="inlineStr">
        <is>
          <t>Еврейская автономная область</t>
        </is>
      </c>
      <c r="D19" s="10" t="n">
        <v>4</v>
      </c>
    </row>
    <row r="20">
      <c r="A20" s="9" t="inlineStr">
        <is>
          <t>Аренда квартир</t>
        </is>
      </c>
      <c r="B20" s="9" t="inlineStr">
        <is>
          <t>Длительная: Квартиры</t>
        </is>
      </c>
      <c r="C20" s="9" t="inlineStr">
        <is>
          <t>Ивановская область</t>
        </is>
      </c>
      <c r="D20" s="10" t="n">
        <v>435</v>
      </c>
    </row>
    <row r="21">
      <c r="A21" s="9" t="inlineStr">
        <is>
          <t>Аренда квартир</t>
        </is>
      </c>
      <c r="B21" s="9" t="inlineStr">
        <is>
          <t>Длительная: Квартиры</t>
        </is>
      </c>
      <c r="C21" s="9" t="inlineStr">
        <is>
          <t>Республика Ингушетия</t>
        </is>
      </c>
      <c r="D21" s="10" t="n">
        <v>0</v>
      </c>
    </row>
    <row r="22">
      <c r="A22" s="9" t="inlineStr">
        <is>
          <t>Аренда квартир</t>
        </is>
      </c>
      <c r="B22" s="9" t="inlineStr">
        <is>
          <t>Длительная: Квартиры</t>
        </is>
      </c>
      <c r="C22" s="9" t="inlineStr">
        <is>
          <t>Иркутская область</t>
        </is>
      </c>
      <c r="D22" s="10" t="n">
        <v>1331</v>
      </c>
    </row>
    <row r="23">
      <c r="A23" s="9" t="inlineStr">
        <is>
          <t>Аренда квартир</t>
        </is>
      </c>
      <c r="B23" s="9" t="inlineStr">
        <is>
          <t>Длительная: Квартиры</t>
        </is>
      </c>
      <c r="C23" s="9" t="inlineStr">
        <is>
          <t>Кабардино-Балкарская Республика</t>
        </is>
      </c>
      <c r="D23" s="10" t="n">
        <v>118</v>
      </c>
    </row>
    <row r="24">
      <c r="A24" s="9" t="inlineStr">
        <is>
          <t>Аренда квартир</t>
        </is>
      </c>
      <c r="B24" s="9" t="inlineStr">
        <is>
          <t>Длительная: Квартиры</t>
        </is>
      </c>
      <c r="C24" s="9" t="inlineStr">
        <is>
          <t>Калининградская область</t>
        </is>
      </c>
      <c r="D24" s="10" t="n">
        <v>842</v>
      </c>
    </row>
    <row r="25">
      <c r="A25" s="9" t="inlineStr">
        <is>
          <t>Аренда квартир</t>
        </is>
      </c>
      <c r="B25" s="9" t="inlineStr">
        <is>
          <t>Длительная: Квартиры</t>
        </is>
      </c>
      <c r="C25" s="9" t="inlineStr">
        <is>
          <t>Республика Калмыкия</t>
        </is>
      </c>
      <c r="D25" s="10" t="n">
        <v>4</v>
      </c>
    </row>
    <row r="26">
      <c r="A26" s="9" t="inlineStr">
        <is>
          <t>Аренда квартир</t>
        </is>
      </c>
      <c r="B26" s="9" t="inlineStr">
        <is>
          <t>Длительная: Квартиры</t>
        </is>
      </c>
      <c r="C26" s="9" t="inlineStr">
        <is>
          <t>Калужская область</t>
        </is>
      </c>
      <c r="D26" s="10" t="n">
        <v>504</v>
      </c>
    </row>
    <row r="27">
      <c r="A27" s="9" t="inlineStr">
        <is>
          <t>Аренда квартир</t>
        </is>
      </c>
      <c r="B27" s="9" t="inlineStr">
        <is>
          <t>Длительная: Квартиры</t>
        </is>
      </c>
      <c r="C27" s="9" t="inlineStr">
        <is>
          <t>Камчатский край</t>
        </is>
      </c>
      <c r="D27" s="10" t="n">
        <v>61</v>
      </c>
    </row>
    <row r="28">
      <c r="A28" s="9" t="inlineStr">
        <is>
          <t>Аренда квартир</t>
        </is>
      </c>
      <c r="B28" s="9" t="inlineStr">
        <is>
          <t>Длительная: Квартиры</t>
        </is>
      </c>
      <c r="C28" s="9" t="inlineStr">
        <is>
          <t>Карачаево-Черкесская Республика</t>
        </is>
      </c>
      <c r="D28" s="10" t="n">
        <v>20</v>
      </c>
    </row>
    <row r="29">
      <c r="A29" s="9" t="inlineStr">
        <is>
          <t>Аренда квартир</t>
        </is>
      </c>
      <c r="B29" s="9" t="inlineStr">
        <is>
          <t>Длительная: Квартиры</t>
        </is>
      </c>
      <c r="C29" s="9" t="inlineStr">
        <is>
          <t>Республика Карелия</t>
        </is>
      </c>
      <c r="D29" s="10" t="n">
        <v>92</v>
      </c>
    </row>
    <row r="30">
      <c r="A30" s="9" t="inlineStr">
        <is>
          <t>Аренда квартир</t>
        </is>
      </c>
      <c r="B30" s="9" t="inlineStr">
        <is>
          <t>Длительная: Квартиры</t>
        </is>
      </c>
      <c r="C30" s="9" t="inlineStr">
        <is>
          <t>Кемеровская область</t>
        </is>
      </c>
      <c r="D30" s="10" t="n">
        <v>1141</v>
      </c>
    </row>
    <row r="31">
      <c r="A31" s="9" t="inlineStr">
        <is>
          <t>Аренда квартир</t>
        </is>
      </c>
      <c r="B31" s="9" t="inlineStr">
        <is>
          <t>Длительная: Квартиры</t>
        </is>
      </c>
      <c r="C31" s="9" t="inlineStr">
        <is>
          <t>Кировская область</t>
        </is>
      </c>
      <c r="D31" s="10" t="n">
        <v>389</v>
      </c>
    </row>
    <row r="32">
      <c r="A32" s="9" t="inlineStr">
        <is>
          <t>Аренда квартир</t>
        </is>
      </c>
      <c r="B32" s="9" t="inlineStr">
        <is>
          <t>Длительная: Квартиры</t>
        </is>
      </c>
      <c r="C32" s="9" t="inlineStr">
        <is>
          <t>Республика Коми</t>
        </is>
      </c>
      <c r="D32" s="10" t="n">
        <v>241</v>
      </c>
    </row>
    <row r="33">
      <c r="A33" s="9" t="inlineStr">
        <is>
          <t>Аренда квартир</t>
        </is>
      </c>
      <c r="B33" s="9" t="inlineStr">
        <is>
          <t>Длительная: Квартиры</t>
        </is>
      </c>
      <c r="C33" s="9" t="inlineStr">
        <is>
          <t>Костромская область</t>
        </is>
      </c>
      <c r="D33" s="10" t="n">
        <v>257</v>
      </c>
    </row>
    <row r="34">
      <c r="A34" s="9" t="inlineStr">
        <is>
          <t>Аренда квартир</t>
        </is>
      </c>
      <c r="B34" s="9" t="inlineStr">
        <is>
          <t>Длительная: Квартиры</t>
        </is>
      </c>
      <c r="C34" s="9" t="inlineStr">
        <is>
          <t>Краснодарский край</t>
        </is>
      </c>
      <c r="D34" s="10" t="n">
        <v>10094</v>
      </c>
    </row>
    <row r="35">
      <c r="A35" s="9" t="inlineStr">
        <is>
          <t>Аренда квартир</t>
        </is>
      </c>
      <c r="B35" s="9" t="inlineStr">
        <is>
          <t>Длительная: Квартиры</t>
        </is>
      </c>
      <c r="C35" s="9" t="inlineStr">
        <is>
          <t>Красноярский край</t>
        </is>
      </c>
      <c r="D35" s="10" t="n">
        <v>2010</v>
      </c>
    </row>
    <row r="36">
      <c r="A36" s="9" t="inlineStr">
        <is>
          <t>Аренда квартир</t>
        </is>
      </c>
      <c r="B36" s="9" t="inlineStr">
        <is>
          <t>Длительная: Квартиры</t>
        </is>
      </c>
      <c r="C36" s="9" t="inlineStr">
        <is>
          <t>Курганская область</t>
        </is>
      </c>
      <c r="D36" s="10" t="n">
        <v>238</v>
      </c>
    </row>
    <row r="37">
      <c r="A37" s="9" t="inlineStr">
        <is>
          <t>Аренда квартир</t>
        </is>
      </c>
      <c r="B37" s="9" t="inlineStr">
        <is>
          <t>Длительная: Квартиры</t>
        </is>
      </c>
      <c r="C37" s="9" t="inlineStr">
        <is>
          <t>Курская область</t>
        </is>
      </c>
      <c r="D37" s="10" t="n">
        <v>616</v>
      </c>
    </row>
    <row r="38">
      <c r="A38" s="9" t="inlineStr">
        <is>
          <t>Аренда квартир</t>
        </is>
      </c>
      <c r="B38" s="9" t="inlineStr">
        <is>
          <t>Длительная: Квартиры</t>
        </is>
      </c>
      <c r="C38" s="9" t="inlineStr">
        <is>
          <t>Ленинградская область</t>
        </is>
      </c>
      <c r="D38" s="10" t="n">
        <v>2543</v>
      </c>
    </row>
    <row r="39">
      <c r="A39" s="9" t="inlineStr">
        <is>
          <t>Аренда квартир</t>
        </is>
      </c>
      <c r="B39" s="9" t="inlineStr">
        <is>
          <t>Длительная: Квартиры</t>
        </is>
      </c>
      <c r="C39" s="9" t="inlineStr">
        <is>
          <t>Липецкая область</t>
        </is>
      </c>
      <c r="D39" s="10" t="n">
        <v>750</v>
      </c>
    </row>
    <row r="40">
      <c r="A40" s="9" t="inlineStr">
        <is>
          <t>Аренда квартир</t>
        </is>
      </c>
      <c r="B40" s="9" t="inlineStr">
        <is>
          <t>Длительная: Квартиры</t>
        </is>
      </c>
      <c r="C40" s="9" t="inlineStr">
        <is>
          <t>Магаданская область</t>
        </is>
      </c>
      <c r="D40" s="10" t="n">
        <v>28</v>
      </c>
    </row>
    <row r="41">
      <c r="A41" s="9" t="inlineStr">
        <is>
          <t>Аренда квартир</t>
        </is>
      </c>
      <c r="B41" s="9" t="inlineStr">
        <is>
          <t>Длительная: Квартиры</t>
        </is>
      </c>
      <c r="C41" s="9" t="inlineStr">
        <is>
          <t>Республика Марий Эл</t>
        </is>
      </c>
      <c r="D41" s="10" t="n">
        <v>172</v>
      </c>
    </row>
    <row r="42">
      <c r="A42" s="9" t="inlineStr">
        <is>
          <t>Аренда квартир</t>
        </is>
      </c>
      <c r="B42" s="9" t="inlineStr">
        <is>
          <t>Длительная: Квартиры</t>
        </is>
      </c>
      <c r="C42" s="9" t="inlineStr">
        <is>
          <t>Республика Мордовия</t>
        </is>
      </c>
      <c r="D42" s="10" t="n">
        <v>138</v>
      </c>
    </row>
    <row r="43">
      <c r="A43" s="9" t="inlineStr">
        <is>
          <t>Аренда квартир</t>
        </is>
      </c>
      <c r="B43" s="9" t="inlineStr">
        <is>
          <t>Длительная: Квартиры</t>
        </is>
      </c>
      <c r="C43" s="9" t="inlineStr">
        <is>
          <t>Московская область</t>
        </is>
      </c>
      <c r="D43" s="10" t="n">
        <v>12714</v>
      </c>
    </row>
    <row r="44">
      <c r="A44" s="9" t="inlineStr">
        <is>
          <t>Аренда квартир</t>
        </is>
      </c>
      <c r="B44" s="9" t="inlineStr">
        <is>
          <t>Длительная: Квартиры</t>
        </is>
      </c>
      <c r="C44" s="9" t="inlineStr">
        <is>
          <t>Мурманская область</t>
        </is>
      </c>
      <c r="D44" s="10" t="n">
        <v>263</v>
      </c>
    </row>
    <row r="45">
      <c r="A45" s="9" t="inlineStr">
        <is>
          <t>Аренда квартир</t>
        </is>
      </c>
      <c r="B45" s="9" t="inlineStr">
        <is>
          <t>Длительная: Квартиры</t>
        </is>
      </c>
      <c r="C45" s="9" t="inlineStr">
        <is>
          <t>Ненецкий автономный округ</t>
        </is>
      </c>
      <c r="D45" s="10" t="n">
        <v>0</v>
      </c>
    </row>
    <row r="46">
      <c r="A46" s="9" t="inlineStr">
        <is>
          <t>Аренда квартир</t>
        </is>
      </c>
      <c r="B46" s="9" t="inlineStr">
        <is>
          <t>Длительная: Квартиры</t>
        </is>
      </c>
      <c r="C46" s="9" t="inlineStr">
        <is>
          <t>Нижегородская область</t>
        </is>
      </c>
      <c r="D46" s="10" t="n">
        <v>1806</v>
      </c>
    </row>
    <row r="47">
      <c r="A47" s="9" t="inlineStr">
        <is>
          <t>Аренда квартир</t>
        </is>
      </c>
      <c r="B47" s="9" t="inlineStr">
        <is>
          <t>Длительная: Квартиры</t>
        </is>
      </c>
      <c r="C47" s="9" t="inlineStr">
        <is>
          <t>Новгородская область</t>
        </is>
      </c>
      <c r="D47" s="10" t="n">
        <v>133</v>
      </c>
    </row>
    <row r="48">
      <c r="A48" s="9" t="inlineStr">
        <is>
          <t>Аренда квартир</t>
        </is>
      </c>
      <c r="B48" s="9" t="inlineStr">
        <is>
          <t>Длительная: Квартиры</t>
        </is>
      </c>
      <c r="C48" s="9" t="inlineStr">
        <is>
          <t>Новосибирская область</t>
        </is>
      </c>
      <c r="D48" s="10" t="n">
        <v>5247</v>
      </c>
    </row>
    <row r="49">
      <c r="A49" s="9" t="inlineStr">
        <is>
          <t>Аренда квартир</t>
        </is>
      </c>
      <c r="B49" s="9" t="inlineStr">
        <is>
          <t>Длительная: Квартиры</t>
        </is>
      </c>
      <c r="C49" s="9" t="inlineStr">
        <is>
          <t>Омская область</t>
        </is>
      </c>
      <c r="D49" s="10" t="n">
        <v>866</v>
      </c>
    </row>
    <row r="50">
      <c r="A50" s="9" t="inlineStr">
        <is>
          <t>Аренда квартир</t>
        </is>
      </c>
      <c r="B50" s="9" t="inlineStr">
        <is>
          <t>Длительная: Квартиры</t>
        </is>
      </c>
      <c r="C50" s="9" t="inlineStr">
        <is>
          <t>Оренбургская область</t>
        </is>
      </c>
      <c r="D50" s="10" t="n">
        <v>472</v>
      </c>
    </row>
    <row r="51">
      <c r="A51" s="9" t="inlineStr">
        <is>
          <t>Аренда квартир</t>
        </is>
      </c>
      <c r="B51" s="9" t="inlineStr">
        <is>
          <t>Длительная: Квартиры</t>
        </is>
      </c>
      <c r="C51" s="9" t="inlineStr">
        <is>
          <t>Орловская область</t>
        </is>
      </c>
      <c r="D51" s="10" t="n">
        <v>271</v>
      </c>
    </row>
    <row r="52">
      <c r="A52" s="9" t="inlineStr">
        <is>
          <t>Аренда квартир</t>
        </is>
      </c>
      <c r="B52" s="9" t="inlineStr">
        <is>
          <t>Длительная: Квартиры</t>
        </is>
      </c>
      <c r="C52" s="9" t="inlineStr">
        <is>
          <t>Пензенская область</t>
        </is>
      </c>
      <c r="D52" s="10" t="n">
        <v>522</v>
      </c>
    </row>
    <row r="53">
      <c r="A53" s="9" t="inlineStr">
        <is>
          <t>Аренда квартир</t>
        </is>
      </c>
      <c r="B53" s="9" t="inlineStr">
        <is>
          <t>Длительная: Квартиры</t>
        </is>
      </c>
      <c r="C53" s="9" t="inlineStr">
        <is>
          <t>Пермский край</t>
        </is>
      </c>
      <c r="D53" s="10" t="n">
        <v>1297</v>
      </c>
    </row>
    <row r="54">
      <c r="A54" s="9" t="inlineStr">
        <is>
          <t>Аренда квартир</t>
        </is>
      </c>
      <c r="B54" s="9" t="inlineStr">
        <is>
          <t>Длительная: Квартиры</t>
        </is>
      </c>
      <c r="C54" s="9" t="inlineStr">
        <is>
          <t>Приморский край</t>
        </is>
      </c>
      <c r="D54" s="10" t="n">
        <v>450</v>
      </c>
    </row>
    <row r="55">
      <c r="A55" s="9" t="inlineStr">
        <is>
          <t>Аренда квартир</t>
        </is>
      </c>
      <c r="B55" s="9" t="inlineStr">
        <is>
          <t>Длительная: Квартиры</t>
        </is>
      </c>
      <c r="C55" s="9" t="inlineStr">
        <is>
          <t>Псковская область</t>
        </is>
      </c>
      <c r="D55" s="10" t="n">
        <v>199</v>
      </c>
    </row>
    <row r="56">
      <c r="A56" s="9" t="inlineStr">
        <is>
          <t>Аренда квартир</t>
        </is>
      </c>
      <c r="B56" s="9" t="inlineStr">
        <is>
          <t>Длительная: Квартиры</t>
        </is>
      </c>
      <c r="C56" s="9" t="inlineStr">
        <is>
          <t>Ростовская область</t>
        </is>
      </c>
      <c r="D56" s="10" t="n">
        <v>4088</v>
      </c>
    </row>
    <row r="57">
      <c r="A57" s="9" t="inlineStr">
        <is>
          <t>Аренда квартир</t>
        </is>
      </c>
      <c r="B57" s="9" t="inlineStr">
        <is>
          <t>Длительная: Квартиры</t>
        </is>
      </c>
      <c r="C57" s="9" t="inlineStr">
        <is>
          <t>Рязанская область</t>
        </is>
      </c>
      <c r="D57" s="10" t="n">
        <v>573</v>
      </c>
    </row>
    <row r="58">
      <c r="A58" s="9" t="inlineStr">
        <is>
          <t>Аренда квартир</t>
        </is>
      </c>
      <c r="B58" s="9" t="inlineStr">
        <is>
          <t>Длительная: Квартиры</t>
        </is>
      </c>
      <c r="C58" s="9" t="inlineStr">
        <is>
          <t>Самарская область</t>
        </is>
      </c>
      <c r="D58" s="10" t="n">
        <v>1989</v>
      </c>
    </row>
    <row r="59">
      <c r="A59" s="9" t="inlineStr">
        <is>
          <t>Аренда квартир</t>
        </is>
      </c>
      <c r="B59" s="9" t="inlineStr">
        <is>
          <t>Длительная: Квартиры</t>
        </is>
      </c>
      <c r="C59" s="9" t="inlineStr">
        <is>
          <t>Саратовская область</t>
        </is>
      </c>
      <c r="D59" s="10" t="n">
        <v>982</v>
      </c>
    </row>
    <row r="60">
      <c r="A60" s="9" t="inlineStr">
        <is>
          <t>Аренда квартир</t>
        </is>
      </c>
      <c r="B60" s="9" t="inlineStr">
        <is>
          <t>Длительная: Квартиры</t>
        </is>
      </c>
      <c r="C60" s="9" t="inlineStr">
        <is>
          <t>Республика Саха (Якутия)</t>
        </is>
      </c>
      <c r="D60" s="10" t="n">
        <v>30</v>
      </c>
    </row>
    <row r="61">
      <c r="A61" s="9" t="inlineStr">
        <is>
          <t>Аренда квартир</t>
        </is>
      </c>
      <c r="B61" s="9" t="inlineStr">
        <is>
          <t>Длительная: Квартиры</t>
        </is>
      </c>
      <c r="C61" s="9" t="inlineStr">
        <is>
          <t>Сахалинская область</t>
        </is>
      </c>
      <c r="D61" s="10" t="n">
        <v>222</v>
      </c>
    </row>
    <row r="62">
      <c r="A62" s="9" t="inlineStr">
        <is>
          <t>Аренда квартир</t>
        </is>
      </c>
      <c r="B62" s="9" t="inlineStr">
        <is>
          <t>Длительная: Квартиры</t>
        </is>
      </c>
      <c r="C62" s="9" t="inlineStr">
        <is>
          <t>Свердловская область</t>
        </is>
      </c>
      <c r="D62" s="10" t="n">
        <v>3551</v>
      </c>
    </row>
    <row r="63">
      <c r="A63" s="9" t="inlineStr">
        <is>
          <t>Аренда квартир</t>
        </is>
      </c>
      <c r="B63" s="9" t="inlineStr">
        <is>
          <t>Длительная: Квартиры</t>
        </is>
      </c>
      <c r="C63" s="9" t="inlineStr">
        <is>
          <t>Республика Северная Осетия - Алания</t>
        </is>
      </c>
      <c r="D63" s="10" t="n">
        <v>229</v>
      </c>
    </row>
    <row r="64">
      <c r="A64" s="9" t="inlineStr">
        <is>
          <t>Аренда квартир</t>
        </is>
      </c>
      <c r="B64" s="9" t="inlineStr">
        <is>
          <t>Длительная: Квартиры</t>
        </is>
      </c>
      <c r="C64" s="9" t="inlineStr">
        <is>
          <t>Смоленская область</t>
        </is>
      </c>
      <c r="D64" s="10" t="n">
        <v>312</v>
      </c>
    </row>
    <row r="65">
      <c r="A65" s="9" t="inlineStr">
        <is>
          <t>Аренда квартир</t>
        </is>
      </c>
      <c r="B65" s="9" t="inlineStr">
        <is>
          <t>Длительная: Квартиры</t>
        </is>
      </c>
      <c r="C65" s="9" t="inlineStr">
        <is>
          <t>Ставропольский край</t>
        </is>
      </c>
      <c r="D65" s="10" t="n">
        <v>1424</v>
      </c>
    </row>
    <row r="66">
      <c r="A66" s="9" t="inlineStr">
        <is>
          <t>Аренда квартир</t>
        </is>
      </c>
      <c r="B66" s="9" t="inlineStr">
        <is>
          <t>Длительная: Квартиры</t>
        </is>
      </c>
      <c r="C66" s="9" t="inlineStr">
        <is>
          <t>Тамбовская область</t>
        </is>
      </c>
      <c r="D66" s="10" t="n">
        <v>272</v>
      </c>
    </row>
    <row r="67">
      <c r="A67" s="9" t="inlineStr">
        <is>
          <t>Аренда квартир</t>
        </is>
      </c>
      <c r="B67" s="9" t="inlineStr">
        <is>
          <t>Длительная: Квартиры</t>
        </is>
      </c>
      <c r="C67" s="9" t="inlineStr">
        <is>
          <t>Республика Татарстан</t>
        </is>
      </c>
      <c r="D67" s="10" t="n">
        <v>4801</v>
      </c>
    </row>
    <row r="68">
      <c r="A68" s="9" t="inlineStr">
        <is>
          <t>Аренда квартир</t>
        </is>
      </c>
      <c r="B68" s="9" t="inlineStr">
        <is>
          <t>Длительная: Квартиры</t>
        </is>
      </c>
      <c r="C68" s="9" t="inlineStr">
        <is>
          <t>Тверская область</t>
        </is>
      </c>
      <c r="D68" s="10" t="n">
        <v>482</v>
      </c>
    </row>
    <row r="69">
      <c r="A69" s="9" t="inlineStr">
        <is>
          <t>Аренда квартир</t>
        </is>
      </c>
      <c r="B69" s="9" t="inlineStr">
        <is>
          <t>Длительная: Квартиры</t>
        </is>
      </c>
      <c r="C69" s="9" t="inlineStr">
        <is>
          <t>Томская область</t>
        </is>
      </c>
      <c r="D69" s="10" t="n">
        <v>1070</v>
      </c>
    </row>
    <row r="70">
      <c r="A70" s="9" t="inlineStr">
        <is>
          <t>Аренда квартир</t>
        </is>
      </c>
      <c r="B70" s="9" t="inlineStr">
        <is>
          <t>Длительная: Квартиры</t>
        </is>
      </c>
      <c r="C70" s="9" t="inlineStr">
        <is>
          <t>Тульская область</t>
        </is>
      </c>
      <c r="D70" s="10" t="n">
        <v>719</v>
      </c>
    </row>
    <row r="71">
      <c r="A71" s="9" t="inlineStr">
        <is>
          <t>Аренда квартир</t>
        </is>
      </c>
      <c r="B71" s="9" t="inlineStr">
        <is>
          <t>Длительная: Квартиры</t>
        </is>
      </c>
      <c r="C71" s="9" t="inlineStr">
        <is>
          <t>Республика Тыва</t>
        </is>
      </c>
      <c r="D71" s="10" t="n">
        <v>8</v>
      </c>
    </row>
    <row r="72">
      <c r="A72" s="9" t="inlineStr">
        <is>
          <t>Аренда квартир</t>
        </is>
      </c>
      <c r="B72" s="9" t="inlineStr">
        <is>
          <t>Длительная: Квартиры</t>
        </is>
      </c>
      <c r="C72" s="9" t="inlineStr">
        <is>
          <t>Тюменская область</t>
        </is>
      </c>
      <c r="D72" s="10" t="n">
        <v>2010</v>
      </c>
    </row>
    <row r="73">
      <c r="A73" s="9" t="inlineStr">
        <is>
          <t>Аренда квартир</t>
        </is>
      </c>
      <c r="B73" s="9" t="inlineStr">
        <is>
          <t>Длительная: Квартиры</t>
        </is>
      </c>
      <c r="C73" s="9" t="inlineStr">
        <is>
          <t>Удмуртская Республика</t>
        </is>
      </c>
      <c r="D73" s="10" t="n">
        <v>567</v>
      </c>
    </row>
    <row r="74">
      <c r="A74" s="9" t="inlineStr">
        <is>
          <t>Аренда квартир</t>
        </is>
      </c>
      <c r="B74" s="9" t="inlineStr">
        <is>
          <t>Длительная: Квартиры</t>
        </is>
      </c>
      <c r="C74" s="9" t="inlineStr">
        <is>
          <t>Ульяновская область</t>
        </is>
      </c>
      <c r="D74" s="10" t="n">
        <v>631</v>
      </c>
    </row>
    <row r="75">
      <c r="A75" s="9" t="inlineStr">
        <is>
          <t>Аренда квартир</t>
        </is>
      </c>
      <c r="B75" s="9" t="inlineStr">
        <is>
          <t>Длительная: Квартиры</t>
        </is>
      </c>
      <c r="C75" s="9" t="inlineStr">
        <is>
          <t>Хабаровский край</t>
        </is>
      </c>
      <c r="D75" s="10" t="n">
        <v>479</v>
      </c>
    </row>
    <row r="76">
      <c r="A76" s="9" t="inlineStr">
        <is>
          <t>Аренда квартир</t>
        </is>
      </c>
      <c r="B76" s="9" t="inlineStr">
        <is>
          <t>Длительная: Квартиры</t>
        </is>
      </c>
      <c r="C76" s="9" t="inlineStr">
        <is>
          <t>Республика Хакасия</t>
        </is>
      </c>
      <c r="D76" s="10" t="n">
        <v>195</v>
      </c>
    </row>
    <row r="77">
      <c r="A77" s="9" t="inlineStr">
        <is>
          <t>Аренда квартир</t>
        </is>
      </c>
      <c r="B77" s="9" t="inlineStr">
        <is>
          <t>Длительная: Квартиры</t>
        </is>
      </c>
      <c r="C77" s="9" t="inlineStr">
        <is>
          <t>Ханты-Мансийский автономный округ</t>
        </is>
      </c>
      <c r="D77" s="10" t="n">
        <v>563</v>
      </c>
    </row>
    <row r="78">
      <c r="A78" s="9" t="inlineStr">
        <is>
          <t>Аренда квартир</t>
        </is>
      </c>
      <c r="B78" s="9" t="inlineStr">
        <is>
          <t>Длительная: Квартиры</t>
        </is>
      </c>
      <c r="C78" s="9" t="inlineStr">
        <is>
          <t>Челябинская область</t>
        </is>
      </c>
      <c r="D78" s="10" t="n">
        <v>1691</v>
      </c>
    </row>
    <row r="79">
      <c r="A79" s="9" t="inlineStr">
        <is>
          <t>Аренда квартир</t>
        </is>
      </c>
      <c r="B79" s="9" t="inlineStr">
        <is>
          <t>Длительная: Квартиры</t>
        </is>
      </c>
      <c r="C79" s="9" t="inlineStr">
        <is>
          <t>Чеченская Республика</t>
        </is>
      </c>
      <c r="D79" s="10" t="n">
        <v>38</v>
      </c>
    </row>
    <row r="80">
      <c r="A80" s="9" t="inlineStr">
        <is>
          <t>Аренда квартир</t>
        </is>
      </c>
      <c r="B80" s="9" t="inlineStr">
        <is>
          <t>Длительная: Квартиры</t>
        </is>
      </c>
      <c r="C80" s="9" t="inlineStr">
        <is>
          <t>Чувашская Республика</t>
        </is>
      </c>
      <c r="D80" s="10" t="n">
        <v>358</v>
      </c>
    </row>
    <row r="81">
      <c r="A81" s="9" t="inlineStr">
        <is>
          <t>Аренда квартир</t>
        </is>
      </c>
      <c r="B81" s="9" t="inlineStr">
        <is>
          <t>Длительная: Квартиры</t>
        </is>
      </c>
      <c r="C81" s="9" t="inlineStr">
        <is>
          <t>Чукотский автономный округ</t>
        </is>
      </c>
      <c r="D81" s="10" t="n">
        <v>0</v>
      </c>
    </row>
    <row r="82">
      <c r="A82" s="9" t="inlineStr">
        <is>
          <t>Аренда квартир</t>
        </is>
      </c>
      <c r="B82" s="9" t="inlineStr">
        <is>
          <t>Длительная: Квартиры</t>
        </is>
      </c>
      <c r="C82" s="9" t="inlineStr">
        <is>
          <t>Ямало-Ненецкий автономный округ</t>
        </is>
      </c>
      <c r="D82" s="10" t="n">
        <v>266</v>
      </c>
    </row>
    <row r="83">
      <c r="A83" s="9" t="inlineStr">
        <is>
          <t>Аренда квартир</t>
        </is>
      </c>
      <c r="B83" s="9" t="inlineStr">
        <is>
          <t>Длительная: Квартиры</t>
        </is>
      </c>
      <c r="C83" s="9" t="inlineStr">
        <is>
          <t>Ярославская область</t>
        </is>
      </c>
      <c r="D83" s="10" t="n">
        <v>1190</v>
      </c>
    </row>
    <row r="84">
      <c r="A84" s="9" t="inlineStr">
        <is>
          <t>Аренда квартир</t>
        </is>
      </c>
      <c r="B84" s="9" t="inlineStr">
        <is>
          <t>Длительная: Квартиры</t>
        </is>
      </c>
      <c r="C84" s="9" t="inlineStr">
        <is>
          <t>Республика Крым</t>
        </is>
      </c>
      <c r="D84" s="10" t="n">
        <v>889</v>
      </c>
    </row>
    <row r="85">
      <c r="A85" s="9" t="inlineStr">
        <is>
          <t>Аренда квартир</t>
        </is>
      </c>
      <c r="B85" s="9" t="inlineStr">
        <is>
          <t>Длительная: Квартиры</t>
        </is>
      </c>
      <c r="C85" s="9" t="inlineStr">
        <is>
          <t>Севастополь</t>
        </is>
      </c>
      <c r="D85" s="10" t="n">
        <v>413</v>
      </c>
    </row>
    <row r="86">
      <c r="A86" s="9" t="inlineStr">
        <is>
          <t>Аренда квартир</t>
        </is>
      </c>
      <c r="B86" s="9" t="inlineStr">
        <is>
          <t>Длительная: Квартиры</t>
        </is>
      </c>
      <c r="C86" s="9" t="inlineStr">
        <is>
          <t>Забайкальский край</t>
        </is>
      </c>
      <c r="D86" s="10" t="n">
        <v>145</v>
      </c>
    </row>
    <row r="87">
      <c r="A87" s="11" t="inlineStr">
        <is>
          <t>Аренда квартир</t>
        </is>
      </c>
      <c r="B87" s="12" t="inlineStr">
        <is>
          <t>Длительная: Комнаты</t>
        </is>
      </c>
      <c r="C87" s="13" t="inlineStr">
        <is>
          <t>Москва</t>
        </is>
      </c>
      <c r="D87" s="14" t="n">
        <v>1247</v>
      </c>
    </row>
    <row r="88">
      <c r="A88" s="9" t="inlineStr">
        <is>
          <t>Аренда квартир</t>
        </is>
      </c>
      <c r="B88" s="9" t="inlineStr">
        <is>
          <t>Длительная: Комнаты</t>
        </is>
      </c>
      <c r="C88" s="9" t="inlineStr">
        <is>
          <t>Санкт-Петербург</t>
        </is>
      </c>
      <c r="D88" s="10" t="n">
        <v>841</v>
      </c>
    </row>
    <row r="89">
      <c r="A89" s="9" t="inlineStr">
        <is>
          <t>Аренда квартир</t>
        </is>
      </c>
      <c r="B89" s="9" t="inlineStr">
        <is>
          <t>Длительная: Комнаты</t>
        </is>
      </c>
      <c r="C89" s="9" t="inlineStr">
        <is>
          <t>Республика Адыгея</t>
        </is>
      </c>
      <c r="D89" s="10" t="n">
        <v>7</v>
      </c>
    </row>
    <row r="90">
      <c r="A90" s="9" t="inlineStr">
        <is>
          <t>Аренда квартир</t>
        </is>
      </c>
      <c r="B90" s="9" t="inlineStr">
        <is>
          <t>Длительная: Комнаты</t>
        </is>
      </c>
      <c r="C90" s="9" t="inlineStr">
        <is>
          <t>Республика Алтай</t>
        </is>
      </c>
      <c r="D90" s="10" t="n">
        <v>4</v>
      </c>
    </row>
    <row r="91">
      <c r="A91" s="9" t="inlineStr">
        <is>
          <t>Аренда квартир</t>
        </is>
      </c>
      <c r="B91" s="9" t="inlineStr">
        <is>
          <t>Длительная: Комнаты</t>
        </is>
      </c>
      <c r="C91" s="9" t="inlineStr">
        <is>
          <t>Алтайский край</t>
        </is>
      </c>
      <c r="D91" s="10" t="n">
        <v>73</v>
      </c>
    </row>
    <row r="92">
      <c r="A92" s="9" t="inlineStr">
        <is>
          <t>Аренда квартир</t>
        </is>
      </c>
      <c r="B92" s="9" t="inlineStr">
        <is>
          <t>Длительная: Комнаты</t>
        </is>
      </c>
      <c r="C92" s="9" t="inlineStr">
        <is>
          <t>Амурская область</t>
        </is>
      </c>
      <c r="D92" s="10" t="n">
        <v>9</v>
      </c>
    </row>
    <row r="93">
      <c r="A93" s="9" t="inlineStr">
        <is>
          <t>Аренда квартир</t>
        </is>
      </c>
      <c r="B93" s="9" t="inlineStr">
        <is>
          <t>Длительная: Комнаты</t>
        </is>
      </c>
      <c r="C93" s="9" t="inlineStr">
        <is>
          <t>Архангельская область</t>
        </is>
      </c>
      <c r="D93" s="10" t="n">
        <v>99</v>
      </c>
    </row>
    <row r="94">
      <c r="A94" s="9" t="inlineStr">
        <is>
          <t>Аренда квартир</t>
        </is>
      </c>
      <c r="B94" s="9" t="inlineStr">
        <is>
          <t>Длительная: Комнаты</t>
        </is>
      </c>
      <c r="C94" s="9" t="inlineStr">
        <is>
          <t>Астраханская область</t>
        </is>
      </c>
      <c r="D94" s="10" t="n">
        <v>6</v>
      </c>
    </row>
    <row r="95">
      <c r="A95" s="9" t="inlineStr">
        <is>
          <t>Аренда квартир</t>
        </is>
      </c>
      <c r="B95" s="9" t="inlineStr">
        <is>
          <t>Длительная: Комнаты</t>
        </is>
      </c>
      <c r="C95" s="9" t="inlineStr">
        <is>
          <t>Республика Башкортостан</t>
        </is>
      </c>
      <c r="D95" s="10" t="n">
        <v>102</v>
      </c>
    </row>
    <row r="96">
      <c r="A96" s="9" t="inlineStr">
        <is>
          <t>Аренда квартир</t>
        </is>
      </c>
      <c r="B96" s="9" t="inlineStr">
        <is>
          <t>Длительная: Комнаты</t>
        </is>
      </c>
      <c r="C96" s="9" t="inlineStr">
        <is>
          <t>Белгородская область</t>
        </is>
      </c>
      <c r="D96" s="10" t="n">
        <v>91</v>
      </c>
    </row>
    <row r="97">
      <c r="A97" s="9" t="inlineStr">
        <is>
          <t>Аренда квартир</t>
        </is>
      </c>
      <c r="B97" s="9" t="inlineStr">
        <is>
          <t>Длительная: Комнаты</t>
        </is>
      </c>
      <c r="C97" s="9" t="inlineStr">
        <is>
          <t>Брянская область</t>
        </is>
      </c>
      <c r="D97" s="10" t="n">
        <v>38</v>
      </c>
    </row>
    <row r="98">
      <c r="A98" s="9" t="inlineStr">
        <is>
          <t>Аренда квартир</t>
        </is>
      </c>
      <c r="B98" s="9" t="inlineStr">
        <is>
          <t>Длительная: Комнаты</t>
        </is>
      </c>
      <c r="C98" s="9" t="inlineStr">
        <is>
          <t>Республика Бурятия</t>
        </is>
      </c>
      <c r="D98" s="10" t="n">
        <v>7</v>
      </c>
    </row>
    <row r="99">
      <c r="A99" s="9" t="inlineStr">
        <is>
          <t>Аренда квартир</t>
        </is>
      </c>
      <c r="B99" s="9" t="inlineStr">
        <is>
          <t>Длительная: Комнаты</t>
        </is>
      </c>
      <c r="C99" s="9" t="inlineStr">
        <is>
          <t>Владимирская область</t>
        </is>
      </c>
      <c r="D99" s="10" t="n">
        <v>80</v>
      </c>
    </row>
    <row r="100">
      <c r="A100" s="9" t="inlineStr">
        <is>
          <t>Аренда квартир</t>
        </is>
      </c>
      <c r="B100" s="9" t="inlineStr">
        <is>
          <t>Длительная: Комнаты</t>
        </is>
      </c>
      <c r="C100" s="9" t="inlineStr">
        <is>
          <t>Волгоградская область</t>
        </is>
      </c>
      <c r="D100" s="10" t="n">
        <v>102</v>
      </c>
    </row>
    <row r="101">
      <c r="A101" s="9" t="inlineStr">
        <is>
          <t>Аренда квартир</t>
        </is>
      </c>
      <c r="B101" s="9" t="inlineStr">
        <is>
          <t>Длительная: Комнаты</t>
        </is>
      </c>
      <c r="C101" s="9" t="inlineStr">
        <is>
          <t>Вологодская область</t>
        </is>
      </c>
      <c r="D101" s="10" t="n">
        <v>20</v>
      </c>
    </row>
    <row r="102">
      <c r="A102" s="9" t="inlineStr">
        <is>
          <t>Аренда квартир</t>
        </is>
      </c>
      <c r="B102" s="9" t="inlineStr">
        <is>
          <t>Длительная: Комнаты</t>
        </is>
      </c>
      <c r="C102" s="9" t="inlineStr">
        <is>
          <t>Воронежская область</t>
        </is>
      </c>
      <c r="D102" s="10" t="n">
        <v>70</v>
      </c>
    </row>
    <row r="103">
      <c r="A103" s="9" t="inlineStr">
        <is>
          <t>Аренда квартир</t>
        </is>
      </c>
      <c r="B103" s="9" t="inlineStr">
        <is>
          <t>Длительная: Комнаты</t>
        </is>
      </c>
      <c r="C103" s="9" t="inlineStr">
        <is>
          <t>Республика Дагестан</t>
        </is>
      </c>
      <c r="D103" s="10" t="n">
        <v>6</v>
      </c>
    </row>
    <row r="104">
      <c r="A104" s="9" t="inlineStr">
        <is>
          <t>Аренда квартир</t>
        </is>
      </c>
      <c r="B104" s="9" t="inlineStr">
        <is>
          <t>Длительная: Комнаты</t>
        </is>
      </c>
      <c r="C104" s="9" t="inlineStr">
        <is>
          <t>Еврейская автономная область</t>
        </is>
      </c>
      <c r="D104" s="10" t="n">
        <v>2</v>
      </c>
    </row>
    <row r="105">
      <c r="A105" s="9" t="inlineStr">
        <is>
          <t>Аренда квартир</t>
        </is>
      </c>
      <c r="B105" s="9" t="inlineStr">
        <is>
          <t>Длительная: Комнаты</t>
        </is>
      </c>
      <c r="C105" s="9" t="inlineStr">
        <is>
          <t>Ивановская область</t>
        </is>
      </c>
      <c r="D105" s="10" t="n">
        <v>17</v>
      </c>
    </row>
    <row r="106">
      <c r="A106" s="9" t="inlineStr">
        <is>
          <t>Аренда квартир</t>
        </is>
      </c>
      <c r="B106" s="9" t="inlineStr">
        <is>
          <t>Длительная: Комнаты</t>
        </is>
      </c>
      <c r="C106" s="9" t="inlineStr">
        <is>
          <t>Республика Ингушетия</t>
        </is>
      </c>
      <c r="D106" s="10" t="n">
        <v>0</v>
      </c>
    </row>
    <row r="107">
      <c r="A107" s="9" t="inlineStr">
        <is>
          <t>Аренда квартир</t>
        </is>
      </c>
      <c r="B107" s="9" t="inlineStr">
        <is>
          <t>Длительная: Комнаты</t>
        </is>
      </c>
      <c r="C107" s="9" t="inlineStr">
        <is>
          <t>Иркутская область</t>
        </is>
      </c>
      <c r="D107" s="10" t="n">
        <v>76</v>
      </c>
    </row>
    <row r="108">
      <c r="A108" s="9" t="inlineStr">
        <is>
          <t>Аренда квартир</t>
        </is>
      </c>
      <c r="B108" s="9" t="inlineStr">
        <is>
          <t>Длительная: Комнаты</t>
        </is>
      </c>
      <c r="C108" s="9" t="inlineStr">
        <is>
          <t>Кабардино-Балкарская Республика</t>
        </is>
      </c>
      <c r="D108" s="10" t="n">
        <v>0</v>
      </c>
    </row>
    <row r="109">
      <c r="A109" s="9" t="inlineStr">
        <is>
          <t>Аренда квартир</t>
        </is>
      </c>
      <c r="B109" s="9" t="inlineStr">
        <is>
          <t>Длительная: Комнаты</t>
        </is>
      </c>
      <c r="C109" s="9" t="inlineStr">
        <is>
          <t>Калининградская область</t>
        </is>
      </c>
      <c r="D109" s="10" t="n">
        <v>26</v>
      </c>
    </row>
    <row r="110">
      <c r="A110" s="9" t="inlineStr">
        <is>
          <t>Аренда квартир</t>
        </is>
      </c>
      <c r="B110" s="9" t="inlineStr">
        <is>
          <t>Длительная: Комнаты</t>
        </is>
      </c>
      <c r="C110" s="9" t="inlineStr">
        <is>
          <t>Республика Калмыкия</t>
        </is>
      </c>
      <c r="D110" s="10" t="n">
        <v>0</v>
      </c>
    </row>
    <row r="111">
      <c r="A111" s="9" t="inlineStr">
        <is>
          <t>Аренда квартир</t>
        </is>
      </c>
      <c r="B111" s="9" t="inlineStr">
        <is>
          <t>Длительная: Комнаты</t>
        </is>
      </c>
      <c r="C111" s="9" t="inlineStr">
        <is>
          <t>Калужская область</t>
        </is>
      </c>
      <c r="D111" s="10" t="n">
        <v>47</v>
      </c>
    </row>
    <row r="112">
      <c r="A112" s="9" t="inlineStr">
        <is>
          <t>Аренда квартир</t>
        </is>
      </c>
      <c r="B112" s="9" t="inlineStr">
        <is>
          <t>Длительная: Комнаты</t>
        </is>
      </c>
      <c r="C112" s="9" t="inlineStr">
        <is>
          <t>Камчатский край</t>
        </is>
      </c>
      <c r="D112" s="10" t="n">
        <v>2</v>
      </c>
    </row>
    <row r="113">
      <c r="A113" s="9" t="inlineStr">
        <is>
          <t>Аренда квартир</t>
        </is>
      </c>
      <c r="B113" s="9" t="inlineStr">
        <is>
          <t>Длительная: Комнаты</t>
        </is>
      </c>
      <c r="C113" s="9" t="inlineStr">
        <is>
          <t>Карачаево-Черкесская Республика</t>
        </is>
      </c>
      <c r="D113" s="10" t="n">
        <v>1</v>
      </c>
    </row>
    <row r="114">
      <c r="A114" s="9" t="inlineStr">
        <is>
          <t>Аренда квартир</t>
        </is>
      </c>
      <c r="B114" s="9" t="inlineStr">
        <is>
          <t>Длительная: Комнаты</t>
        </is>
      </c>
      <c r="C114" s="9" t="inlineStr">
        <is>
          <t>Республика Карелия</t>
        </is>
      </c>
      <c r="D114" s="10" t="n">
        <v>8</v>
      </c>
    </row>
    <row r="115">
      <c r="A115" s="9" t="inlineStr">
        <is>
          <t>Аренда квартир</t>
        </is>
      </c>
      <c r="B115" s="9" t="inlineStr">
        <is>
          <t>Длительная: Комнаты</t>
        </is>
      </c>
      <c r="C115" s="9" t="inlineStr">
        <is>
          <t>Кемеровская область</t>
        </is>
      </c>
      <c r="D115" s="10" t="n">
        <v>37</v>
      </c>
    </row>
    <row r="116">
      <c r="A116" s="9" t="inlineStr">
        <is>
          <t>Аренда квартир</t>
        </is>
      </c>
      <c r="B116" s="9" t="inlineStr">
        <is>
          <t>Длительная: Комнаты</t>
        </is>
      </c>
      <c r="C116" s="9" t="inlineStr">
        <is>
          <t>Кировская область</t>
        </is>
      </c>
      <c r="D116" s="10" t="n">
        <v>27</v>
      </c>
    </row>
    <row r="117">
      <c r="A117" s="9" t="inlineStr">
        <is>
          <t>Аренда квартир</t>
        </is>
      </c>
      <c r="B117" s="9" t="inlineStr">
        <is>
          <t>Длительная: Комнаты</t>
        </is>
      </c>
      <c r="C117" s="9" t="inlineStr">
        <is>
          <t>Республика Коми</t>
        </is>
      </c>
      <c r="D117" s="10" t="n">
        <v>43</v>
      </c>
    </row>
    <row r="118">
      <c r="A118" s="9" t="inlineStr">
        <is>
          <t>Аренда квартир</t>
        </is>
      </c>
      <c r="B118" s="9" t="inlineStr">
        <is>
          <t>Длительная: Комнаты</t>
        </is>
      </c>
      <c r="C118" s="9" t="inlineStr">
        <is>
          <t>Костромская область</t>
        </is>
      </c>
      <c r="D118" s="10" t="n">
        <v>12</v>
      </c>
    </row>
    <row r="119">
      <c r="A119" s="9" t="inlineStr">
        <is>
          <t>Аренда квартир</t>
        </is>
      </c>
      <c r="B119" s="9" t="inlineStr">
        <is>
          <t>Длительная: Комнаты</t>
        </is>
      </c>
      <c r="C119" s="9" t="inlineStr">
        <is>
          <t>Краснодарский край</t>
        </is>
      </c>
      <c r="D119" s="10" t="n">
        <v>348</v>
      </c>
    </row>
    <row r="120">
      <c r="A120" s="9" t="inlineStr">
        <is>
          <t>Аренда квартир</t>
        </is>
      </c>
      <c r="B120" s="9" t="inlineStr">
        <is>
          <t>Длительная: Комнаты</t>
        </is>
      </c>
      <c r="C120" s="9" t="inlineStr">
        <is>
          <t>Красноярский край</t>
        </is>
      </c>
      <c r="D120" s="10" t="n">
        <v>111</v>
      </c>
    </row>
    <row r="121">
      <c r="A121" s="9" t="inlineStr">
        <is>
          <t>Аренда квартир</t>
        </is>
      </c>
      <c r="B121" s="9" t="inlineStr">
        <is>
          <t>Длительная: Комнаты</t>
        </is>
      </c>
      <c r="C121" s="9" t="inlineStr">
        <is>
          <t>Курганская область</t>
        </is>
      </c>
      <c r="D121" s="10" t="n">
        <v>48</v>
      </c>
    </row>
    <row r="122">
      <c r="A122" s="9" t="inlineStr">
        <is>
          <t>Аренда квартир</t>
        </is>
      </c>
      <c r="B122" s="9" t="inlineStr">
        <is>
          <t>Длительная: Комнаты</t>
        </is>
      </c>
      <c r="C122" s="9" t="inlineStr">
        <is>
          <t>Курская область</t>
        </is>
      </c>
      <c r="D122" s="10" t="n">
        <v>66</v>
      </c>
    </row>
    <row r="123">
      <c r="A123" s="9" t="inlineStr">
        <is>
          <t>Аренда квартир</t>
        </is>
      </c>
      <c r="B123" s="9" t="inlineStr">
        <is>
          <t>Длительная: Комнаты</t>
        </is>
      </c>
      <c r="C123" s="9" t="inlineStr">
        <is>
          <t>Ленинградская область</t>
        </is>
      </c>
      <c r="D123" s="10" t="n">
        <v>49</v>
      </c>
    </row>
    <row r="124">
      <c r="A124" s="9" t="inlineStr">
        <is>
          <t>Аренда квартир</t>
        </is>
      </c>
      <c r="B124" s="9" t="inlineStr">
        <is>
          <t>Длительная: Комнаты</t>
        </is>
      </c>
      <c r="C124" s="9" t="inlineStr">
        <is>
          <t>Липецкая область</t>
        </is>
      </c>
      <c r="D124" s="10" t="n">
        <v>20</v>
      </c>
    </row>
    <row r="125">
      <c r="A125" s="9" t="inlineStr">
        <is>
          <t>Аренда квартир</t>
        </is>
      </c>
      <c r="B125" s="9" t="inlineStr">
        <is>
          <t>Длительная: Комнаты</t>
        </is>
      </c>
      <c r="C125" s="9" t="inlineStr">
        <is>
          <t>Магаданская область</t>
        </is>
      </c>
      <c r="D125" s="10" t="n">
        <v>3</v>
      </c>
    </row>
    <row r="126">
      <c r="A126" s="9" t="inlineStr">
        <is>
          <t>Аренда квартир</t>
        </is>
      </c>
      <c r="B126" s="9" t="inlineStr">
        <is>
          <t>Длительная: Комнаты</t>
        </is>
      </c>
      <c r="C126" s="9" t="inlineStr">
        <is>
          <t>Республика Марий Эл</t>
        </is>
      </c>
      <c r="D126" s="10" t="n">
        <v>28</v>
      </c>
    </row>
    <row r="127">
      <c r="A127" s="9" t="inlineStr">
        <is>
          <t>Аренда квартир</t>
        </is>
      </c>
      <c r="B127" s="9" t="inlineStr">
        <is>
          <t>Длительная: Комнаты</t>
        </is>
      </c>
      <c r="C127" s="9" t="inlineStr">
        <is>
          <t>Республика Мордовия</t>
        </is>
      </c>
      <c r="D127" s="10" t="n">
        <v>14</v>
      </c>
    </row>
    <row r="128">
      <c r="A128" s="9" t="inlineStr">
        <is>
          <t>Аренда квартир</t>
        </is>
      </c>
      <c r="B128" s="9" t="inlineStr">
        <is>
          <t>Длительная: Комнаты</t>
        </is>
      </c>
      <c r="C128" s="9" t="inlineStr">
        <is>
          <t>Московская область</t>
        </is>
      </c>
      <c r="D128" s="10" t="n">
        <v>549</v>
      </c>
    </row>
    <row r="129">
      <c r="A129" s="9" t="inlineStr">
        <is>
          <t>Аренда квартир</t>
        </is>
      </c>
      <c r="B129" s="9" t="inlineStr">
        <is>
          <t>Длительная: Комнаты</t>
        </is>
      </c>
      <c r="C129" s="9" t="inlineStr">
        <is>
          <t>Мурманская область</t>
        </is>
      </c>
      <c r="D129" s="10" t="n">
        <v>10</v>
      </c>
    </row>
    <row r="130">
      <c r="A130" s="9" t="inlineStr">
        <is>
          <t>Аренда квартир</t>
        </is>
      </c>
      <c r="B130" s="9" t="inlineStr">
        <is>
          <t>Длительная: Комнаты</t>
        </is>
      </c>
      <c r="C130" s="9" t="inlineStr">
        <is>
          <t>Ненецкий автономный округ</t>
        </is>
      </c>
      <c r="D130" s="10" t="n">
        <v>0</v>
      </c>
    </row>
    <row r="131">
      <c r="A131" s="9" t="inlineStr">
        <is>
          <t>Аренда квартир</t>
        </is>
      </c>
      <c r="B131" s="9" t="inlineStr">
        <is>
          <t>Длительная: Комнаты</t>
        </is>
      </c>
      <c r="C131" s="9" t="inlineStr">
        <is>
          <t>Нижегородская область</t>
        </is>
      </c>
      <c r="D131" s="10" t="n">
        <v>144</v>
      </c>
    </row>
    <row r="132">
      <c r="A132" s="9" t="inlineStr">
        <is>
          <t>Аренда квартир</t>
        </is>
      </c>
      <c r="B132" s="9" t="inlineStr">
        <is>
          <t>Длительная: Комнаты</t>
        </is>
      </c>
      <c r="C132" s="9" t="inlineStr">
        <is>
          <t>Новгородская область</t>
        </is>
      </c>
      <c r="D132" s="10" t="n">
        <v>27</v>
      </c>
    </row>
    <row r="133">
      <c r="A133" s="9" t="inlineStr">
        <is>
          <t>Аренда квартир</t>
        </is>
      </c>
      <c r="B133" s="9" t="inlineStr">
        <is>
          <t>Длительная: Комнаты</t>
        </is>
      </c>
      <c r="C133" s="9" t="inlineStr">
        <is>
          <t>Новосибирская область</t>
        </is>
      </c>
      <c r="D133" s="10" t="n">
        <v>259</v>
      </c>
    </row>
    <row r="134">
      <c r="A134" s="9" t="inlineStr">
        <is>
          <t>Аренда квартир</t>
        </is>
      </c>
      <c r="B134" s="9" t="inlineStr">
        <is>
          <t>Длительная: Комнаты</t>
        </is>
      </c>
      <c r="C134" s="9" t="inlineStr">
        <is>
          <t>Омская область</t>
        </is>
      </c>
      <c r="D134" s="10" t="n">
        <v>79</v>
      </c>
    </row>
    <row r="135">
      <c r="A135" s="9" t="inlineStr">
        <is>
          <t>Аренда квартир</t>
        </is>
      </c>
      <c r="B135" s="9" t="inlineStr">
        <is>
          <t>Длительная: Комнаты</t>
        </is>
      </c>
      <c r="C135" s="9" t="inlineStr">
        <is>
          <t>Оренбургская область</t>
        </is>
      </c>
      <c r="D135" s="10" t="n">
        <v>14</v>
      </c>
    </row>
    <row r="136">
      <c r="A136" s="9" t="inlineStr">
        <is>
          <t>Аренда квартир</t>
        </is>
      </c>
      <c r="B136" s="9" t="inlineStr">
        <is>
          <t>Длительная: Комнаты</t>
        </is>
      </c>
      <c r="C136" s="9" t="inlineStr">
        <is>
          <t>Орловская область</t>
        </is>
      </c>
      <c r="D136" s="10" t="n">
        <v>17</v>
      </c>
    </row>
    <row r="137">
      <c r="A137" s="9" t="inlineStr">
        <is>
          <t>Аренда квартир</t>
        </is>
      </c>
      <c r="B137" s="9" t="inlineStr">
        <is>
          <t>Длительная: Комнаты</t>
        </is>
      </c>
      <c r="C137" s="9" t="inlineStr">
        <is>
          <t>Пензенская область</t>
        </is>
      </c>
      <c r="D137" s="10" t="n">
        <v>51</v>
      </c>
    </row>
    <row r="138">
      <c r="A138" s="9" t="inlineStr">
        <is>
          <t>Аренда квартир</t>
        </is>
      </c>
      <c r="B138" s="9" t="inlineStr">
        <is>
          <t>Длительная: Комнаты</t>
        </is>
      </c>
      <c r="C138" s="9" t="inlineStr">
        <is>
          <t>Пермский край</t>
        </is>
      </c>
      <c r="D138" s="10" t="n">
        <v>169</v>
      </c>
    </row>
    <row r="139">
      <c r="A139" s="9" t="inlineStr">
        <is>
          <t>Аренда квартир</t>
        </is>
      </c>
      <c r="B139" s="9" t="inlineStr">
        <is>
          <t>Длительная: Комнаты</t>
        </is>
      </c>
      <c r="C139" s="9" t="inlineStr">
        <is>
          <t>Приморский край</t>
        </is>
      </c>
      <c r="D139" s="10" t="n">
        <v>14</v>
      </c>
    </row>
    <row r="140">
      <c r="A140" s="9" t="inlineStr">
        <is>
          <t>Аренда квартир</t>
        </is>
      </c>
      <c r="B140" s="9" t="inlineStr">
        <is>
          <t>Длительная: Комнаты</t>
        </is>
      </c>
      <c r="C140" s="9" t="inlineStr">
        <is>
          <t>Псковская область</t>
        </is>
      </c>
      <c r="D140" s="10" t="n">
        <v>17</v>
      </c>
    </row>
    <row r="141">
      <c r="A141" s="9" t="inlineStr">
        <is>
          <t>Аренда квартир</t>
        </is>
      </c>
      <c r="B141" s="9" t="inlineStr">
        <is>
          <t>Длительная: Комнаты</t>
        </is>
      </c>
      <c r="C141" s="9" t="inlineStr">
        <is>
          <t>Ростовская область</t>
        </is>
      </c>
      <c r="D141" s="10" t="n">
        <v>302</v>
      </c>
    </row>
    <row r="142">
      <c r="A142" s="9" t="inlineStr">
        <is>
          <t>Аренда квартир</t>
        </is>
      </c>
      <c r="B142" s="9" t="inlineStr">
        <is>
          <t>Длительная: Комнаты</t>
        </is>
      </c>
      <c r="C142" s="9" t="inlineStr">
        <is>
          <t>Рязанская область</t>
        </is>
      </c>
      <c r="D142" s="10" t="n">
        <v>34</v>
      </c>
    </row>
    <row r="143">
      <c r="A143" s="9" t="inlineStr">
        <is>
          <t>Аренда квартир</t>
        </is>
      </c>
      <c r="B143" s="9" t="inlineStr">
        <is>
          <t>Длительная: Комнаты</t>
        </is>
      </c>
      <c r="C143" s="9" t="inlineStr">
        <is>
          <t>Самарская область</t>
        </is>
      </c>
      <c r="D143" s="10" t="n">
        <v>183</v>
      </c>
    </row>
    <row r="144">
      <c r="A144" s="9" t="inlineStr">
        <is>
          <t>Аренда квартир</t>
        </is>
      </c>
      <c r="B144" s="9" t="inlineStr">
        <is>
          <t>Длительная: Комнаты</t>
        </is>
      </c>
      <c r="C144" s="9" t="inlineStr">
        <is>
          <t>Саратовская область</t>
        </is>
      </c>
      <c r="D144" s="10" t="n">
        <v>85</v>
      </c>
    </row>
    <row r="145">
      <c r="A145" s="9" t="inlineStr">
        <is>
          <t>Аренда квартир</t>
        </is>
      </c>
      <c r="B145" s="9" t="inlineStr">
        <is>
          <t>Длительная: Комнаты</t>
        </is>
      </c>
      <c r="C145" s="9" t="inlineStr">
        <is>
          <t>Республика Саха (Якутия)</t>
        </is>
      </c>
      <c r="D145" s="10" t="n">
        <v>1</v>
      </c>
    </row>
    <row r="146">
      <c r="A146" s="9" t="inlineStr">
        <is>
          <t>Аренда квартир</t>
        </is>
      </c>
      <c r="B146" s="9" t="inlineStr">
        <is>
          <t>Длительная: Комнаты</t>
        </is>
      </c>
      <c r="C146" s="9" t="inlineStr">
        <is>
          <t>Сахалинская область</t>
        </is>
      </c>
      <c r="D146" s="10" t="n">
        <v>2</v>
      </c>
    </row>
    <row r="147">
      <c r="A147" s="9" t="inlineStr">
        <is>
          <t>Аренда квартир</t>
        </is>
      </c>
      <c r="B147" s="9" t="inlineStr">
        <is>
          <t>Длительная: Комнаты</t>
        </is>
      </c>
      <c r="C147" s="9" t="inlineStr">
        <is>
          <t>Свердловская область</t>
        </is>
      </c>
      <c r="D147" s="10" t="n">
        <v>324</v>
      </c>
    </row>
    <row r="148">
      <c r="A148" s="9" t="inlineStr">
        <is>
          <t>Аренда квартир</t>
        </is>
      </c>
      <c r="B148" s="9" t="inlineStr">
        <is>
          <t>Длительная: Комнаты</t>
        </is>
      </c>
      <c r="C148" s="9" t="inlineStr">
        <is>
          <t>Республика Северная Осетия - Алания</t>
        </is>
      </c>
      <c r="D148" s="10" t="n">
        <v>6</v>
      </c>
    </row>
    <row r="149">
      <c r="A149" s="9" t="inlineStr">
        <is>
          <t>Аренда квартир</t>
        </is>
      </c>
      <c r="B149" s="9" t="inlineStr">
        <is>
          <t>Длительная: Комнаты</t>
        </is>
      </c>
      <c r="C149" s="9" t="inlineStr">
        <is>
          <t>Смоленская область</t>
        </is>
      </c>
      <c r="D149" s="10" t="n">
        <v>39</v>
      </c>
    </row>
    <row r="150">
      <c r="A150" s="9" t="inlineStr">
        <is>
          <t>Аренда квартир</t>
        </is>
      </c>
      <c r="B150" s="9" t="inlineStr">
        <is>
          <t>Длительная: Комнаты</t>
        </is>
      </c>
      <c r="C150" s="9" t="inlineStr">
        <is>
          <t>Ставропольский край</t>
        </is>
      </c>
      <c r="D150" s="10" t="n">
        <v>58</v>
      </c>
    </row>
    <row r="151">
      <c r="A151" s="9" t="inlineStr">
        <is>
          <t>Аренда квартир</t>
        </is>
      </c>
      <c r="B151" s="9" t="inlineStr">
        <is>
          <t>Длительная: Комнаты</t>
        </is>
      </c>
      <c r="C151" s="9" t="inlineStr">
        <is>
          <t>Тамбовская область</t>
        </is>
      </c>
      <c r="D151" s="10" t="n">
        <v>15</v>
      </c>
    </row>
    <row r="152">
      <c r="A152" s="9" t="inlineStr">
        <is>
          <t>Аренда квартир</t>
        </is>
      </c>
      <c r="B152" s="9" t="inlineStr">
        <is>
          <t>Длительная: Комнаты</t>
        </is>
      </c>
      <c r="C152" s="9" t="inlineStr">
        <is>
          <t>Республика Татарстан</t>
        </is>
      </c>
      <c r="D152" s="10" t="n">
        <v>182</v>
      </c>
    </row>
    <row r="153">
      <c r="A153" s="9" t="inlineStr">
        <is>
          <t>Аренда квартир</t>
        </is>
      </c>
      <c r="B153" s="9" t="inlineStr">
        <is>
          <t>Длительная: Комнаты</t>
        </is>
      </c>
      <c r="C153" s="9" t="inlineStr">
        <is>
          <t>Тверская область</t>
        </is>
      </c>
      <c r="D153" s="10" t="n">
        <v>41</v>
      </c>
    </row>
    <row r="154">
      <c r="A154" s="9" t="inlineStr">
        <is>
          <t>Аренда квартир</t>
        </is>
      </c>
      <c r="B154" s="9" t="inlineStr">
        <is>
          <t>Длительная: Комнаты</t>
        </is>
      </c>
      <c r="C154" s="9" t="inlineStr">
        <is>
          <t>Томская область</t>
        </is>
      </c>
      <c r="D154" s="10" t="n">
        <v>30</v>
      </c>
    </row>
    <row r="155">
      <c r="A155" s="9" t="inlineStr">
        <is>
          <t>Аренда квартир</t>
        </is>
      </c>
      <c r="B155" s="9" t="inlineStr">
        <is>
          <t>Длительная: Комнаты</t>
        </is>
      </c>
      <c r="C155" s="9" t="inlineStr">
        <is>
          <t>Тульская область</t>
        </is>
      </c>
      <c r="D155" s="10" t="n">
        <v>44</v>
      </c>
    </row>
    <row r="156">
      <c r="A156" s="9" t="inlineStr">
        <is>
          <t>Аренда квартир</t>
        </is>
      </c>
      <c r="B156" s="9" t="inlineStr">
        <is>
          <t>Длительная: Комнаты</t>
        </is>
      </c>
      <c r="C156" s="9" t="inlineStr">
        <is>
          <t>Республика Тыва</t>
        </is>
      </c>
      <c r="D156" s="10" t="n">
        <v>0</v>
      </c>
    </row>
    <row r="157">
      <c r="A157" s="9" t="inlineStr">
        <is>
          <t>Аренда квартир</t>
        </is>
      </c>
      <c r="B157" s="9" t="inlineStr">
        <is>
          <t>Длительная: Комнаты</t>
        </is>
      </c>
      <c r="C157" s="9" t="inlineStr">
        <is>
          <t>Тюменская область</t>
        </is>
      </c>
      <c r="D157" s="10" t="n">
        <v>41</v>
      </c>
    </row>
    <row r="158">
      <c r="A158" s="9" t="inlineStr">
        <is>
          <t>Аренда квартир</t>
        </is>
      </c>
      <c r="B158" s="9" t="inlineStr">
        <is>
          <t>Длительная: Комнаты</t>
        </is>
      </c>
      <c r="C158" s="9" t="inlineStr">
        <is>
          <t>Удмуртская Республика</t>
        </is>
      </c>
      <c r="D158" s="10" t="n">
        <v>32</v>
      </c>
    </row>
    <row r="159">
      <c r="A159" s="9" t="inlineStr">
        <is>
          <t>Аренда квартир</t>
        </is>
      </c>
      <c r="B159" s="9" t="inlineStr">
        <is>
          <t>Длительная: Комнаты</t>
        </is>
      </c>
      <c r="C159" s="9" t="inlineStr">
        <is>
          <t>Ульяновская область</t>
        </is>
      </c>
      <c r="D159" s="10" t="n">
        <v>38</v>
      </c>
    </row>
    <row r="160">
      <c r="A160" s="9" t="inlineStr">
        <is>
          <t>Аренда квартир</t>
        </is>
      </c>
      <c r="B160" s="9" t="inlineStr">
        <is>
          <t>Длительная: Комнаты</t>
        </is>
      </c>
      <c r="C160" s="9" t="inlineStr">
        <is>
          <t>Хабаровский край</t>
        </is>
      </c>
      <c r="D160" s="10" t="n">
        <v>20</v>
      </c>
    </row>
    <row r="161">
      <c r="A161" s="9" t="inlineStr">
        <is>
          <t>Аренда квартир</t>
        </is>
      </c>
      <c r="B161" s="9" t="inlineStr">
        <is>
          <t>Длительная: Комнаты</t>
        </is>
      </c>
      <c r="C161" s="9" t="inlineStr">
        <is>
          <t>Республика Хакасия</t>
        </is>
      </c>
      <c r="D161" s="10" t="n">
        <v>22</v>
      </c>
    </row>
    <row r="162">
      <c r="A162" s="9" t="inlineStr">
        <is>
          <t>Аренда квартир</t>
        </is>
      </c>
      <c r="B162" s="9" t="inlineStr">
        <is>
          <t>Длительная: Комнаты</t>
        </is>
      </c>
      <c r="C162" s="9" t="inlineStr">
        <is>
          <t>Ханты-Мансийский автономный округ</t>
        </is>
      </c>
      <c r="D162" s="10" t="n">
        <v>25</v>
      </c>
    </row>
    <row r="163">
      <c r="A163" s="9" t="inlineStr">
        <is>
          <t>Аренда квартир</t>
        </is>
      </c>
      <c r="B163" s="9" t="inlineStr">
        <is>
          <t>Длительная: Комнаты</t>
        </is>
      </c>
      <c r="C163" s="9" t="inlineStr">
        <is>
          <t>Челябинская область</t>
        </is>
      </c>
      <c r="D163" s="10" t="n">
        <v>86</v>
      </c>
    </row>
    <row r="164">
      <c r="A164" s="9" t="inlineStr">
        <is>
          <t>Аренда квартир</t>
        </is>
      </c>
      <c r="B164" s="9" t="inlineStr">
        <is>
          <t>Длительная: Комнаты</t>
        </is>
      </c>
      <c r="C164" s="9" t="inlineStr">
        <is>
          <t>Чеченская Республика</t>
        </is>
      </c>
      <c r="D164" s="10" t="n">
        <v>0</v>
      </c>
    </row>
    <row r="165">
      <c r="A165" s="9" t="inlineStr">
        <is>
          <t>Аренда квартир</t>
        </is>
      </c>
      <c r="B165" s="9" t="inlineStr">
        <is>
          <t>Длительная: Комнаты</t>
        </is>
      </c>
      <c r="C165" s="9" t="inlineStr">
        <is>
          <t>Чувашская Республика</t>
        </is>
      </c>
      <c r="D165" s="10" t="n">
        <v>43</v>
      </c>
    </row>
    <row r="166">
      <c r="A166" s="9" t="inlineStr">
        <is>
          <t>Аренда квартир</t>
        </is>
      </c>
      <c r="B166" s="9" t="inlineStr">
        <is>
          <t>Длительная: Комнаты</t>
        </is>
      </c>
      <c r="C166" s="9" t="inlineStr">
        <is>
          <t>Чукотский автономный округ</t>
        </is>
      </c>
      <c r="D166" s="10" t="n">
        <v>0</v>
      </c>
    </row>
    <row r="167">
      <c r="A167" s="9" t="inlineStr">
        <is>
          <t>Аренда квартир</t>
        </is>
      </c>
      <c r="B167" s="9" t="inlineStr">
        <is>
          <t>Длительная: Комнаты</t>
        </is>
      </c>
      <c r="C167" s="9" t="inlineStr">
        <is>
          <t>Ямало-Ненецкий автономный округ</t>
        </is>
      </c>
      <c r="D167" s="10" t="n">
        <v>6</v>
      </c>
    </row>
    <row r="168">
      <c r="A168" s="9" t="inlineStr">
        <is>
          <t>Аренда квартир</t>
        </is>
      </c>
      <c r="B168" s="9" t="inlineStr">
        <is>
          <t>Длительная: Комнаты</t>
        </is>
      </c>
      <c r="C168" s="9" t="inlineStr">
        <is>
          <t>Ярославская область</t>
        </is>
      </c>
      <c r="D168" s="10" t="n">
        <v>75</v>
      </c>
    </row>
    <row r="169">
      <c r="A169" s="9" t="inlineStr">
        <is>
          <t>Аренда квартир</t>
        </is>
      </c>
      <c r="B169" s="9" t="inlineStr">
        <is>
          <t>Длительная: Комнаты</t>
        </is>
      </c>
      <c r="C169" s="9" t="inlineStr">
        <is>
          <t>Республика Крым</t>
        </is>
      </c>
      <c r="D169" s="10" t="n">
        <v>59</v>
      </c>
    </row>
    <row r="170">
      <c r="A170" s="9" t="inlineStr">
        <is>
          <t>Аренда квартир</t>
        </is>
      </c>
      <c r="B170" s="9" t="inlineStr">
        <is>
          <t>Длительная: Комнаты</t>
        </is>
      </c>
      <c r="C170" s="9" t="inlineStr">
        <is>
          <t>Севастополь</t>
        </is>
      </c>
      <c r="D170" s="10" t="n">
        <v>49</v>
      </c>
    </row>
    <row r="171">
      <c r="A171" s="9" t="inlineStr">
        <is>
          <t>Аренда квартир</t>
        </is>
      </c>
      <c r="B171" s="9" t="inlineStr">
        <is>
          <t>Длительная: Комнаты</t>
        </is>
      </c>
      <c r="C171" s="9" t="inlineStr">
        <is>
          <t>Забайкальский край</t>
        </is>
      </c>
      <c r="D171" s="10" t="n">
        <v>5</v>
      </c>
    </row>
    <row r="172">
      <c r="A172" s="11" t="inlineStr">
        <is>
          <t>Аренда квартир</t>
        </is>
      </c>
      <c r="B172" s="12" t="inlineStr">
        <is>
          <t>Длительная: Дома и коттеджи</t>
        </is>
      </c>
      <c r="C172" s="13" t="inlineStr">
        <is>
          <t>Москва</t>
        </is>
      </c>
      <c r="D172" s="14" t="n">
        <v>363</v>
      </c>
    </row>
    <row r="173">
      <c r="A173" s="9" t="inlineStr">
        <is>
          <t>Аренда квартир</t>
        </is>
      </c>
      <c r="B173" s="9" t="inlineStr">
        <is>
          <t>Длительная: Дома и коттеджи</t>
        </is>
      </c>
      <c r="C173" s="9" t="inlineStr">
        <is>
          <t>Санкт-Петербург</t>
        </is>
      </c>
      <c r="D173" s="10" t="n">
        <v>134</v>
      </c>
    </row>
    <row r="174">
      <c r="A174" s="9" t="inlineStr">
        <is>
          <t>Аренда квартир</t>
        </is>
      </c>
      <c r="B174" s="9" t="inlineStr">
        <is>
          <t>Длительная: Дома и коттеджи</t>
        </is>
      </c>
      <c r="C174" s="9" t="inlineStr">
        <is>
          <t>Республика Адыгея</t>
        </is>
      </c>
      <c r="D174" s="10" t="n">
        <v>25</v>
      </c>
    </row>
    <row r="175">
      <c r="A175" s="9" t="inlineStr">
        <is>
          <t>Аренда квартир</t>
        </is>
      </c>
      <c r="B175" s="9" t="inlineStr">
        <is>
          <t>Длительная: Дома и коттеджи</t>
        </is>
      </c>
      <c r="C175" s="9" t="inlineStr">
        <is>
          <t>Республика Алтай</t>
        </is>
      </c>
      <c r="D175" s="10" t="n">
        <v>43</v>
      </c>
    </row>
    <row r="176">
      <c r="A176" s="9" t="inlineStr">
        <is>
          <t>Аренда квартир</t>
        </is>
      </c>
      <c r="B176" s="9" t="inlineStr">
        <is>
          <t>Длительная: Дома и коттеджи</t>
        </is>
      </c>
      <c r="C176" s="9" t="inlineStr">
        <is>
          <t>Алтайский край</t>
        </is>
      </c>
      <c r="D176" s="10" t="n">
        <v>22</v>
      </c>
    </row>
    <row r="177">
      <c r="A177" s="9" t="inlineStr">
        <is>
          <t>Аренда квартир</t>
        </is>
      </c>
      <c r="B177" s="9" t="inlineStr">
        <is>
          <t>Длительная: Дома и коттеджи</t>
        </is>
      </c>
      <c r="C177" s="9" t="inlineStr">
        <is>
          <t>Амурская область</t>
        </is>
      </c>
      <c r="D177" s="10" t="n">
        <v>0</v>
      </c>
    </row>
    <row r="178">
      <c r="A178" s="9" t="inlineStr">
        <is>
          <t>Аренда квартир</t>
        </is>
      </c>
      <c r="B178" s="9" t="inlineStr">
        <is>
          <t>Длительная: Дома и коттеджи</t>
        </is>
      </c>
      <c r="C178" s="9" t="inlineStr">
        <is>
          <t>Архангельская область</t>
        </is>
      </c>
      <c r="D178" s="10" t="n">
        <v>1</v>
      </c>
    </row>
    <row r="179">
      <c r="A179" s="9" t="inlineStr">
        <is>
          <t>Аренда квартир</t>
        </is>
      </c>
      <c r="B179" s="9" t="inlineStr">
        <is>
          <t>Длительная: Дома и коттеджи</t>
        </is>
      </c>
      <c r="C179" s="9" t="inlineStr">
        <is>
          <t>Астраханская область</t>
        </is>
      </c>
      <c r="D179" s="10" t="n">
        <v>10</v>
      </c>
    </row>
    <row r="180">
      <c r="A180" s="9" t="inlineStr">
        <is>
          <t>Аренда квартир</t>
        </is>
      </c>
      <c r="B180" s="9" t="inlineStr">
        <is>
          <t>Длительная: Дома и коттеджи</t>
        </is>
      </c>
      <c r="C180" s="9" t="inlineStr">
        <is>
          <t>Республика Башкортостан</t>
        </is>
      </c>
      <c r="D180" s="10" t="n">
        <v>58</v>
      </c>
    </row>
    <row r="181">
      <c r="A181" s="9" t="inlineStr">
        <is>
          <t>Аренда квартир</t>
        </is>
      </c>
      <c r="B181" s="9" t="inlineStr">
        <is>
          <t>Длительная: Дома и коттеджи</t>
        </is>
      </c>
      <c r="C181" s="9" t="inlineStr">
        <is>
          <t>Белгородская область</t>
        </is>
      </c>
      <c r="D181" s="10" t="n">
        <v>104</v>
      </c>
    </row>
    <row r="182">
      <c r="A182" s="9" t="inlineStr">
        <is>
          <t>Аренда квартир</t>
        </is>
      </c>
      <c r="B182" s="9" t="inlineStr">
        <is>
          <t>Длительная: Дома и коттеджи</t>
        </is>
      </c>
      <c r="C182" s="9" t="inlineStr">
        <is>
          <t>Брянская область</t>
        </is>
      </c>
      <c r="D182" s="10" t="n">
        <v>16</v>
      </c>
    </row>
    <row r="183">
      <c r="A183" s="9" t="inlineStr">
        <is>
          <t>Аренда квартир</t>
        </is>
      </c>
      <c r="B183" s="9" t="inlineStr">
        <is>
          <t>Длительная: Дома и коттеджи</t>
        </is>
      </c>
      <c r="C183" s="9" t="inlineStr">
        <is>
          <t>Республика Бурятия</t>
        </is>
      </c>
      <c r="D183" s="10" t="n">
        <v>5</v>
      </c>
    </row>
    <row r="184">
      <c r="A184" s="9" t="inlineStr">
        <is>
          <t>Аренда квартир</t>
        </is>
      </c>
      <c r="B184" s="9" t="inlineStr">
        <is>
          <t>Длительная: Дома и коттеджи</t>
        </is>
      </c>
      <c r="C184" s="9" t="inlineStr">
        <is>
          <t>Владимирская область</t>
        </is>
      </c>
      <c r="D184" s="10" t="n">
        <v>110</v>
      </c>
    </row>
    <row r="185">
      <c r="A185" s="9" t="inlineStr">
        <is>
          <t>Аренда квартир</t>
        </is>
      </c>
      <c r="B185" s="9" t="inlineStr">
        <is>
          <t>Длительная: Дома и коттеджи</t>
        </is>
      </c>
      <c r="C185" s="9" t="inlineStr">
        <is>
          <t>Волгоградская область</t>
        </is>
      </c>
      <c r="D185" s="10" t="n">
        <v>43</v>
      </c>
    </row>
    <row r="186">
      <c r="A186" s="9" t="inlineStr">
        <is>
          <t>Аренда квартир</t>
        </is>
      </c>
      <c r="B186" s="9" t="inlineStr">
        <is>
          <t>Длительная: Дома и коттеджи</t>
        </is>
      </c>
      <c r="C186" s="9" t="inlineStr">
        <is>
          <t>Вологодская область</t>
        </is>
      </c>
      <c r="D186" s="10" t="n">
        <v>8</v>
      </c>
    </row>
    <row r="187">
      <c r="A187" s="9" t="inlineStr">
        <is>
          <t>Аренда квартир</t>
        </is>
      </c>
      <c r="B187" s="9" t="inlineStr">
        <is>
          <t>Длительная: Дома и коттеджи</t>
        </is>
      </c>
      <c r="C187" s="9" t="inlineStr">
        <is>
          <t>Воронежская область</t>
        </is>
      </c>
      <c r="D187" s="10" t="n">
        <v>26</v>
      </c>
    </row>
    <row r="188">
      <c r="A188" s="9" t="inlineStr">
        <is>
          <t>Аренда квартир</t>
        </is>
      </c>
      <c r="B188" s="9" t="inlineStr">
        <is>
          <t>Длительная: Дома и коттеджи</t>
        </is>
      </c>
      <c r="C188" s="9" t="inlineStr">
        <is>
          <t>Республика Дагестан</t>
        </is>
      </c>
      <c r="D188" s="10" t="n">
        <v>23</v>
      </c>
    </row>
    <row r="189">
      <c r="A189" s="9" t="inlineStr">
        <is>
          <t>Аренда квартир</t>
        </is>
      </c>
      <c r="B189" s="9" t="inlineStr">
        <is>
          <t>Длительная: Дома и коттеджи</t>
        </is>
      </c>
      <c r="C189" s="9" t="inlineStr">
        <is>
          <t>Еврейская автономная область</t>
        </is>
      </c>
      <c r="D189" s="10" t="n">
        <v>0</v>
      </c>
    </row>
    <row r="190">
      <c r="A190" s="9" t="inlineStr">
        <is>
          <t>Аренда квартир</t>
        </is>
      </c>
      <c r="B190" s="9" t="inlineStr">
        <is>
          <t>Длительная: Дома и коттеджи</t>
        </is>
      </c>
      <c r="C190" s="9" t="inlineStr">
        <is>
          <t>Ивановская область</t>
        </is>
      </c>
      <c r="D190" s="10" t="n">
        <v>13</v>
      </c>
    </row>
    <row r="191">
      <c r="A191" s="9" t="inlineStr">
        <is>
          <t>Аренда квартир</t>
        </is>
      </c>
      <c r="B191" s="9" t="inlineStr">
        <is>
          <t>Длительная: Дома и коттеджи</t>
        </is>
      </c>
      <c r="C191" s="9" t="inlineStr">
        <is>
          <t>Республика Ингушетия</t>
        </is>
      </c>
      <c r="D191" s="10" t="n">
        <v>0</v>
      </c>
    </row>
    <row r="192">
      <c r="A192" s="9" t="inlineStr">
        <is>
          <t>Аренда квартир</t>
        </is>
      </c>
      <c r="B192" s="9" t="inlineStr">
        <is>
          <t>Длительная: Дома и коттеджи</t>
        </is>
      </c>
      <c r="C192" s="9" t="inlineStr">
        <is>
          <t>Иркутская область</t>
        </is>
      </c>
      <c r="D192" s="10" t="n">
        <v>21</v>
      </c>
    </row>
    <row r="193">
      <c r="A193" s="9" t="inlineStr">
        <is>
          <t>Аренда квартир</t>
        </is>
      </c>
      <c r="B193" s="9" t="inlineStr">
        <is>
          <t>Длительная: Дома и коттеджи</t>
        </is>
      </c>
      <c r="C193" s="9" t="inlineStr">
        <is>
          <t>Кабардино-Балкарская Республика</t>
        </is>
      </c>
      <c r="D193" s="10" t="n">
        <v>9</v>
      </c>
    </row>
    <row r="194">
      <c r="A194" s="9" t="inlineStr">
        <is>
          <t>Аренда квартир</t>
        </is>
      </c>
      <c r="B194" s="9" t="inlineStr">
        <is>
          <t>Длительная: Дома и коттеджи</t>
        </is>
      </c>
      <c r="C194" s="9" t="inlineStr">
        <is>
          <t>Калининградская область</t>
        </is>
      </c>
      <c r="D194" s="10" t="n">
        <v>35</v>
      </c>
    </row>
    <row r="195">
      <c r="A195" s="9" t="inlineStr">
        <is>
          <t>Аренда квартир</t>
        </is>
      </c>
      <c r="B195" s="9" t="inlineStr">
        <is>
          <t>Длительная: Дома и коттеджи</t>
        </is>
      </c>
      <c r="C195" s="9" t="inlineStr">
        <is>
          <t>Республика Калмыкия</t>
        </is>
      </c>
      <c r="D195" s="10" t="n">
        <v>0</v>
      </c>
    </row>
    <row r="196">
      <c r="A196" s="9" t="inlineStr">
        <is>
          <t>Аренда квартир</t>
        </is>
      </c>
      <c r="B196" s="9" t="inlineStr">
        <is>
          <t>Длительная: Дома и коттеджи</t>
        </is>
      </c>
      <c r="C196" s="9" t="inlineStr">
        <is>
          <t>Калужская область</t>
        </is>
      </c>
      <c r="D196" s="10" t="n">
        <v>110</v>
      </c>
    </row>
    <row r="197">
      <c r="A197" s="9" t="inlineStr">
        <is>
          <t>Аренда квартир</t>
        </is>
      </c>
      <c r="B197" s="9" t="inlineStr">
        <is>
          <t>Длительная: Дома и коттеджи</t>
        </is>
      </c>
      <c r="C197" s="9" t="inlineStr">
        <is>
          <t>Камчатский край</t>
        </is>
      </c>
      <c r="D197" s="10" t="n">
        <v>2</v>
      </c>
    </row>
    <row r="198">
      <c r="A198" s="9" t="inlineStr">
        <is>
          <t>Аренда квартир</t>
        </is>
      </c>
      <c r="B198" s="9" t="inlineStr">
        <is>
          <t>Длительная: Дома и коттеджи</t>
        </is>
      </c>
      <c r="C198" s="9" t="inlineStr">
        <is>
          <t>Карачаево-Черкесская Республика</t>
        </is>
      </c>
      <c r="D198" s="10" t="n">
        <v>9</v>
      </c>
    </row>
    <row r="199">
      <c r="A199" s="9" t="inlineStr">
        <is>
          <t>Аренда квартир</t>
        </is>
      </c>
      <c r="B199" s="9" t="inlineStr">
        <is>
          <t>Длительная: Дома и коттеджи</t>
        </is>
      </c>
      <c r="C199" s="9" t="inlineStr">
        <is>
          <t>Республика Карелия</t>
        </is>
      </c>
      <c r="D199" s="10" t="n">
        <v>20</v>
      </c>
    </row>
    <row r="200">
      <c r="A200" s="9" t="inlineStr">
        <is>
          <t>Аренда квартир</t>
        </is>
      </c>
      <c r="B200" s="9" t="inlineStr">
        <is>
          <t>Длительная: Дома и коттеджи</t>
        </is>
      </c>
      <c r="C200" s="9" t="inlineStr">
        <is>
          <t>Кемеровская область</t>
        </is>
      </c>
      <c r="D200" s="10" t="n">
        <v>10</v>
      </c>
    </row>
    <row r="201">
      <c r="A201" s="9" t="inlineStr">
        <is>
          <t>Аренда квартир</t>
        </is>
      </c>
      <c r="B201" s="9" t="inlineStr">
        <is>
          <t>Длительная: Дома и коттеджи</t>
        </is>
      </c>
      <c r="C201" s="9" t="inlineStr">
        <is>
          <t>Кировская область</t>
        </is>
      </c>
      <c r="D201" s="10" t="n">
        <v>3</v>
      </c>
    </row>
    <row r="202">
      <c r="A202" s="9" t="inlineStr">
        <is>
          <t>Аренда квартир</t>
        </is>
      </c>
      <c r="B202" s="9" t="inlineStr">
        <is>
          <t>Длительная: Дома и коттеджи</t>
        </is>
      </c>
      <c r="C202" s="9" t="inlineStr">
        <is>
          <t>Республика Коми</t>
        </is>
      </c>
      <c r="D202" s="10" t="n">
        <v>0</v>
      </c>
    </row>
    <row r="203">
      <c r="A203" s="9" t="inlineStr">
        <is>
          <t>Аренда квартир</t>
        </is>
      </c>
      <c r="B203" s="9" t="inlineStr">
        <is>
          <t>Длительная: Дома и коттеджи</t>
        </is>
      </c>
      <c r="C203" s="9" t="inlineStr">
        <is>
          <t>Костромская область</t>
        </is>
      </c>
      <c r="D203" s="10" t="n">
        <v>15</v>
      </c>
    </row>
    <row r="204">
      <c r="A204" s="9" t="inlineStr">
        <is>
          <t>Аренда квартир</t>
        </is>
      </c>
      <c r="B204" s="9" t="inlineStr">
        <is>
          <t>Длительная: Дома и коттеджи</t>
        </is>
      </c>
      <c r="C204" s="9" t="inlineStr">
        <is>
          <t>Краснодарский край</t>
        </is>
      </c>
      <c r="D204" s="10" t="n">
        <v>863</v>
      </c>
    </row>
    <row r="205">
      <c r="A205" s="9" t="inlineStr">
        <is>
          <t>Аренда квартир</t>
        </is>
      </c>
      <c r="B205" s="9" t="inlineStr">
        <is>
          <t>Длительная: Дома и коттеджи</t>
        </is>
      </c>
      <c r="C205" s="9" t="inlineStr">
        <is>
          <t>Красноярский край</t>
        </is>
      </c>
      <c r="D205" s="10" t="n">
        <v>27</v>
      </c>
    </row>
    <row r="206">
      <c r="A206" s="9" t="inlineStr">
        <is>
          <t>Аренда квартир</t>
        </is>
      </c>
      <c r="B206" s="9" t="inlineStr">
        <is>
          <t>Длительная: Дома и коттеджи</t>
        </is>
      </c>
      <c r="C206" s="9" t="inlineStr">
        <is>
          <t>Курганская область</t>
        </is>
      </c>
      <c r="D206" s="10" t="n">
        <v>5</v>
      </c>
    </row>
    <row r="207">
      <c r="A207" s="9" t="inlineStr">
        <is>
          <t>Аренда квартир</t>
        </is>
      </c>
      <c r="B207" s="9" t="inlineStr">
        <is>
          <t>Длительная: Дома и коттеджи</t>
        </is>
      </c>
      <c r="C207" s="9" t="inlineStr">
        <is>
          <t>Курская область</t>
        </is>
      </c>
      <c r="D207" s="10" t="n">
        <v>35</v>
      </c>
    </row>
    <row r="208">
      <c r="A208" s="9" t="inlineStr">
        <is>
          <t>Аренда квартир</t>
        </is>
      </c>
      <c r="B208" s="9" t="inlineStr">
        <is>
          <t>Длительная: Дома и коттеджи</t>
        </is>
      </c>
      <c r="C208" s="9" t="inlineStr">
        <is>
          <t>Ленинградская область</t>
        </is>
      </c>
      <c r="D208" s="10" t="n">
        <v>837</v>
      </c>
    </row>
    <row r="209">
      <c r="A209" s="9" t="inlineStr">
        <is>
          <t>Аренда квартир</t>
        </is>
      </c>
      <c r="B209" s="9" t="inlineStr">
        <is>
          <t>Длительная: Дома и коттеджи</t>
        </is>
      </c>
      <c r="C209" s="9" t="inlineStr">
        <is>
          <t>Липецкая область</t>
        </is>
      </c>
      <c r="D209" s="10" t="n">
        <v>37</v>
      </c>
    </row>
    <row r="210">
      <c r="A210" s="9" t="inlineStr">
        <is>
          <t>Аренда квартир</t>
        </is>
      </c>
      <c r="B210" s="9" t="inlineStr">
        <is>
          <t>Длительная: Дома и коттеджи</t>
        </is>
      </c>
      <c r="C210" s="9" t="inlineStr">
        <is>
          <t>Магаданская область</t>
        </is>
      </c>
      <c r="D210" s="10" t="n">
        <v>0</v>
      </c>
    </row>
    <row r="211">
      <c r="A211" s="9" t="inlineStr">
        <is>
          <t>Аренда квартир</t>
        </is>
      </c>
      <c r="B211" s="9" t="inlineStr">
        <is>
          <t>Длительная: Дома и коттеджи</t>
        </is>
      </c>
      <c r="C211" s="9" t="inlineStr">
        <is>
          <t>Республика Марий Эл</t>
        </is>
      </c>
      <c r="D211" s="10" t="n">
        <v>2</v>
      </c>
    </row>
    <row r="212">
      <c r="A212" s="9" t="inlineStr">
        <is>
          <t>Аренда квартир</t>
        </is>
      </c>
      <c r="B212" s="9" t="inlineStr">
        <is>
          <t>Длительная: Дома и коттеджи</t>
        </is>
      </c>
      <c r="C212" s="9" t="inlineStr">
        <is>
          <t>Республика Мордовия</t>
        </is>
      </c>
      <c r="D212" s="10" t="n">
        <v>2</v>
      </c>
    </row>
    <row r="213">
      <c r="A213" s="9" t="inlineStr">
        <is>
          <t>Аренда квартир</t>
        </is>
      </c>
      <c r="B213" s="9" t="inlineStr">
        <is>
          <t>Длительная: Дома и коттеджи</t>
        </is>
      </c>
      <c r="C213" s="9" t="inlineStr">
        <is>
          <t>Московская область</t>
        </is>
      </c>
      <c r="D213" s="10" t="n">
        <v>3191</v>
      </c>
    </row>
    <row r="214">
      <c r="A214" s="9" t="inlineStr">
        <is>
          <t>Аренда квартир</t>
        </is>
      </c>
      <c r="B214" s="9" t="inlineStr">
        <is>
          <t>Длительная: Дома и коттеджи</t>
        </is>
      </c>
      <c r="C214" s="9" t="inlineStr">
        <is>
          <t>Мурманская область</t>
        </is>
      </c>
      <c r="D214" s="10" t="n">
        <v>3</v>
      </c>
    </row>
    <row r="215">
      <c r="A215" s="9" t="inlineStr">
        <is>
          <t>Аренда квартир</t>
        </is>
      </c>
      <c r="B215" s="9" t="inlineStr">
        <is>
          <t>Длительная: Дома и коттеджи</t>
        </is>
      </c>
      <c r="C215" s="9" t="inlineStr">
        <is>
          <t>Ненецкий автономный округ</t>
        </is>
      </c>
      <c r="D215" s="10" t="n">
        <v>0</v>
      </c>
    </row>
    <row r="216">
      <c r="A216" s="9" t="inlineStr">
        <is>
          <t>Аренда квартир</t>
        </is>
      </c>
      <c r="B216" s="9" t="inlineStr">
        <is>
          <t>Длительная: Дома и коттеджи</t>
        </is>
      </c>
      <c r="C216" s="9" t="inlineStr">
        <is>
          <t>Нижегородская область</t>
        </is>
      </c>
      <c r="D216" s="10" t="n">
        <v>82</v>
      </c>
    </row>
    <row r="217">
      <c r="A217" s="9" t="inlineStr">
        <is>
          <t>Аренда квартир</t>
        </is>
      </c>
      <c r="B217" s="9" t="inlineStr">
        <is>
          <t>Длительная: Дома и коттеджи</t>
        </is>
      </c>
      <c r="C217" s="9" t="inlineStr">
        <is>
          <t>Новгородская область</t>
        </is>
      </c>
      <c r="D217" s="10" t="n">
        <v>26</v>
      </c>
    </row>
    <row r="218">
      <c r="A218" s="9" t="inlineStr">
        <is>
          <t>Аренда квартир</t>
        </is>
      </c>
      <c r="B218" s="9" t="inlineStr">
        <is>
          <t>Длительная: Дома и коттеджи</t>
        </is>
      </c>
      <c r="C218" s="9" t="inlineStr">
        <is>
          <t>Новосибирская область</t>
        </is>
      </c>
      <c r="D218" s="10" t="n">
        <v>76</v>
      </c>
    </row>
    <row r="219">
      <c r="A219" s="9" t="inlineStr">
        <is>
          <t>Аренда квартир</t>
        </is>
      </c>
      <c r="B219" s="9" t="inlineStr">
        <is>
          <t>Длительная: Дома и коттеджи</t>
        </is>
      </c>
      <c r="C219" s="9" t="inlineStr">
        <is>
          <t>Омская область</t>
        </is>
      </c>
      <c r="D219" s="10" t="n">
        <v>14</v>
      </c>
    </row>
    <row r="220">
      <c r="A220" s="9" t="inlineStr">
        <is>
          <t>Аренда квартир</t>
        </is>
      </c>
      <c r="B220" s="9" t="inlineStr">
        <is>
          <t>Длительная: Дома и коттеджи</t>
        </is>
      </c>
      <c r="C220" s="9" t="inlineStr">
        <is>
          <t>Оренбургская область</t>
        </is>
      </c>
      <c r="D220" s="10" t="n">
        <v>16</v>
      </c>
    </row>
    <row r="221">
      <c r="A221" s="9" t="inlineStr">
        <is>
          <t>Аренда квартир</t>
        </is>
      </c>
      <c r="B221" s="9" t="inlineStr">
        <is>
          <t>Длительная: Дома и коттеджи</t>
        </is>
      </c>
      <c r="C221" s="9" t="inlineStr">
        <is>
          <t>Орловская область</t>
        </is>
      </c>
      <c r="D221" s="10" t="n">
        <v>6</v>
      </c>
    </row>
    <row r="222">
      <c r="A222" s="9" t="inlineStr">
        <is>
          <t>Аренда квартир</t>
        </is>
      </c>
      <c r="B222" s="9" t="inlineStr">
        <is>
          <t>Длительная: Дома и коттеджи</t>
        </is>
      </c>
      <c r="C222" s="9" t="inlineStr">
        <is>
          <t>Пензенская область</t>
        </is>
      </c>
      <c r="D222" s="10" t="n">
        <v>8</v>
      </c>
    </row>
    <row r="223">
      <c r="A223" s="9" t="inlineStr">
        <is>
          <t>Аренда квартир</t>
        </is>
      </c>
      <c r="B223" s="9" t="inlineStr">
        <is>
          <t>Длительная: Дома и коттеджи</t>
        </is>
      </c>
      <c r="C223" s="9" t="inlineStr">
        <is>
          <t>Пермский край</t>
        </is>
      </c>
      <c r="D223" s="10" t="n">
        <v>41</v>
      </c>
    </row>
    <row r="224">
      <c r="A224" s="9" t="inlineStr">
        <is>
          <t>Аренда квартир</t>
        </is>
      </c>
      <c r="B224" s="9" t="inlineStr">
        <is>
          <t>Длительная: Дома и коттеджи</t>
        </is>
      </c>
      <c r="C224" s="9" t="inlineStr">
        <is>
          <t>Приморский край</t>
        </is>
      </c>
      <c r="D224" s="10" t="n">
        <v>2</v>
      </c>
    </row>
    <row r="225">
      <c r="A225" s="9" t="inlineStr">
        <is>
          <t>Аренда квартир</t>
        </is>
      </c>
      <c r="B225" s="9" t="inlineStr">
        <is>
          <t>Длительная: Дома и коттеджи</t>
        </is>
      </c>
      <c r="C225" s="9" t="inlineStr">
        <is>
          <t>Псковская область</t>
        </is>
      </c>
      <c r="D225" s="10" t="n">
        <v>15</v>
      </c>
    </row>
    <row r="226">
      <c r="A226" s="9" t="inlineStr">
        <is>
          <t>Аренда квартир</t>
        </is>
      </c>
      <c r="B226" s="9" t="inlineStr">
        <is>
          <t>Длительная: Дома и коттеджи</t>
        </is>
      </c>
      <c r="C226" s="9" t="inlineStr">
        <is>
          <t>Ростовская область</t>
        </is>
      </c>
      <c r="D226" s="10" t="n">
        <v>211</v>
      </c>
    </row>
    <row r="227">
      <c r="A227" s="9" t="inlineStr">
        <is>
          <t>Аренда квартир</t>
        </is>
      </c>
      <c r="B227" s="9" t="inlineStr">
        <is>
          <t>Длительная: Дома и коттеджи</t>
        </is>
      </c>
      <c r="C227" s="9" t="inlineStr">
        <is>
          <t>Рязанская область</t>
        </is>
      </c>
      <c r="D227" s="10" t="n">
        <v>27</v>
      </c>
    </row>
    <row r="228">
      <c r="A228" s="9" t="inlineStr">
        <is>
          <t>Аренда квартир</t>
        </is>
      </c>
      <c r="B228" s="9" t="inlineStr">
        <is>
          <t>Длительная: Дома и коттеджи</t>
        </is>
      </c>
      <c r="C228" s="9" t="inlineStr">
        <is>
          <t>Самарская область</t>
        </is>
      </c>
      <c r="D228" s="10" t="n">
        <v>103</v>
      </c>
    </row>
    <row r="229">
      <c r="A229" s="9" t="inlineStr">
        <is>
          <t>Аренда квартир</t>
        </is>
      </c>
      <c r="B229" s="9" t="inlineStr">
        <is>
          <t>Длительная: Дома и коттеджи</t>
        </is>
      </c>
      <c r="C229" s="9" t="inlineStr">
        <is>
          <t>Саратовская область</t>
        </is>
      </c>
      <c r="D229" s="10" t="n">
        <v>62</v>
      </c>
    </row>
    <row r="230">
      <c r="A230" s="9" t="inlineStr">
        <is>
          <t>Аренда квартир</t>
        </is>
      </c>
      <c r="B230" s="9" t="inlineStr">
        <is>
          <t>Длительная: Дома и коттеджи</t>
        </is>
      </c>
      <c r="C230" s="9" t="inlineStr">
        <is>
          <t>Республика Саха (Якутия)</t>
        </is>
      </c>
      <c r="D230" s="10" t="n">
        <v>2</v>
      </c>
    </row>
    <row r="231">
      <c r="A231" s="9" t="inlineStr">
        <is>
          <t>Аренда квартир</t>
        </is>
      </c>
      <c r="B231" s="9" t="inlineStr">
        <is>
          <t>Длительная: Дома и коттеджи</t>
        </is>
      </c>
      <c r="C231" s="9" t="inlineStr">
        <is>
          <t>Сахалинская область</t>
        </is>
      </c>
      <c r="D231" s="10" t="n">
        <v>7</v>
      </c>
    </row>
    <row r="232">
      <c r="A232" s="9" t="inlineStr">
        <is>
          <t>Аренда квартир</t>
        </is>
      </c>
      <c r="B232" s="9" t="inlineStr">
        <is>
          <t>Длительная: Дома и коттеджи</t>
        </is>
      </c>
      <c r="C232" s="9" t="inlineStr">
        <is>
          <t>Свердловская область</t>
        </is>
      </c>
      <c r="D232" s="10" t="n">
        <v>93</v>
      </c>
    </row>
    <row r="233">
      <c r="A233" s="9" t="inlineStr">
        <is>
          <t>Аренда квартир</t>
        </is>
      </c>
      <c r="B233" s="9" t="inlineStr">
        <is>
          <t>Длительная: Дома и коттеджи</t>
        </is>
      </c>
      <c r="C233" s="9" t="inlineStr">
        <is>
          <t>Республика Северная Осетия - Алания</t>
        </is>
      </c>
      <c r="D233" s="10" t="n">
        <v>13</v>
      </c>
    </row>
    <row r="234">
      <c r="A234" s="9" t="inlineStr">
        <is>
          <t>Аренда квартир</t>
        </is>
      </c>
      <c r="B234" s="9" t="inlineStr">
        <is>
          <t>Длительная: Дома и коттеджи</t>
        </is>
      </c>
      <c r="C234" s="9" t="inlineStr">
        <is>
          <t>Смоленская область</t>
        </is>
      </c>
      <c r="D234" s="10" t="n">
        <v>20</v>
      </c>
    </row>
    <row r="235">
      <c r="A235" s="9" t="inlineStr">
        <is>
          <t>Аренда квартир</t>
        </is>
      </c>
      <c r="B235" s="9" t="inlineStr">
        <is>
          <t>Длительная: Дома и коттеджи</t>
        </is>
      </c>
      <c r="C235" s="9" t="inlineStr">
        <is>
          <t>Ставропольский край</t>
        </is>
      </c>
      <c r="D235" s="10" t="n">
        <v>68</v>
      </c>
    </row>
    <row r="236">
      <c r="A236" s="9" t="inlineStr">
        <is>
          <t>Аренда квартир</t>
        </is>
      </c>
      <c r="B236" s="9" t="inlineStr">
        <is>
          <t>Длительная: Дома и коттеджи</t>
        </is>
      </c>
      <c r="C236" s="9" t="inlineStr">
        <is>
          <t>Тамбовская область</t>
        </is>
      </c>
      <c r="D236" s="10" t="n">
        <v>11</v>
      </c>
    </row>
    <row r="237">
      <c r="A237" s="9" t="inlineStr">
        <is>
          <t>Аренда квартир</t>
        </is>
      </c>
      <c r="B237" s="9" t="inlineStr">
        <is>
          <t>Длительная: Дома и коттеджи</t>
        </is>
      </c>
      <c r="C237" s="9" t="inlineStr">
        <is>
          <t>Республика Татарстан</t>
        </is>
      </c>
      <c r="D237" s="10" t="n">
        <v>103</v>
      </c>
    </row>
    <row r="238">
      <c r="A238" s="9" t="inlineStr">
        <is>
          <t>Аренда квартир</t>
        </is>
      </c>
      <c r="B238" s="9" t="inlineStr">
        <is>
          <t>Длительная: Дома и коттеджи</t>
        </is>
      </c>
      <c r="C238" s="9" t="inlineStr">
        <is>
          <t>Тверская область</t>
        </is>
      </c>
      <c r="D238" s="10" t="n">
        <v>165</v>
      </c>
    </row>
    <row r="239">
      <c r="A239" s="9" t="inlineStr">
        <is>
          <t>Аренда квартир</t>
        </is>
      </c>
      <c r="B239" s="9" t="inlineStr">
        <is>
          <t>Длительная: Дома и коттеджи</t>
        </is>
      </c>
      <c r="C239" s="9" t="inlineStr">
        <is>
          <t>Томская область</t>
        </is>
      </c>
      <c r="D239" s="10" t="n">
        <v>10</v>
      </c>
    </row>
    <row r="240">
      <c r="A240" s="9" t="inlineStr">
        <is>
          <t>Аренда квартир</t>
        </is>
      </c>
      <c r="B240" s="9" t="inlineStr">
        <is>
          <t>Длительная: Дома и коттеджи</t>
        </is>
      </c>
      <c r="C240" s="9" t="inlineStr">
        <is>
          <t>Тульская область</t>
        </is>
      </c>
      <c r="D240" s="10" t="n">
        <v>75</v>
      </c>
    </row>
    <row r="241">
      <c r="A241" s="9" t="inlineStr">
        <is>
          <t>Аренда квартир</t>
        </is>
      </c>
      <c r="B241" s="9" t="inlineStr">
        <is>
          <t>Длительная: Дома и коттеджи</t>
        </is>
      </c>
      <c r="C241" s="9" t="inlineStr">
        <is>
          <t>Республика Тыва</t>
        </is>
      </c>
      <c r="D241" s="10" t="n">
        <v>1</v>
      </c>
    </row>
    <row r="242">
      <c r="A242" s="9" t="inlineStr">
        <is>
          <t>Аренда квартир</t>
        </is>
      </c>
      <c r="B242" s="9" t="inlineStr">
        <is>
          <t>Длительная: Дома и коттеджи</t>
        </is>
      </c>
      <c r="C242" s="9" t="inlineStr">
        <is>
          <t>Тюменская область</t>
        </is>
      </c>
      <c r="D242" s="10" t="n">
        <v>35</v>
      </c>
    </row>
    <row r="243">
      <c r="A243" s="9" t="inlineStr">
        <is>
          <t>Аренда квартир</t>
        </is>
      </c>
      <c r="B243" s="9" t="inlineStr">
        <is>
          <t>Длительная: Дома и коттеджи</t>
        </is>
      </c>
      <c r="C243" s="9" t="inlineStr">
        <is>
          <t>Удмуртская Республика</t>
        </is>
      </c>
      <c r="D243" s="10" t="n">
        <v>5</v>
      </c>
    </row>
    <row r="244">
      <c r="A244" s="9" t="inlineStr">
        <is>
          <t>Аренда квартир</t>
        </is>
      </c>
      <c r="B244" s="9" t="inlineStr">
        <is>
          <t>Длительная: Дома и коттеджи</t>
        </is>
      </c>
      <c r="C244" s="9" t="inlineStr">
        <is>
          <t>Ульяновская область</t>
        </is>
      </c>
      <c r="D244" s="10" t="n">
        <v>14</v>
      </c>
    </row>
    <row r="245">
      <c r="A245" s="9" t="inlineStr">
        <is>
          <t>Аренда квартир</t>
        </is>
      </c>
      <c r="B245" s="9" t="inlineStr">
        <is>
          <t>Длительная: Дома и коттеджи</t>
        </is>
      </c>
      <c r="C245" s="9" t="inlineStr">
        <is>
          <t>Хабаровский край</t>
        </is>
      </c>
      <c r="D245" s="10" t="n">
        <v>8</v>
      </c>
    </row>
    <row r="246">
      <c r="A246" s="9" t="inlineStr">
        <is>
          <t>Аренда квартир</t>
        </is>
      </c>
      <c r="B246" s="9" t="inlineStr">
        <is>
          <t>Длительная: Дома и коттеджи</t>
        </is>
      </c>
      <c r="C246" s="9" t="inlineStr">
        <is>
          <t>Республика Хакасия</t>
        </is>
      </c>
      <c r="D246" s="10" t="n">
        <v>2</v>
      </c>
    </row>
    <row r="247">
      <c r="A247" s="9" t="inlineStr">
        <is>
          <t>Аренда квартир</t>
        </is>
      </c>
      <c r="B247" s="9" t="inlineStr">
        <is>
          <t>Длительная: Дома и коттеджи</t>
        </is>
      </c>
      <c r="C247" s="9" t="inlineStr">
        <is>
          <t>Ханты-Мансийский автономный округ</t>
        </is>
      </c>
      <c r="D247" s="10" t="n">
        <v>7</v>
      </c>
    </row>
    <row r="248">
      <c r="A248" s="9" t="inlineStr">
        <is>
          <t>Аренда квартир</t>
        </is>
      </c>
      <c r="B248" s="9" t="inlineStr">
        <is>
          <t>Длительная: Дома и коттеджи</t>
        </is>
      </c>
      <c r="C248" s="9" t="inlineStr">
        <is>
          <t>Челябинская область</t>
        </is>
      </c>
      <c r="D248" s="10" t="n">
        <v>37</v>
      </c>
    </row>
    <row r="249">
      <c r="A249" s="9" t="inlineStr">
        <is>
          <t>Аренда квартир</t>
        </is>
      </c>
      <c r="B249" s="9" t="inlineStr">
        <is>
          <t>Длительная: Дома и коттеджи</t>
        </is>
      </c>
      <c r="C249" s="9" t="inlineStr">
        <is>
          <t>Чеченская Республика</t>
        </is>
      </c>
      <c r="D249" s="10" t="n">
        <v>4</v>
      </c>
    </row>
    <row r="250">
      <c r="A250" s="9" t="inlineStr">
        <is>
          <t>Аренда квартир</t>
        </is>
      </c>
      <c r="B250" s="9" t="inlineStr">
        <is>
          <t>Длительная: Дома и коттеджи</t>
        </is>
      </c>
      <c r="C250" s="9" t="inlineStr">
        <is>
          <t>Чувашская Республика</t>
        </is>
      </c>
      <c r="D250" s="10" t="n">
        <v>3</v>
      </c>
    </row>
    <row r="251">
      <c r="A251" s="9" t="inlineStr">
        <is>
          <t>Аренда квартир</t>
        </is>
      </c>
      <c r="B251" s="9" t="inlineStr">
        <is>
          <t>Длительная: Дома и коттеджи</t>
        </is>
      </c>
      <c r="C251" s="9" t="inlineStr">
        <is>
          <t>Чукотский автономный округ</t>
        </is>
      </c>
      <c r="D251" s="10" t="n">
        <v>0</v>
      </c>
    </row>
    <row r="252">
      <c r="A252" s="9" t="inlineStr">
        <is>
          <t>Аренда квартир</t>
        </is>
      </c>
      <c r="B252" s="9" t="inlineStr">
        <is>
          <t>Длительная: Дома и коттеджи</t>
        </is>
      </c>
      <c r="C252" s="9" t="inlineStr">
        <is>
          <t>Ямало-Ненецкий автономный округ</t>
        </is>
      </c>
      <c r="D252" s="10" t="n">
        <v>5</v>
      </c>
    </row>
    <row r="253">
      <c r="A253" s="9" t="inlineStr">
        <is>
          <t>Аренда квартир</t>
        </is>
      </c>
      <c r="B253" s="9" t="inlineStr">
        <is>
          <t>Длительная: Дома и коттеджи</t>
        </is>
      </c>
      <c r="C253" s="9" t="inlineStr">
        <is>
          <t>Ярославская область</t>
        </is>
      </c>
      <c r="D253" s="10" t="n">
        <v>83</v>
      </c>
    </row>
    <row r="254">
      <c r="A254" s="9" t="inlineStr">
        <is>
          <t>Аренда квартир</t>
        </is>
      </c>
      <c r="B254" s="9" t="inlineStr">
        <is>
          <t>Длительная: Дома и коттеджи</t>
        </is>
      </c>
      <c r="C254" s="9" t="inlineStr">
        <is>
          <t>Республика Крым</t>
        </is>
      </c>
      <c r="D254" s="10" t="n">
        <v>233</v>
      </c>
    </row>
    <row r="255">
      <c r="A255" s="9" t="inlineStr">
        <is>
          <t>Аренда квартир</t>
        </is>
      </c>
      <c r="B255" s="9" t="inlineStr">
        <is>
          <t>Длительная: Дома и коттеджи</t>
        </is>
      </c>
      <c r="C255" s="9" t="inlineStr">
        <is>
          <t>Севастополь</t>
        </is>
      </c>
      <c r="D255" s="10" t="n">
        <v>62</v>
      </c>
    </row>
    <row r="256">
      <c r="A256" s="9" t="inlineStr">
        <is>
          <t>Аренда квартир</t>
        </is>
      </c>
      <c r="B256" s="9" t="inlineStr">
        <is>
          <t>Длительная: Дома и коттеджи</t>
        </is>
      </c>
      <c r="C256" s="9" t="inlineStr">
        <is>
          <t>Забайкальский край</t>
        </is>
      </c>
      <c r="D256" s="10" t="n">
        <v>4</v>
      </c>
    </row>
    <row r="257">
      <c r="A257" s="11" t="inlineStr">
        <is>
          <t>Аренда квартир</t>
        </is>
      </c>
      <c r="B257" s="12" t="inlineStr">
        <is>
          <t>Посуточная аренда</t>
        </is>
      </c>
      <c r="C257" s="13" t="inlineStr">
        <is>
          <t>Москва</t>
        </is>
      </c>
      <c r="D257" s="14" t="n">
        <v>52812</v>
      </c>
    </row>
    <row r="258">
      <c r="A258" s="9" t="inlineStr">
        <is>
          <t>Аренда квартир</t>
        </is>
      </c>
      <c r="B258" s="9" t="inlineStr">
        <is>
          <t>Посуточная аренда</t>
        </is>
      </c>
      <c r="C258" s="9" t="inlineStr">
        <is>
          <t>Санкт-Петербург</t>
        </is>
      </c>
      <c r="D258" s="10" t="n">
        <v>62838</v>
      </c>
    </row>
    <row r="259">
      <c r="A259" s="9" t="inlineStr">
        <is>
          <t>Аренда квартир</t>
        </is>
      </c>
      <c r="B259" s="9" t="inlineStr">
        <is>
          <t>Посуточная аренда</t>
        </is>
      </c>
      <c r="C259" s="9" t="inlineStr">
        <is>
          <t>Республика Адыгея</t>
        </is>
      </c>
      <c r="D259" s="10" t="n">
        <v>1060</v>
      </c>
    </row>
    <row r="260">
      <c r="A260" s="9" t="inlineStr">
        <is>
          <t>Аренда квартир</t>
        </is>
      </c>
      <c r="B260" s="9" t="inlineStr">
        <is>
          <t>Посуточная аренда</t>
        </is>
      </c>
      <c r="C260" s="9" t="inlineStr">
        <is>
          <t>Республика Алтай</t>
        </is>
      </c>
      <c r="D260" s="10" t="n">
        <v>484</v>
      </c>
    </row>
    <row r="261">
      <c r="A261" s="9" t="inlineStr">
        <is>
          <t>Аренда квартир</t>
        </is>
      </c>
      <c r="B261" s="9" t="inlineStr">
        <is>
          <t>Посуточная аренда</t>
        </is>
      </c>
      <c r="C261" s="9" t="inlineStr">
        <is>
          <t>Алтайский край</t>
        </is>
      </c>
      <c r="D261" s="10" t="n">
        <v>3814</v>
      </c>
    </row>
    <row r="262">
      <c r="A262" s="9" t="inlineStr">
        <is>
          <t>Аренда квартир</t>
        </is>
      </c>
      <c r="B262" s="9" t="inlineStr">
        <is>
          <t>Посуточная аренда</t>
        </is>
      </c>
      <c r="C262" s="9" t="inlineStr">
        <is>
          <t>Амурская область</t>
        </is>
      </c>
      <c r="D262" s="10" t="n">
        <v>2050</v>
      </c>
    </row>
    <row r="263">
      <c r="A263" s="9" t="inlineStr">
        <is>
          <t>Аренда квартир</t>
        </is>
      </c>
      <c r="B263" s="9" t="inlineStr">
        <is>
          <t>Посуточная аренда</t>
        </is>
      </c>
      <c r="C263" s="9" t="inlineStr">
        <is>
          <t>Архангельская область</t>
        </is>
      </c>
      <c r="D263" s="10" t="n">
        <v>2153</v>
      </c>
    </row>
    <row r="264">
      <c r="A264" s="9" t="inlineStr">
        <is>
          <t>Аренда квартир</t>
        </is>
      </c>
      <c r="B264" s="9" t="inlineStr">
        <is>
          <t>Посуточная аренда</t>
        </is>
      </c>
      <c r="C264" s="9" t="inlineStr">
        <is>
          <t>Астраханская область</t>
        </is>
      </c>
      <c r="D264" s="10" t="n">
        <v>2285</v>
      </c>
    </row>
    <row r="265">
      <c r="A265" s="9" t="inlineStr">
        <is>
          <t>Аренда квартир</t>
        </is>
      </c>
      <c r="B265" s="9" t="inlineStr">
        <is>
          <t>Посуточная аренда</t>
        </is>
      </c>
      <c r="C265" s="9" t="inlineStr">
        <is>
          <t>Республика Башкортостан</t>
        </is>
      </c>
      <c r="D265" s="10" t="n">
        <v>7951</v>
      </c>
    </row>
    <row r="266">
      <c r="A266" s="9" t="inlineStr">
        <is>
          <t>Аренда квартир</t>
        </is>
      </c>
      <c r="B266" s="9" t="inlineStr">
        <is>
          <t>Посуточная аренда</t>
        </is>
      </c>
      <c r="C266" s="9" t="inlineStr">
        <is>
          <t>Белгородская область</t>
        </is>
      </c>
      <c r="D266" s="10" t="n">
        <v>1891</v>
      </c>
    </row>
    <row r="267">
      <c r="A267" s="9" t="inlineStr">
        <is>
          <t>Аренда квартир</t>
        </is>
      </c>
      <c r="B267" s="9" t="inlineStr">
        <is>
          <t>Посуточная аренда</t>
        </is>
      </c>
      <c r="C267" s="9" t="inlineStr">
        <is>
          <t>Брянская область</t>
        </is>
      </c>
      <c r="D267" s="10" t="n">
        <v>923</v>
      </c>
    </row>
    <row r="268">
      <c r="A268" s="9" t="inlineStr">
        <is>
          <t>Аренда квартир</t>
        </is>
      </c>
      <c r="B268" s="9" t="inlineStr">
        <is>
          <t>Посуточная аренда</t>
        </is>
      </c>
      <c r="C268" s="9" t="inlineStr">
        <is>
          <t>Республика Бурятия</t>
        </is>
      </c>
      <c r="D268" s="10" t="n">
        <v>1796</v>
      </c>
    </row>
    <row r="269">
      <c r="A269" s="9" t="inlineStr">
        <is>
          <t>Аренда квартир</t>
        </is>
      </c>
      <c r="B269" s="9" t="inlineStr">
        <is>
          <t>Посуточная аренда</t>
        </is>
      </c>
      <c r="C269" s="9" t="inlineStr">
        <is>
          <t>Владимирская область</t>
        </is>
      </c>
      <c r="D269" s="10" t="n">
        <v>3258</v>
      </c>
    </row>
    <row r="270">
      <c r="A270" s="9" t="inlineStr">
        <is>
          <t>Аренда квартир</t>
        </is>
      </c>
      <c r="B270" s="9" t="inlineStr">
        <is>
          <t>Посуточная аренда</t>
        </is>
      </c>
      <c r="C270" s="9" t="inlineStr">
        <is>
          <t>Волгоградская область</t>
        </is>
      </c>
      <c r="D270" s="10" t="n">
        <v>7301</v>
      </c>
    </row>
    <row r="271">
      <c r="A271" s="9" t="inlineStr">
        <is>
          <t>Аренда квартир</t>
        </is>
      </c>
      <c r="B271" s="9" t="inlineStr">
        <is>
          <t>Посуточная аренда</t>
        </is>
      </c>
      <c r="C271" s="9" t="inlineStr">
        <is>
          <t>Вологодская область</t>
        </is>
      </c>
      <c r="D271" s="10" t="n">
        <v>2750</v>
      </c>
    </row>
    <row r="272">
      <c r="A272" s="9" t="inlineStr">
        <is>
          <t>Аренда квартир</t>
        </is>
      </c>
      <c r="B272" s="9" t="inlineStr">
        <is>
          <t>Посуточная аренда</t>
        </is>
      </c>
      <c r="C272" s="9" t="inlineStr">
        <is>
          <t>Воронежская область</t>
        </is>
      </c>
      <c r="D272" s="10" t="n">
        <v>6539</v>
      </c>
    </row>
    <row r="273">
      <c r="A273" s="9" t="inlineStr">
        <is>
          <t>Аренда квартир</t>
        </is>
      </c>
      <c r="B273" s="9" t="inlineStr">
        <is>
          <t>Посуточная аренда</t>
        </is>
      </c>
      <c r="C273" s="9" t="inlineStr">
        <is>
          <t>Республика Дагестан</t>
        </is>
      </c>
      <c r="D273" s="10" t="n">
        <v>8028</v>
      </c>
    </row>
    <row r="274">
      <c r="A274" s="9" t="inlineStr">
        <is>
          <t>Аренда квартир</t>
        </is>
      </c>
      <c r="B274" s="9" t="inlineStr">
        <is>
          <t>Посуточная аренда</t>
        </is>
      </c>
      <c r="C274" s="9" t="inlineStr">
        <is>
          <t>Еврейская автономная область</t>
        </is>
      </c>
      <c r="D274" s="10" t="n">
        <v>168</v>
      </c>
    </row>
    <row r="275">
      <c r="A275" s="9" t="inlineStr">
        <is>
          <t>Аренда квартир</t>
        </is>
      </c>
      <c r="B275" s="9" t="inlineStr">
        <is>
          <t>Посуточная аренда</t>
        </is>
      </c>
      <c r="C275" s="9" t="inlineStr">
        <is>
          <t>Ивановская область</t>
        </is>
      </c>
      <c r="D275" s="10" t="n">
        <v>1567</v>
      </c>
    </row>
    <row r="276">
      <c r="A276" s="9" t="inlineStr">
        <is>
          <t>Аренда квартир</t>
        </is>
      </c>
      <c r="B276" s="9" t="inlineStr">
        <is>
          <t>Посуточная аренда</t>
        </is>
      </c>
      <c r="C276" s="9" t="inlineStr">
        <is>
          <t>Республика Ингушетия</t>
        </is>
      </c>
      <c r="D276" s="10" t="n">
        <v>13</v>
      </c>
    </row>
    <row r="277">
      <c r="A277" s="9" t="inlineStr">
        <is>
          <t>Аренда квартир</t>
        </is>
      </c>
      <c r="B277" s="9" t="inlineStr">
        <is>
          <t>Посуточная аренда</t>
        </is>
      </c>
      <c r="C277" s="9" t="inlineStr">
        <is>
          <t>Иркутская область</t>
        </is>
      </c>
      <c r="D277" s="10" t="n">
        <v>7074</v>
      </c>
    </row>
    <row r="278">
      <c r="A278" s="9" t="inlineStr">
        <is>
          <t>Аренда квартир</t>
        </is>
      </c>
      <c r="B278" s="9" t="inlineStr">
        <is>
          <t>Посуточная аренда</t>
        </is>
      </c>
      <c r="C278" s="9" t="inlineStr">
        <is>
          <t>Кабардино-Балкарская Республика</t>
        </is>
      </c>
      <c r="D278" s="10" t="n">
        <v>1655</v>
      </c>
    </row>
    <row r="279">
      <c r="A279" s="9" t="inlineStr">
        <is>
          <t>Аренда квартир</t>
        </is>
      </c>
      <c r="B279" s="9" t="inlineStr">
        <is>
          <t>Посуточная аренда</t>
        </is>
      </c>
      <c r="C279" s="9" t="inlineStr">
        <is>
          <t>Калининградская область</t>
        </is>
      </c>
      <c r="D279" s="10" t="n">
        <v>31772</v>
      </c>
    </row>
    <row r="280">
      <c r="A280" s="9" t="inlineStr">
        <is>
          <t>Аренда квартир</t>
        </is>
      </c>
      <c r="B280" s="9" t="inlineStr">
        <is>
          <t>Посуточная аренда</t>
        </is>
      </c>
      <c r="C280" s="9" t="inlineStr">
        <is>
          <t>Республика Калмыкия</t>
        </is>
      </c>
      <c r="D280" s="10" t="n">
        <v>500</v>
      </c>
    </row>
    <row r="281">
      <c r="A281" s="9" t="inlineStr">
        <is>
          <t>Аренда квартир</t>
        </is>
      </c>
      <c r="B281" s="9" t="inlineStr">
        <is>
          <t>Посуточная аренда</t>
        </is>
      </c>
      <c r="C281" s="9" t="inlineStr">
        <is>
          <t>Калужская область</t>
        </is>
      </c>
      <c r="D281" s="10" t="n">
        <v>2938</v>
      </c>
    </row>
    <row r="282">
      <c r="A282" s="9" t="inlineStr">
        <is>
          <t>Аренда квартир</t>
        </is>
      </c>
      <c r="B282" s="9" t="inlineStr">
        <is>
          <t>Посуточная аренда</t>
        </is>
      </c>
      <c r="C282" s="9" t="inlineStr">
        <is>
          <t>Камчатский край</t>
        </is>
      </c>
      <c r="D282" s="10" t="n">
        <v>1960</v>
      </c>
    </row>
    <row r="283">
      <c r="A283" s="9" t="inlineStr">
        <is>
          <t>Аренда квартир</t>
        </is>
      </c>
      <c r="B283" s="9" t="inlineStr">
        <is>
          <t>Посуточная аренда</t>
        </is>
      </c>
      <c r="C283" s="9" t="inlineStr">
        <is>
          <t>Карачаево-Черкесская Республика</t>
        </is>
      </c>
      <c r="D283" s="10" t="n">
        <v>1045</v>
      </c>
    </row>
    <row r="284">
      <c r="A284" s="9" t="inlineStr">
        <is>
          <t>Аренда квартир</t>
        </is>
      </c>
      <c r="B284" s="9" t="inlineStr">
        <is>
          <t>Посуточная аренда</t>
        </is>
      </c>
      <c r="C284" s="9" t="inlineStr">
        <is>
          <t>Республика Карелия</t>
        </is>
      </c>
      <c r="D284" s="10" t="n">
        <v>4210</v>
      </c>
    </row>
    <row r="285">
      <c r="A285" s="9" t="inlineStr">
        <is>
          <t>Аренда квартир</t>
        </is>
      </c>
      <c r="B285" s="9" t="inlineStr">
        <is>
          <t>Посуточная аренда</t>
        </is>
      </c>
      <c r="C285" s="9" t="inlineStr">
        <is>
          <t>Кемеровская область</t>
        </is>
      </c>
      <c r="D285" s="10" t="n">
        <v>5366</v>
      </c>
    </row>
    <row r="286">
      <c r="A286" s="9" t="inlineStr">
        <is>
          <t>Аренда квартир</t>
        </is>
      </c>
      <c r="B286" s="9" t="inlineStr">
        <is>
          <t>Посуточная аренда</t>
        </is>
      </c>
      <c r="C286" s="9" t="inlineStr">
        <is>
          <t>Кировская область</t>
        </is>
      </c>
      <c r="D286" s="10" t="n">
        <v>1767</v>
      </c>
    </row>
    <row r="287">
      <c r="A287" s="9" t="inlineStr">
        <is>
          <t>Аренда квартир</t>
        </is>
      </c>
      <c r="B287" s="9" t="inlineStr">
        <is>
          <t>Посуточная аренда</t>
        </is>
      </c>
      <c r="C287" s="9" t="inlineStr">
        <is>
          <t>Республика Коми</t>
        </is>
      </c>
      <c r="D287" s="10" t="n">
        <v>1864</v>
      </c>
    </row>
    <row r="288">
      <c r="A288" s="9" t="inlineStr">
        <is>
          <t>Аренда квартир</t>
        </is>
      </c>
      <c r="B288" s="9" t="inlineStr">
        <is>
          <t>Посуточная аренда</t>
        </is>
      </c>
      <c r="C288" s="9" t="inlineStr">
        <is>
          <t>Костромская область</t>
        </is>
      </c>
      <c r="D288" s="10" t="n">
        <v>1752</v>
      </c>
    </row>
    <row r="289">
      <c r="A289" s="9" t="inlineStr">
        <is>
          <t>Аренда квартир</t>
        </is>
      </c>
      <c r="B289" s="9" t="inlineStr">
        <is>
          <t>Посуточная аренда</t>
        </is>
      </c>
      <c r="C289" s="9" t="inlineStr">
        <is>
          <t>Краснодарский край</t>
        </is>
      </c>
      <c r="D289" s="10" t="n">
        <v>77345</v>
      </c>
    </row>
    <row r="290">
      <c r="A290" s="9" t="inlineStr">
        <is>
          <t>Аренда квартир</t>
        </is>
      </c>
      <c r="B290" s="9" t="inlineStr">
        <is>
          <t>Посуточная аренда</t>
        </is>
      </c>
      <c r="C290" s="9" t="inlineStr">
        <is>
          <t>Красноярский край</t>
        </is>
      </c>
      <c r="D290" s="10" t="n">
        <v>9747</v>
      </c>
    </row>
    <row r="291">
      <c r="A291" s="9" t="inlineStr">
        <is>
          <t>Аренда квартир</t>
        </is>
      </c>
      <c r="B291" s="9" t="inlineStr">
        <is>
          <t>Посуточная аренда</t>
        </is>
      </c>
      <c r="C291" s="9" t="inlineStr">
        <is>
          <t>Курганская область</t>
        </is>
      </c>
      <c r="D291" s="10" t="n">
        <v>859</v>
      </c>
    </row>
    <row r="292">
      <c r="A292" s="9" t="inlineStr">
        <is>
          <t>Аренда квартир</t>
        </is>
      </c>
      <c r="B292" s="9" t="inlineStr">
        <is>
          <t>Посуточная аренда</t>
        </is>
      </c>
      <c r="C292" s="9" t="inlineStr">
        <is>
          <t>Курская область</t>
        </is>
      </c>
      <c r="D292" s="10" t="n">
        <v>1512</v>
      </c>
    </row>
    <row r="293">
      <c r="A293" s="9" t="inlineStr">
        <is>
          <t>Аренда квартир</t>
        </is>
      </c>
      <c r="B293" s="9" t="inlineStr">
        <is>
          <t>Посуточная аренда</t>
        </is>
      </c>
      <c r="C293" s="9" t="inlineStr">
        <is>
          <t>Ленинградская область</t>
        </is>
      </c>
      <c r="D293" s="10" t="n">
        <v>6304</v>
      </c>
    </row>
    <row r="294">
      <c r="A294" s="9" t="inlineStr">
        <is>
          <t>Аренда квартир</t>
        </is>
      </c>
      <c r="B294" s="9" t="inlineStr">
        <is>
          <t>Посуточная аренда</t>
        </is>
      </c>
      <c r="C294" s="9" t="inlineStr">
        <is>
          <t>Липецкая область</t>
        </is>
      </c>
      <c r="D294" s="10" t="n">
        <v>1567</v>
      </c>
    </row>
    <row r="295">
      <c r="A295" s="9" t="inlineStr">
        <is>
          <t>Аренда квартир</t>
        </is>
      </c>
      <c r="B295" s="9" t="inlineStr">
        <is>
          <t>Посуточная аренда</t>
        </is>
      </c>
      <c r="C295" s="9" t="inlineStr">
        <is>
          <t>Магаданская область</t>
        </is>
      </c>
      <c r="D295" s="10" t="n">
        <v>371</v>
      </c>
    </row>
    <row r="296">
      <c r="A296" s="9" t="inlineStr">
        <is>
          <t>Аренда квартир</t>
        </is>
      </c>
      <c r="B296" s="9" t="inlineStr">
        <is>
          <t>Посуточная аренда</t>
        </is>
      </c>
      <c r="C296" s="9" t="inlineStr">
        <is>
          <t>Республика Марий Эл</t>
        </is>
      </c>
      <c r="D296" s="10" t="n">
        <v>1242</v>
      </c>
    </row>
    <row r="297">
      <c r="A297" s="9" t="inlineStr">
        <is>
          <t>Аренда квартир</t>
        </is>
      </c>
      <c r="B297" s="9" t="inlineStr">
        <is>
          <t>Посуточная аренда</t>
        </is>
      </c>
      <c r="C297" s="9" t="inlineStr">
        <is>
          <t>Республика Мордовия</t>
        </is>
      </c>
      <c r="D297" s="10" t="n">
        <v>808</v>
      </c>
    </row>
    <row r="298">
      <c r="A298" s="9" t="inlineStr">
        <is>
          <t>Аренда квартир</t>
        </is>
      </c>
      <c r="B298" s="9" t="inlineStr">
        <is>
          <t>Посуточная аренда</t>
        </is>
      </c>
      <c r="C298" s="9" t="inlineStr">
        <is>
          <t>Московская область</t>
        </is>
      </c>
      <c r="D298" s="10" t="n">
        <v>23864</v>
      </c>
    </row>
    <row r="299">
      <c r="A299" s="9" t="inlineStr">
        <is>
          <t>Аренда квартир</t>
        </is>
      </c>
      <c r="B299" s="9" t="inlineStr">
        <is>
          <t>Посуточная аренда</t>
        </is>
      </c>
      <c r="C299" s="9" t="inlineStr">
        <is>
          <t>Мурманская область</t>
        </is>
      </c>
      <c r="D299" s="10" t="n">
        <v>4912</v>
      </c>
    </row>
    <row r="300">
      <c r="A300" s="9" t="inlineStr">
        <is>
          <t>Аренда квартир</t>
        </is>
      </c>
      <c r="B300" s="9" t="inlineStr">
        <is>
          <t>Посуточная аренда</t>
        </is>
      </c>
      <c r="C300" s="9" t="inlineStr">
        <is>
          <t>Ненецкий автономный округ</t>
        </is>
      </c>
      <c r="D300" s="10" t="n">
        <v>20</v>
      </c>
    </row>
    <row r="301">
      <c r="A301" s="9" t="inlineStr">
        <is>
          <t>Аренда квартир</t>
        </is>
      </c>
      <c r="B301" s="9" t="inlineStr">
        <is>
          <t>Посуточная аренда</t>
        </is>
      </c>
      <c r="C301" s="9" t="inlineStr">
        <is>
          <t>Нижегородская область</t>
        </is>
      </c>
      <c r="D301" s="10" t="n">
        <v>14122</v>
      </c>
    </row>
    <row r="302">
      <c r="A302" s="9" t="inlineStr">
        <is>
          <t>Аренда квартир</t>
        </is>
      </c>
      <c r="B302" s="9" t="inlineStr">
        <is>
          <t>Посуточная аренда</t>
        </is>
      </c>
      <c r="C302" s="9" t="inlineStr">
        <is>
          <t>Новгородская область</t>
        </is>
      </c>
      <c r="D302" s="10" t="n">
        <v>2485</v>
      </c>
    </row>
    <row r="303">
      <c r="A303" s="9" t="inlineStr">
        <is>
          <t>Аренда квартир</t>
        </is>
      </c>
      <c r="B303" s="9" t="inlineStr">
        <is>
          <t>Посуточная аренда</t>
        </is>
      </c>
      <c r="C303" s="9" t="inlineStr">
        <is>
          <t>Новосибирская область</t>
        </is>
      </c>
      <c r="D303" s="10" t="n">
        <v>12119</v>
      </c>
    </row>
    <row r="304">
      <c r="A304" s="9" t="inlineStr">
        <is>
          <t>Аренда квартир</t>
        </is>
      </c>
      <c r="B304" s="9" t="inlineStr">
        <is>
          <t>Посуточная аренда</t>
        </is>
      </c>
      <c r="C304" s="9" t="inlineStr">
        <is>
          <t>Омская область</t>
        </is>
      </c>
      <c r="D304" s="10" t="n">
        <v>2816</v>
      </c>
    </row>
    <row r="305">
      <c r="A305" s="9" t="inlineStr">
        <is>
          <t>Аренда квартир</t>
        </is>
      </c>
      <c r="B305" s="9" t="inlineStr">
        <is>
          <t>Посуточная аренда</t>
        </is>
      </c>
      <c r="C305" s="9" t="inlineStr">
        <is>
          <t>Оренбургская область</t>
        </is>
      </c>
      <c r="D305" s="10" t="n">
        <v>3287</v>
      </c>
    </row>
    <row r="306">
      <c r="A306" s="9" t="inlineStr">
        <is>
          <t>Аренда квартир</t>
        </is>
      </c>
      <c r="B306" s="9" t="inlineStr">
        <is>
          <t>Посуточная аренда</t>
        </is>
      </c>
      <c r="C306" s="9" t="inlineStr">
        <is>
          <t>Орловская область</t>
        </is>
      </c>
      <c r="D306" s="10" t="n">
        <v>1430</v>
      </c>
    </row>
    <row r="307">
      <c r="A307" s="9" t="inlineStr">
        <is>
          <t>Аренда квартир</t>
        </is>
      </c>
      <c r="B307" s="9" t="inlineStr">
        <is>
          <t>Посуточная аренда</t>
        </is>
      </c>
      <c r="C307" s="9" t="inlineStr">
        <is>
          <t>Пензенская область</t>
        </is>
      </c>
      <c r="D307" s="10" t="n">
        <v>1946</v>
      </c>
    </row>
    <row r="308">
      <c r="A308" s="9" t="inlineStr">
        <is>
          <t>Аренда квартир</t>
        </is>
      </c>
      <c r="B308" s="9" t="inlineStr">
        <is>
          <t>Посуточная аренда</t>
        </is>
      </c>
      <c r="C308" s="9" t="inlineStr">
        <is>
          <t>Пермский край</t>
        </is>
      </c>
      <c r="D308" s="10" t="n">
        <v>5309</v>
      </c>
    </row>
    <row r="309">
      <c r="A309" s="9" t="inlineStr">
        <is>
          <t>Аренда квартир</t>
        </is>
      </c>
      <c r="B309" s="9" t="inlineStr">
        <is>
          <t>Посуточная аренда</t>
        </is>
      </c>
      <c r="C309" s="9" t="inlineStr">
        <is>
          <t>Приморский край</t>
        </is>
      </c>
      <c r="D309" s="10" t="n">
        <v>10132</v>
      </c>
    </row>
    <row r="310">
      <c r="A310" s="9" t="inlineStr">
        <is>
          <t>Аренда квартир</t>
        </is>
      </c>
      <c r="B310" s="9" t="inlineStr">
        <is>
          <t>Посуточная аренда</t>
        </is>
      </c>
      <c r="C310" s="9" t="inlineStr">
        <is>
          <t>Псковская область</t>
        </is>
      </c>
      <c r="D310" s="10" t="n">
        <v>2453</v>
      </c>
    </row>
    <row r="311">
      <c r="A311" s="9" t="inlineStr">
        <is>
          <t>Аренда квартир</t>
        </is>
      </c>
      <c r="B311" s="9" t="inlineStr">
        <is>
          <t>Посуточная аренда</t>
        </is>
      </c>
      <c r="C311" s="9" t="inlineStr">
        <is>
          <t>Ростовская область</t>
        </is>
      </c>
      <c r="D311" s="10" t="n">
        <v>13371</v>
      </c>
    </row>
    <row r="312">
      <c r="A312" s="9" t="inlineStr">
        <is>
          <t>Аренда квартир</t>
        </is>
      </c>
      <c r="B312" s="9" t="inlineStr">
        <is>
          <t>Посуточная аренда</t>
        </is>
      </c>
      <c r="C312" s="9" t="inlineStr">
        <is>
          <t>Рязанская область</t>
        </is>
      </c>
      <c r="D312" s="10" t="n">
        <v>2956</v>
      </c>
    </row>
    <row r="313">
      <c r="A313" s="9" t="inlineStr">
        <is>
          <t>Аренда квартир</t>
        </is>
      </c>
      <c r="B313" s="9" t="inlineStr">
        <is>
          <t>Посуточная аренда</t>
        </is>
      </c>
      <c r="C313" s="9" t="inlineStr">
        <is>
          <t>Самарская область</t>
        </is>
      </c>
      <c r="D313" s="10" t="n">
        <v>8737</v>
      </c>
    </row>
    <row r="314">
      <c r="A314" s="9" t="inlineStr">
        <is>
          <t>Аренда квартир</t>
        </is>
      </c>
      <c r="B314" s="9" t="inlineStr">
        <is>
          <t>Посуточная аренда</t>
        </is>
      </c>
      <c r="C314" s="9" t="inlineStr">
        <is>
          <t>Саратовская область</t>
        </is>
      </c>
      <c r="D314" s="10" t="n">
        <v>3757</v>
      </c>
    </row>
    <row r="315">
      <c r="A315" s="9" t="inlineStr">
        <is>
          <t>Аренда квартир</t>
        </is>
      </c>
      <c r="B315" s="9" t="inlineStr">
        <is>
          <t>Посуточная аренда</t>
        </is>
      </c>
      <c r="C315" s="9" t="inlineStr">
        <is>
          <t>Республика Саха (Якутия)</t>
        </is>
      </c>
      <c r="D315" s="10" t="n">
        <v>984</v>
      </c>
    </row>
    <row r="316">
      <c r="A316" s="9" t="inlineStr">
        <is>
          <t>Аренда квартир</t>
        </is>
      </c>
      <c r="B316" s="9" t="inlineStr">
        <is>
          <t>Посуточная аренда</t>
        </is>
      </c>
      <c r="C316" s="9" t="inlineStr">
        <is>
          <t>Сахалинская область</t>
        </is>
      </c>
      <c r="D316" s="10" t="n">
        <v>2266</v>
      </c>
    </row>
    <row r="317">
      <c r="A317" s="9" t="inlineStr">
        <is>
          <t>Аренда квартир</t>
        </is>
      </c>
      <c r="B317" s="9" t="inlineStr">
        <is>
          <t>Посуточная аренда</t>
        </is>
      </c>
      <c r="C317" s="9" t="inlineStr">
        <is>
          <t>Свердловская область</t>
        </is>
      </c>
      <c r="D317" s="10" t="n">
        <v>15786</v>
      </c>
    </row>
    <row r="318">
      <c r="A318" s="9" t="inlineStr">
        <is>
          <t>Аренда квартир</t>
        </is>
      </c>
      <c r="B318" s="9" t="inlineStr">
        <is>
          <t>Посуточная аренда</t>
        </is>
      </c>
      <c r="C318" s="9" t="inlineStr">
        <is>
          <t>Республика Северная Осетия - Алания</t>
        </is>
      </c>
      <c r="D318" s="10" t="n">
        <v>2448</v>
      </c>
    </row>
    <row r="319">
      <c r="A319" s="9" t="inlineStr">
        <is>
          <t>Аренда квартир</t>
        </is>
      </c>
      <c r="B319" s="9" t="inlineStr">
        <is>
          <t>Посуточная аренда</t>
        </is>
      </c>
      <c r="C319" s="9" t="inlineStr">
        <is>
          <t>Смоленская область</t>
        </is>
      </c>
      <c r="D319" s="10" t="n">
        <v>1931</v>
      </c>
    </row>
    <row r="320">
      <c r="A320" s="9" t="inlineStr">
        <is>
          <t>Аренда квартир</t>
        </is>
      </c>
      <c r="B320" s="9" t="inlineStr">
        <is>
          <t>Посуточная аренда</t>
        </is>
      </c>
      <c r="C320" s="9" t="inlineStr">
        <is>
          <t>Ставропольский край</t>
        </is>
      </c>
      <c r="D320" s="10" t="n">
        <v>17644</v>
      </c>
    </row>
    <row r="321">
      <c r="A321" s="9" t="inlineStr">
        <is>
          <t>Аренда квартир</t>
        </is>
      </c>
      <c r="B321" s="9" t="inlineStr">
        <is>
          <t>Посуточная аренда</t>
        </is>
      </c>
      <c r="C321" s="9" t="inlineStr">
        <is>
          <t>Тамбовская область</t>
        </is>
      </c>
      <c r="D321" s="10" t="n">
        <v>1813</v>
      </c>
    </row>
    <row r="322">
      <c r="A322" s="9" t="inlineStr">
        <is>
          <t>Аренда квартир</t>
        </is>
      </c>
      <c r="B322" s="9" t="inlineStr">
        <is>
          <t>Посуточная аренда</t>
        </is>
      </c>
      <c r="C322" s="9" t="inlineStr">
        <is>
          <t>Республика Татарстан</t>
        </is>
      </c>
      <c r="D322" s="10" t="n">
        <v>21976</v>
      </c>
    </row>
    <row r="323">
      <c r="A323" s="9" t="inlineStr">
        <is>
          <t>Аренда квартир</t>
        </is>
      </c>
      <c r="B323" s="9" t="inlineStr">
        <is>
          <t>Посуточная аренда</t>
        </is>
      </c>
      <c r="C323" s="9" t="inlineStr">
        <is>
          <t>Тверская область</t>
        </is>
      </c>
      <c r="D323" s="10" t="n">
        <v>3128</v>
      </c>
    </row>
    <row r="324">
      <c r="A324" s="9" t="inlineStr">
        <is>
          <t>Аренда квартир</t>
        </is>
      </c>
      <c r="B324" s="9" t="inlineStr">
        <is>
          <t>Посуточная аренда</t>
        </is>
      </c>
      <c r="C324" s="9" t="inlineStr">
        <is>
          <t>Томская область</t>
        </is>
      </c>
      <c r="D324" s="10" t="n">
        <v>2586</v>
      </c>
    </row>
    <row r="325">
      <c r="A325" s="9" t="inlineStr">
        <is>
          <t>Аренда квартир</t>
        </is>
      </c>
      <c r="B325" s="9" t="inlineStr">
        <is>
          <t>Посуточная аренда</t>
        </is>
      </c>
      <c r="C325" s="9" t="inlineStr">
        <is>
          <t>Тульская область</t>
        </is>
      </c>
      <c r="D325" s="10" t="n">
        <v>3551</v>
      </c>
    </row>
    <row r="326">
      <c r="A326" s="9" t="inlineStr">
        <is>
          <t>Аренда квартир</t>
        </is>
      </c>
      <c r="B326" s="9" t="inlineStr">
        <is>
          <t>Посуточная аренда</t>
        </is>
      </c>
      <c r="C326" s="9" t="inlineStr">
        <is>
          <t>Республика Тыва</t>
        </is>
      </c>
      <c r="D326" s="10" t="n">
        <v>107</v>
      </c>
    </row>
    <row r="327">
      <c r="A327" s="9" t="inlineStr">
        <is>
          <t>Аренда квартир</t>
        </is>
      </c>
      <c r="B327" s="9" t="inlineStr">
        <is>
          <t>Посуточная аренда</t>
        </is>
      </c>
      <c r="C327" s="9" t="inlineStr">
        <is>
          <t>Тюменская область</t>
        </is>
      </c>
      <c r="D327" s="10" t="n">
        <v>9862</v>
      </c>
    </row>
    <row r="328">
      <c r="A328" s="9" t="inlineStr">
        <is>
          <t>Аренда квартир</t>
        </is>
      </c>
      <c r="B328" s="9" t="inlineStr">
        <is>
          <t>Посуточная аренда</t>
        </is>
      </c>
      <c r="C328" s="9" t="inlineStr">
        <is>
          <t>Удмуртская Республика</t>
        </is>
      </c>
      <c r="D328" s="10" t="n">
        <v>3169</v>
      </c>
    </row>
    <row r="329">
      <c r="A329" s="9" t="inlineStr">
        <is>
          <t>Аренда квартир</t>
        </is>
      </c>
      <c r="B329" s="9" t="inlineStr">
        <is>
          <t>Посуточная аренда</t>
        </is>
      </c>
      <c r="C329" s="9" t="inlineStr">
        <is>
          <t>Ульяновская область</t>
        </is>
      </c>
      <c r="D329" s="10" t="n">
        <v>2457</v>
      </c>
    </row>
    <row r="330">
      <c r="A330" s="9" t="inlineStr">
        <is>
          <t>Аренда квартир</t>
        </is>
      </c>
      <c r="B330" s="9" t="inlineStr">
        <is>
          <t>Посуточная аренда</t>
        </is>
      </c>
      <c r="C330" s="9" t="inlineStr">
        <is>
          <t>Хабаровский край</t>
        </is>
      </c>
      <c r="D330" s="10" t="n">
        <v>4465</v>
      </c>
    </row>
    <row r="331">
      <c r="A331" s="9" t="inlineStr">
        <is>
          <t>Аренда квартир</t>
        </is>
      </c>
      <c r="B331" s="9" t="inlineStr">
        <is>
          <t>Посуточная аренда</t>
        </is>
      </c>
      <c r="C331" s="9" t="inlineStr">
        <is>
          <t>Республика Хакасия</t>
        </is>
      </c>
      <c r="D331" s="10" t="n">
        <v>967</v>
      </c>
    </row>
    <row r="332">
      <c r="A332" s="9" t="inlineStr">
        <is>
          <t>Аренда квартир</t>
        </is>
      </c>
      <c r="B332" s="9" t="inlineStr">
        <is>
          <t>Посуточная аренда</t>
        </is>
      </c>
      <c r="C332" s="9" t="inlineStr">
        <is>
          <t>Ханты-Мансийский автономный округ</t>
        </is>
      </c>
      <c r="D332" s="10" t="n">
        <v>4661</v>
      </c>
    </row>
    <row r="333">
      <c r="A333" s="9" t="inlineStr">
        <is>
          <t>Аренда квартир</t>
        </is>
      </c>
      <c r="B333" s="9" t="inlineStr">
        <is>
          <t>Посуточная аренда</t>
        </is>
      </c>
      <c r="C333" s="9" t="inlineStr">
        <is>
          <t>Челябинская область</t>
        </is>
      </c>
      <c r="D333" s="10" t="n">
        <v>7018</v>
      </c>
    </row>
    <row r="334">
      <c r="A334" s="9" t="inlineStr">
        <is>
          <t>Аренда квартир</t>
        </is>
      </c>
      <c r="B334" s="9" t="inlineStr">
        <is>
          <t>Посуточная аренда</t>
        </is>
      </c>
      <c r="C334" s="9" t="inlineStr">
        <is>
          <t>Чеченская Республика</t>
        </is>
      </c>
      <c r="D334" s="10" t="n">
        <v>63</v>
      </c>
    </row>
    <row r="335">
      <c r="A335" s="9" t="inlineStr">
        <is>
          <t>Аренда квартир</t>
        </is>
      </c>
      <c r="B335" s="9" t="inlineStr">
        <is>
          <t>Посуточная аренда</t>
        </is>
      </c>
      <c r="C335" s="9" t="inlineStr">
        <is>
          <t>Чувашская Республика</t>
        </is>
      </c>
      <c r="D335" s="10" t="n">
        <v>1958</v>
      </c>
    </row>
    <row r="336">
      <c r="A336" s="9" t="inlineStr">
        <is>
          <t>Аренда квартир</t>
        </is>
      </c>
      <c r="B336" s="9" t="inlineStr">
        <is>
          <t>Посуточная аренда</t>
        </is>
      </c>
      <c r="C336" s="9" t="inlineStr">
        <is>
          <t>Чукотский автономный округ</t>
        </is>
      </c>
      <c r="D336" s="10" t="n">
        <v>32</v>
      </c>
    </row>
    <row r="337">
      <c r="A337" s="9" t="inlineStr">
        <is>
          <t>Аренда квартир</t>
        </is>
      </c>
      <c r="B337" s="9" t="inlineStr">
        <is>
          <t>Посуточная аренда</t>
        </is>
      </c>
      <c r="C337" s="9" t="inlineStr">
        <is>
          <t>Ямало-Ненецкий автономный округ</t>
        </is>
      </c>
      <c r="D337" s="10" t="n">
        <v>2357</v>
      </c>
    </row>
    <row r="338">
      <c r="A338" s="9" t="inlineStr">
        <is>
          <t>Аренда квартир</t>
        </is>
      </c>
      <c r="B338" s="9" t="inlineStr">
        <is>
          <t>Посуточная аренда</t>
        </is>
      </c>
      <c r="C338" s="9" t="inlineStr">
        <is>
          <t>Ярославская область</t>
        </is>
      </c>
      <c r="D338" s="10" t="n">
        <v>5923</v>
      </c>
    </row>
    <row r="339">
      <c r="A339" s="9" t="inlineStr">
        <is>
          <t>Аренда квартир</t>
        </is>
      </c>
      <c r="B339" s="9" t="inlineStr">
        <is>
          <t>Посуточная аренда</t>
        </is>
      </c>
      <c r="C339" s="9" t="inlineStr">
        <is>
          <t>Республика Крым</t>
        </is>
      </c>
      <c r="D339" s="10" t="n">
        <v>16405</v>
      </c>
    </row>
    <row r="340">
      <c r="A340" s="9" t="inlineStr">
        <is>
          <t>Аренда квартир</t>
        </is>
      </c>
      <c r="B340" s="9" t="inlineStr">
        <is>
          <t>Посуточная аренда</t>
        </is>
      </c>
      <c r="C340" s="9" t="inlineStr">
        <is>
          <t>Севастополь</t>
        </is>
      </c>
      <c r="D340" s="10" t="n">
        <v>4500</v>
      </c>
    </row>
    <row r="341">
      <c r="A341" s="9" t="inlineStr">
        <is>
          <t>Аренда квартир</t>
        </is>
      </c>
      <c r="B341" s="9" t="inlineStr">
        <is>
          <t>Посуточная аренда</t>
        </is>
      </c>
      <c r="C341" s="9" t="inlineStr">
        <is>
          <t>Забайкальский край</t>
        </is>
      </c>
      <c r="D341" s="10" t="n">
        <v>1307</v>
      </c>
    </row>
    <row r="342">
      <c r="A342" s="11" t="inlineStr">
        <is>
          <t>Продажи квартир</t>
        </is>
      </c>
      <c r="B342" s="12" t="inlineStr">
        <is>
          <t>Квартиры в новостройках</t>
        </is>
      </c>
      <c r="C342" s="13" t="inlineStr">
        <is>
          <t>Москва</t>
        </is>
      </c>
      <c r="D342" s="14" t="n">
        <v>54160</v>
      </c>
    </row>
    <row r="343">
      <c r="A343" s="9" t="inlineStr">
        <is>
          <t>Продажи квартир</t>
        </is>
      </c>
      <c r="B343" s="9" t="inlineStr">
        <is>
          <t>Квартиры в новостройках</t>
        </is>
      </c>
      <c r="C343" s="9" t="inlineStr">
        <is>
          <t>Санкт-Петербург</t>
        </is>
      </c>
      <c r="D343" s="10" t="n">
        <v>34307</v>
      </c>
    </row>
    <row r="344">
      <c r="A344" s="9" t="inlineStr">
        <is>
          <t>Продажи квартир</t>
        </is>
      </c>
      <c r="B344" s="9" t="inlineStr">
        <is>
          <t>Квартиры в новостройках</t>
        </is>
      </c>
      <c r="C344" s="9" t="inlineStr">
        <is>
          <t>Республика Адыгея</t>
        </is>
      </c>
      <c r="D344" s="10" t="n">
        <v>9473</v>
      </c>
    </row>
    <row r="345">
      <c r="A345" s="9" t="inlineStr">
        <is>
          <t>Продажи квартир</t>
        </is>
      </c>
      <c r="B345" s="9" t="inlineStr">
        <is>
          <t>Квартиры в новостройках</t>
        </is>
      </c>
      <c r="C345" s="9" t="inlineStr">
        <is>
          <t>Республика Алтай</t>
        </is>
      </c>
      <c r="D345" s="10" t="n">
        <v>819</v>
      </c>
    </row>
    <row r="346">
      <c r="A346" s="9" t="inlineStr">
        <is>
          <t>Продажи квартир</t>
        </is>
      </c>
      <c r="B346" s="9" t="inlineStr">
        <is>
          <t>Квартиры в новостройках</t>
        </is>
      </c>
      <c r="C346" s="9" t="inlineStr">
        <is>
          <t>Алтайский край</t>
        </is>
      </c>
      <c r="D346" s="10" t="n">
        <v>4914</v>
      </c>
    </row>
    <row r="347">
      <c r="A347" s="9" t="inlineStr">
        <is>
          <t>Продажи квартир</t>
        </is>
      </c>
      <c r="B347" s="9" t="inlineStr">
        <is>
          <t>Квартиры в новостройках</t>
        </is>
      </c>
      <c r="C347" s="9" t="inlineStr">
        <is>
          <t>Амурская область</t>
        </is>
      </c>
      <c r="D347" s="10" t="n">
        <v>1389</v>
      </c>
    </row>
    <row r="348">
      <c r="A348" s="9" t="inlineStr">
        <is>
          <t>Продажи квартир</t>
        </is>
      </c>
      <c r="B348" s="9" t="inlineStr">
        <is>
          <t>Квартиры в новостройках</t>
        </is>
      </c>
      <c r="C348" s="9" t="inlineStr">
        <is>
          <t>Архангельская область</t>
        </is>
      </c>
      <c r="D348" s="10" t="n">
        <v>4581</v>
      </c>
    </row>
    <row r="349">
      <c r="A349" s="9" t="inlineStr">
        <is>
          <t>Продажи квартир</t>
        </is>
      </c>
      <c r="B349" s="9" t="inlineStr">
        <is>
          <t>Квартиры в новостройках</t>
        </is>
      </c>
      <c r="C349" s="9" t="inlineStr">
        <is>
          <t>Астраханская область</t>
        </is>
      </c>
      <c r="D349" s="10" t="n">
        <v>6534</v>
      </c>
    </row>
    <row r="350">
      <c r="A350" s="9" t="inlineStr">
        <is>
          <t>Продажи квартир</t>
        </is>
      </c>
      <c r="B350" s="9" t="inlineStr">
        <is>
          <t>Квартиры в новостройках</t>
        </is>
      </c>
      <c r="C350" s="9" t="inlineStr">
        <is>
          <t>Республика Башкортостан</t>
        </is>
      </c>
      <c r="D350" s="10" t="n">
        <v>18964</v>
      </c>
    </row>
    <row r="351">
      <c r="A351" s="9" t="inlineStr">
        <is>
          <t>Продажи квартир</t>
        </is>
      </c>
      <c r="B351" s="9" t="inlineStr">
        <is>
          <t>Квартиры в новостройках</t>
        </is>
      </c>
      <c r="C351" s="9" t="inlineStr">
        <is>
          <t>Белгородская область</t>
        </is>
      </c>
      <c r="D351" s="10" t="n">
        <v>1105</v>
      </c>
    </row>
    <row r="352">
      <c r="A352" s="9" t="inlineStr">
        <is>
          <t>Продажи квартир</t>
        </is>
      </c>
      <c r="B352" s="9" t="inlineStr">
        <is>
          <t>Квартиры в новостройках</t>
        </is>
      </c>
      <c r="C352" s="9" t="inlineStr">
        <is>
          <t>Брянская область</t>
        </is>
      </c>
      <c r="D352" s="10" t="n">
        <v>3217</v>
      </c>
    </row>
    <row r="353">
      <c r="A353" s="9" t="inlineStr">
        <is>
          <t>Продажи квартир</t>
        </is>
      </c>
      <c r="B353" s="9" t="inlineStr">
        <is>
          <t>Квартиры в новостройках</t>
        </is>
      </c>
      <c r="C353" s="9" t="inlineStr">
        <is>
          <t>Республика Бурятия</t>
        </is>
      </c>
      <c r="D353" s="10" t="n">
        <v>1337</v>
      </c>
    </row>
    <row r="354">
      <c r="A354" s="9" t="inlineStr">
        <is>
          <t>Продажи квартир</t>
        </is>
      </c>
      <c r="B354" s="9" t="inlineStr">
        <is>
          <t>Квартиры в новостройках</t>
        </is>
      </c>
      <c r="C354" s="9" t="inlineStr">
        <is>
          <t>Владимирская область</t>
        </is>
      </c>
      <c r="D354" s="10" t="n">
        <v>3459</v>
      </c>
    </row>
    <row r="355">
      <c r="A355" s="9" t="inlineStr">
        <is>
          <t>Продажи квартир</t>
        </is>
      </c>
      <c r="B355" s="9" t="inlineStr">
        <is>
          <t>Квартиры в новостройках</t>
        </is>
      </c>
      <c r="C355" s="9" t="inlineStr">
        <is>
          <t>Волгоградская область</t>
        </is>
      </c>
      <c r="D355" s="10" t="n">
        <v>5357</v>
      </c>
    </row>
    <row r="356">
      <c r="A356" s="9" t="inlineStr">
        <is>
          <t>Продажи квартир</t>
        </is>
      </c>
      <c r="B356" s="9" t="inlineStr">
        <is>
          <t>Квартиры в новостройках</t>
        </is>
      </c>
      <c r="C356" s="9" t="inlineStr">
        <is>
          <t>Вологодская область</t>
        </is>
      </c>
      <c r="D356" s="10" t="n">
        <v>2425</v>
      </c>
    </row>
    <row r="357">
      <c r="A357" s="9" t="inlineStr">
        <is>
          <t>Продажи квартир</t>
        </is>
      </c>
      <c r="B357" s="9" t="inlineStr">
        <is>
          <t>Квартиры в новостройках</t>
        </is>
      </c>
      <c r="C357" s="9" t="inlineStr">
        <is>
          <t>Воронежская область</t>
        </is>
      </c>
      <c r="D357" s="10" t="n">
        <v>22900</v>
      </c>
    </row>
    <row r="358">
      <c r="A358" s="9" t="inlineStr">
        <is>
          <t>Продажи квартир</t>
        </is>
      </c>
      <c r="B358" s="9" t="inlineStr">
        <is>
          <t>Квартиры в новостройках</t>
        </is>
      </c>
      <c r="C358" s="9" t="inlineStr">
        <is>
          <t>Республика Дагестан</t>
        </is>
      </c>
      <c r="D358" s="10" t="n">
        <v>2503</v>
      </c>
    </row>
    <row r="359">
      <c r="A359" s="9" t="inlineStr">
        <is>
          <t>Продажи квартир</t>
        </is>
      </c>
      <c r="B359" s="9" t="inlineStr">
        <is>
          <t>Квартиры в новостройках</t>
        </is>
      </c>
      <c r="C359" s="9" t="inlineStr">
        <is>
          <t>Еврейская автономная область</t>
        </is>
      </c>
      <c r="D359" s="10" t="n">
        <v>0</v>
      </c>
    </row>
    <row r="360">
      <c r="A360" s="9" t="inlineStr">
        <is>
          <t>Продажи квартир</t>
        </is>
      </c>
      <c r="B360" s="9" t="inlineStr">
        <is>
          <t>Квартиры в новостройках</t>
        </is>
      </c>
      <c r="C360" s="9" t="inlineStr">
        <is>
          <t>Ивановская область</t>
        </is>
      </c>
      <c r="D360" s="10" t="n">
        <v>2401</v>
      </c>
    </row>
    <row r="361">
      <c r="A361" s="9" t="inlineStr">
        <is>
          <t>Продажи квартир</t>
        </is>
      </c>
      <c r="B361" s="9" t="inlineStr">
        <is>
          <t>Квартиры в новостройках</t>
        </is>
      </c>
      <c r="C361" s="9" t="inlineStr">
        <is>
          <t>Республика Ингушетия</t>
        </is>
      </c>
      <c r="D361" s="10" t="n">
        <v>0</v>
      </c>
    </row>
    <row r="362">
      <c r="A362" s="9" t="inlineStr">
        <is>
          <t>Продажи квартир</t>
        </is>
      </c>
      <c r="B362" s="9" t="inlineStr">
        <is>
          <t>Квартиры в новостройках</t>
        </is>
      </c>
      <c r="C362" s="9" t="inlineStr">
        <is>
          <t>Иркутская область</t>
        </is>
      </c>
      <c r="D362" s="10" t="n">
        <v>7544</v>
      </c>
    </row>
    <row r="363">
      <c r="A363" s="9" t="inlineStr">
        <is>
          <t>Продажи квартир</t>
        </is>
      </c>
      <c r="B363" s="9" t="inlineStr">
        <is>
          <t>Квартиры в новостройках</t>
        </is>
      </c>
      <c r="C363" s="9" t="inlineStr">
        <is>
          <t>Кабардино-Балкарская Республика</t>
        </is>
      </c>
      <c r="D363" s="10" t="n">
        <v>388</v>
      </c>
    </row>
    <row r="364">
      <c r="A364" s="9" t="inlineStr">
        <is>
          <t>Продажи квартир</t>
        </is>
      </c>
      <c r="B364" s="9" t="inlineStr">
        <is>
          <t>Квартиры в новостройках</t>
        </is>
      </c>
      <c r="C364" s="9" t="inlineStr">
        <is>
          <t>Калининградская область</t>
        </is>
      </c>
      <c r="D364" s="10" t="n">
        <v>18376</v>
      </c>
    </row>
    <row r="365">
      <c r="A365" s="9" t="inlineStr">
        <is>
          <t>Продажи квартир</t>
        </is>
      </c>
      <c r="B365" s="9" t="inlineStr">
        <is>
          <t>Квартиры в новостройках</t>
        </is>
      </c>
      <c r="C365" s="9" t="inlineStr">
        <is>
          <t>Республика Калмыкия</t>
        </is>
      </c>
      <c r="D365" s="10" t="n">
        <v>1</v>
      </c>
    </row>
    <row r="366">
      <c r="A366" s="9" t="inlineStr">
        <is>
          <t>Продажи квартир</t>
        </is>
      </c>
      <c r="B366" s="9" t="inlineStr">
        <is>
          <t>Квартиры в новостройках</t>
        </is>
      </c>
      <c r="C366" s="9" t="inlineStr">
        <is>
          <t>Калужская область</t>
        </is>
      </c>
      <c r="D366" s="10" t="n">
        <v>2320</v>
      </c>
    </row>
    <row r="367">
      <c r="A367" s="9" t="inlineStr">
        <is>
          <t>Продажи квартир</t>
        </is>
      </c>
      <c r="B367" s="9" t="inlineStr">
        <is>
          <t>Квартиры в новостройках</t>
        </is>
      </c>
      <c r="C367" s="9" t="inlineStr">
        <is>
          <t>Камчатский край</t>
        </is>
      </c>
      <c r="D367" s="10" t="n">
        <v>29</v>
      </c>
    </row>
    <row r="368">
      <c r="A368" s="9" t="inlineStr">
        <is>
          <t>Продажи квартир</t>
        </is>
      </c>
      <c r="B368" s="9" t="inlineStr">
        <is>
          <t>Квартиры в новостройках</t>
        </is>
      </c>
      <c r="C368" s="9" t="inlineStr">
        <is>
          <t>Карачаево-Черкесская Республика</t>
        </is>
      </c>
      <c r="D368" s="10" t="n">
        <v>950</v>
      </c>
    </row>
    <row r="369">
      <c r="A369" s="9" t="inlineStr">
        <is>
          <t>Продажи квартир</t>
        </is>
      </c>
      <c r="B369" s="9" t="inlineStr">
        <is>
          <t>Квартиры в новостройках</t>
        </is>
      </c>
      <c r="C369" s="9" t="inlineStr">
        <is>
          <t>Республика Карелия</t>
        </is>
      </c>
      <c r="D369" s="10" t="n">
        <v>1278</v>
      </c>
    </row>
    <row r="370">
      <c r="A370" s="9" t="inlineStr">
        <is>
          <t>Продажи квартир</t>
        </is>
      </c>
      <c r="B370" s="9" t="inlineStr">
        <is>
          <t>Квартиры в новостройках</t>
        </is>
      </c>
      <c r="C370" s="9" t="inlineStr">
        <is>
          <t>Кемеровская область</t>
        </is>
      </c>
      <c r="D370" s="10" t="n">
        <v>3566</v>
      </c>
    </row>
    <row r="371">
      <c r="A371" s="9" t="inlineStr">
        <is>
          <t>Продажи квартир</t>
        </is>
      </c>
      <c r="B371" s="9" t="inlineStr">
        <is>
          <t>Квартиры в новостройках</t>
        </is>
      </c>
      <c r="C371" s="9" t="inlineStr">
        <is>
          <t>Кировская область</t>
        </is>
      </c>
      <c r="D371" s="10" t="n">
        <v>2101</v>
      </c>
    </row>
    <row r="372">
      <c r="A372" s="9" t="inlineStr">
        <is>
          <t>Продажи квартир</t>
        </is>
      </c>
      <c r="B372" s="9" t="inlineStr">
        <is>
          <t>Квартиры в новостройках</t>
        </is>
      </c>
      <c r="C372" s="9" t="inlineStr">
        <is>
          <t>Республика Коми</t>
        </is>
      </c>
      <c r="D372" s="10" t="n">
        <v>219</v>
      </c>
    </row>
    <row r="373">
      <c r="A373" s="9" t="inlineStr">
        <is>
          <t>Продажи квартир</t>
        </is>
      </c>
      <c r="B373" s="9" t="inlineStr">
        <is>
          <t>Квартиры в новостройках</t>
        </is>
      </c>
      <c r="C373" s="9" t="inlineStr">
        <is>
          <t>Костромская область</t>
        </is>
      </c>
      <c r="D373" s="10" t="n">
        <v>1240</v>
      </c>
    </row>
    <row r="374">
      <c r="A374" s="9" t="inlineStr">
        <is>
          <t>Продажи квартир</t>
        </is>
      </c>
      <c r="B374" s="9" t="inlineStr">
        <is>
          <t>Квартиры в новостройках</t>
        </is>
      </c>
      <c r="C374" s="9" t="inlineStr">
        <is>
          <t>Краснодарский край</t>
        </is>
      </c>
      <c r="D374" s="10" t="n">
        <v>68908</v>
      </c>
    </row>
    <row r="375">
      <c r="A375" s="9" t="inlineStr">
        <is>
          <t>Продажи квартир</t>
        </is>
      </c>
      <c r="B375" s="9" t="inlineStr">
        <is>
          <t>Квартиры в новостройках</t>
        </is>
      </c>
      <c r="C375" s="9" t="inlineStr">
        <is>
          <t>Красноярский край</t>
        </is>
      </c>
      <c r="D375" s="10" t="n">
        <v>14764</v>
      </c>
    </row>
    <row r="376">
      <c r="A376" s="9" t="inlineStr">
        <is>
          <t>Продажи квартир</t>
        </is>
      </c>
      <c r="B376" s="9" t="inlineStr">
        <is>
          <t>Квартиры в новостройках</t>
        </is>
      </c>
      <c r="C376" s="9" t="inlineStr">
        <is>
          <t>Курганская область</t>
        </is>
      </c>
      <c r="D376" s="10" t="n">
        <v>2665</v>
      </c>
    </row>
    <row r="377">
      <c r="A377" s="9" t="inlineStr">
        <is>
          <t>Продажи квартир</t>
        </is>
      </c>
      <c r="B377" s="9" t="inlineStr">
        <is>
          <t>Квартиры в новостройках</t>
        </is>
      </c>
      <c r="C377" s="9" t="inlineStr">
        <is>
          <t>Курская область</t>
        </is>
      </c>
      <c r="D377" s="10" t="n">
        <v>3395</v>
      </c>
    </row>
    <row r="378">
      <c r="A378" s="9" t="inlineStr">
        <is>
          <t>Продажи квартир</t>
        </is>
      </c>
      <c r="B378" s="9" t="inlineStr">
        <is>
          <t>Квартиры в новостройках</t>
        </is>
      </c>
      <c r="C378" s="9" t="inlineStr">
        <is>
          <t>Ленинградская область</t>
        </is>
      </c>
      <c r="D378" s="10" t="n">
        <v>26692</v>
      </c>
    </row>
    <row r="379">
      <c r="A379" s="9" t="inlineStr">
        <is>
          <t>Продажи квартир</t>
        </is>
      </c>
      <c r="B379" s="9" t="inlineStr">
        <is>
          <t>Квартиры в новостройках</t>
        </is>
      </c>
      <c r="C379" s="9" t="inlineStr">
        <is>
          <t>Липецкая область</t>
        </is>
      </c>
      <c r="D379" s="10" t="n">
        <v>3961</v>
      </c>
    </row>
    <row r="380">
      <c r="A380" s="9" t="inlineStr">
        <is>
          <t>Продажи квартир</t>
        </is>
      </c>
      <c r="B380" s="9" t="inlineStr">
        <is>
          <t>Квартиры в новостройках</t>
        </is>
      </c>
      <c r="C380" s="9" t="inlineStr">
        <is>
          <t>Магаданская область</t>
        </is>
      </c>
      <c r="D380" s="10" t="n">
        <v>0</v>
      </c>
    </row>
    <row r="381">
      <c r="A381" s="9" t="inlineStr">
        <is>
          <t>Продажи квартир</t>
        </is>
      </c>
      <c r="B381" s="9" t="inlineStr">
        <is>
          <t>Квартиры в новостройках</t>
        </is>
      </c>
      <c r="C381" s="9" t="inlineStr">
        <is>
          <t>Республика Марий Эл</t>
        </is>
      </c>
      <c r="D381" s="10" t="n">
        <v>2050</v>
      </c>
    </row>
    <row r="382">
      <c r="A382" s="9" t="inlineStr">
        <is>
          <t>Продажи квартир</t>
        </is>
      </c>
      <c r="B382" s="9" t="inlineStr">
        <is>
          <t>Квартиры в новостройках</t>
        </is>
      </c>
      <c r="C382" s="9" t="inlineStr">
        <is>
          <t>Республика Мордовия</t>
        </is>
      </c>
      <c r="D382" s="10" t="n">
        <v>721</v>
      </c>
    </row>
    <row r="383">
      <c r="A383" s="9" t="inlineStr">
        <is>
          <t>Продажи квартир</t>
        </is>
      </c>
      <c r="B383" s="9" t="inlineStr">
        <is>
          <t>Квартиры в новостройках</t>
        </is>
      </c>
      <c r="C383" s="9" t="inlineStr">
        <is>
          <t>Московская область</t>
        </is>
      </c>
      <c r="D383" s="10" t="n">
        <v>36562</v>
      </c>
    </row>
    <row r="384">
      <c r="A384" s="9" t="inlineStr">
        <is>
          <t>Продажи квартир</t>
        </is>
      </c>
      <c r="B384" s="9" t="inlineStr">
        <is>
          <t>Квартиры в новостройках</t>
        </is>
      </c>
      <c r="C384" s="9" t="inlineStr">
        <is>
          <t>Мурманская область</t>
        </is>
      </c>
      <c r="D384" s="10" t="n">
        <v>423</v>
      </c>
    </row>
    <row r="385">
      <c r="A385" s="9" t="inlineStr">
        <is>
          <t>Продажи квартир</t>
        </is>
      </c>
      <c r="B385" s="9" t="inlineStr">
        <is>
          <t>Квартиры в новостройках</t>
        </is>
      </c>
      <c r="C385" s="9" t="inlineStr">
        <is>
          <t>Ненецкий автономный округ</t>
        </is>
      </c>
      <c r="D385" s="10" t="n">
        <v>0</v>
      </c>
    </row>
    <row r="386">
      <c r="A386" s="9" t="inlineStr">
        <is>
          <t>Продажи квартир</t>
        </is>
      </c>
      <c r="B386" s="9" t="inlineStr">
        <is>
          <t>Квартиры в новостройках</t>
        </is>
      </c>
      <c r="C386" s="9" t="inlineStr">
        <is>
          <t>Нижегородская область</t>
        </is>
      </c>
      <c r="D386" s="10" t="n">
        <v>9674</v>
      </c>
    </row>
    <row r="387">
      <c r="A387" s="9" t="inlineStr">
        <is>
          <t>Продажи квартир</t>
        </is>
      </c>
      <c r="B387" s="9" t="inlineStr">
        <is>
          <t>Квартиры в новостройках</t>
        </is>
      </c>
      <c r="C387" s="9" t="inlineStr">
        <is>
          <t>Новгородская область</t>
        </is>
      </c>
      <c r="D387" s="10" t="n">
        <v>288</v>
      </c>
    </row>
    <row r="388">
      <c r="A388" s="9" t="inlineStr">
        <is>
          <t>Продажи квартир</t>
        </is>
      </c>
      <c r="B388" s="9" t="inlineStr">
        <is>
          <t>Квартиры в новостройках</t>
        </is>
      </c>
      <c r="C388" s="9" t="inlineStr">
        <is>
          <t>Новосибирская область</t>
        </is>
      </c>
      <c r="D388" s="10" t="n">
        <v>31065</v>
      </c>
    </row>
    <row r="389">
      <c r="A389" s="9" t="inlineStr">
        <is>
          <t>Продажи квартир</t>
        </is>
      </c>
      <c r="B389" s="9" t="inlineStr">
        <is>
          <t>Квартиры в новостройках</t>
        </is>
      </c>
      <c r="C389" s="9" t="inlineStr">
        <is>
          <t>Омская область</t>
        </is>
      </c>
      <c r="D389" s="10" t="n">
        <v>3993</v>
      </c>
    </row>
    <row r="390">
      <c r="A390" s="9" t="inlineStr">
        <is>
          <t>Продажи квартир</t>
        </is>
      </c>
      <c r="B390" s="9" t="inlineStr">
        <is>
          <t>Квартиры в новостройках</t>
        </is>
      </c>
      <c r="C390" s="9" t="inlineStr">
        <is>
          <t>Оренбургская область</t>
        </is>
      </c>
      <c r="D390" s="10" t="n">
        <v>1598</v>
      </c>
    </row>
    <row r="391">
      <c r="A391" s="9" t="inlineStr">
        <is>
          <t>Продажи квартир</t>
        </is>
      </c>
      <c r="B391" s="9" t="inlineStr">
        <is>
          <t>Квартиры в новостройках</t>
        </is>
      </c>
      <c r="C391" s="9" t="inlineStr">
        <is>
          <t>Орловская область</t>
        </is>
      </c>
      <c r="D391" s="10" t="n">
        <v>1604</v>
      </c>
    </row>
    <row r="392">
      <c r="A392" s="9" t="inlineStr">
        <is>
          <t>Продажи квартир</t>
        </is>
      </c>
      <c r="B392" s="9" t="inlineStr">
        <is>
          <t>Квартиры в новостройках</t>
        </is>
      </c>
      <c r="C392" s="9" t="inlineStr">
        <is>
          <t>Пензенская область</t>
        </is>
      </c>
      <c r="D392" s="10" t="n">
        <v>14551</v>
      </c>
    </row>
    <row r="393">
      <c r="A393" s="9" t="inlineStr">
        <is>
          <t>Продажи квартир</t>
        </is>
      </c>
      <c r="B393" s="9" t="inlineStr">
        <is>
          <t>Квартиры в новостройках</t>
        </is>
      </c>
      <c r="C393" s="9" t="inlineStr">
        <is>
          <t>Пермский край</t>
        </is>
      </c>
      <c r="D393" s="10" t="n">
        <v>13635</v>
      </c>
    </row>
    <row r="394">
      <c r="A394" s="9" t="inlineStr">
        <is>
          <t>Продажи квартир</t>
        </is>
      </c>
      <c r="B394" s="9" t="inlineStr">
        <is>
          <t>Квартиры в новостройках</t>
        </is>
      </c>
      <c r="C394" s="9" t="inlineStr">
        <is>
          <t>Приморский край</t>
        </is>
      </c>
      <c r="D394" s="10" t="n">
        <v>17146</v>
      </c>
    </row>
    <row r="395">
      <c r="A395" s="9" t="inlineStr">
        <is>
          <t>Продажи квартир</t>
        </is>
      </c>
      <c r="B395" s="9" t="inlineStr">
        <is>
          <t>Квартиры в новостройках</t>
        </is>
      </c>
      <c r="C395" s="9" t="inlineStr">
        <is>
          <t>Псковская область</t>
        </is>
      </c>
      <c r="D395" s="10" t="n">
        <v>1601</v>
      </c>
    </row>
    <row r="396">
      <c r="A396" s="9" t="inlineStr">
        <is>
          <t>Продажи квартир</t>
        </is>
      </c>
      <c r="B396" s="9" t="inlineStr">
        <is>
          <t>Квартиры в новостройках</t>
        </is>
      </c>
      <c r="C396" s="9" t="inlineStr">
        <is>
          <t>Ростовская область</t>
        </is>
      </c>
      <c r="D396" s="10" t="n">
        <v>34967</v>
      </c>
    </row>
    <row r="397">
      <c r="A397" s="9" t="inlineStr">
        <is>
          <t>Продажи квартир</t>
        </is>
      </c>
      <c r="B397" s="9" t="inlineStr">
        <is>
          <t>Квартиры в новостройках</t>
        </is>
      </c>
      <c r="C397" s="9" t="inlineStr">
        <is>
          <t>Рязанская область</t>
        </is>
      </c>
      <c r="D397" s="10" t="n">
        <v>19327</v>
      </c>
    </row>
    <row r="398">
      <c r="A398" s="9" t="inlineStr">
        <is>
          <t>Продажи квартир</t>
        </is>
      </c>
      <c r="B398" s="9" t="inlineStr">
        <is>
          <t>Квартиры в новостройках</t>
        </is>
      </c>
      <c r="C398" s="9" t="inlineStr">
        <is>
          <t>Самарская область</t>
        </is>
      </c>
      <c r="D398" s="10" t="n">
        <v>3450</v>
      </c>
    </row>
    <row r="399">
      <c r="A399" s="9" t="inlineStr">
        <is>
          <t>Продажи квартир</t>
        </is>
      </c>
      <c r="B399" s="9" t="inlineStr">
        <is>
          <t>Квартиры в новостройках</t>
        </is>
      </c>
      <c r="C399" s="9" t="inlineStr">
        <is>
          <t>Саратовская область</t>
        </is>
      </c>
      <c r="D399" s="10" t="n">
        <v>3298</v>
      </c>
    </row>
    <row r="400">
      <c r="A400" s="9" t="inlineStr">
        <is>
          <t>Продажи квартир</t>
        </is>
      </c>
      <c r="B400" s="9" t="inlineStr">
        <is>
          <t>Квартиры в новостройках</t>
        </is>
      </c>
      <c r="C400" s="9" t="inlineStr">
        <is>
          <t>Республика Саха (Якутия)</t>
        </is>
      </c>
      <c r="D400" s="10" t="n">
        <v>1843</v>
      </c>
    </row>
    <row r="401">
      <c r="A401" s="9" t="inlineStr">
        <is>
          <t>Продажи квартир</t>
        </is>
      </c>
      <c r="B401" s="9" t="inlineStr">
        <is>
          <t>Квартиры в новостройках</t>
        </is>
      </c>
      <c r="C401" s="9" t="inlineStr">
        <is>
          <t>Сахалинская область</t>
        </is>
      </c>
      <c r="D401" s="10" t="n">
        <v>1956</v>
      </c>
    </row>
    <row r="402">
      <c r="A402" s="9" t="inlineStr">
        <is>
          <t>Продажи квартир</t>
        </is>
      </c>
      <c r="B402" s="9" t="inlineStr">
        <is>
          <t>Квартиры в новостройках</t>
        </is>
      </c>
      <c r="C402" s="9" t="inlineStr">
        <is>
          <t>Свердловская область</t>
        </is>
      </c>
      <c r="D402" s="10" t="n">
        <v>38388</v>
      </c>
    </row>
    <row r="403">
      <c r="A403" s="9" t="inlineStr">
        <is>
          <t>Продажи квартир</t>
        </is>
      </c>
      <c r="B403" s="9" t="inlineStr">
        <is>
          <t>Квартиры в новостройках</t>
        </is>
      </c>
      <c r="C403" s="9" t="inlineStr">
        <is>
          <t>Республика Северная Осетия - Алания</t>
        </is>
      </c>
      <c r="D403" s="10" t="n">
        <v>126</v>
      </c>
    </row>
    <row r="404">
      <c r="A404" s="9" t="inlineStr">
        <is>
          <t>Продажи квартир</t>
        </is>
      </c>
      <c r="B404" s="9" t="inlineStr">
        <is>
          <t>Квартиры в новостройках</t>
        </is>
      </c>
      <c r="C404" s="9" t="inlineStr">
        <is>
          <t>Смоленская область</t>
        </is>
      </c>
      <c r="D404" s="10" t="n">
        <v>2404</v>
      </c>
    </row>
    <row r="405">
      <c r="A405" s="9" t="inlineStr">
        <is>
          <t>Продажи квартир</t>
        </is>
      </c>
      <c r="B405" s="9" t="inlineStr">
        <is>
          <t>Квартиры в новостройках</t>
        </is>
      </c>
      <c r="C405" s="9" t="inlineStr">
        <is>
          <t>Ставропольский край</t>
        </is>
      </c>
      <c r="D405" s="10" t="n">
        <v>18740</v>
      </c>
    </row>
    <row r="406">
      <c r="A406" s="9" t="inlineStr">
        <is>
          <t>Продажи квартир</t>
        </is>
      </c>
      <c r="B406" s="9" t="inlineStr">
        <is>
          <t>Квартиры в новостройках</t>
        </is>
      </c>
      <c r="C406" s="9" t="inlineStr">
        <is>
          <t>Тамбовская область</t>
        </is>
      </c>
      <c r="D406" s="10" t="n">
        <v>655</v>
      </c>
    </row>
    <row r="407">
      <c r="A407" s="9" t="inlineStr">
        <is>
          <t>Продажи квартир</t>
        </is>
      </c>
      <c r="B407" s="9" t="inlineStr">
        <is>
          <t>Квартиры в новостройках</t>
        </is>
      </c>
      <c r="C407" s="9" t="inlineStr">
        <is>
          <t>Республика Татарстан</t>
        </is>
      </c>
      <c r="D407" s="10" t="n">
        <v>18031</v>
      </c>
    </row>
    <row r="408">
      <c r="A408" s="9" t="inlineStr">
        <is>
          <t>Продажи квартир</t>
        </is>
      </c>
      <c r="B408" s="9" t="inlineStr">
        <is>
          <t>Квартиры в новостройках</t>
        </is>
      </c>
      <c r="C408" s="9" t="inlineStr">
        <is>
          <t>Тверская область</t>
        </is>
      </c>
      <c r="D408" s="10" t="n">
        <v>1585</v>
      </c>
    </row>
    <row r="409">
      <c r="A409" s="9" t="inlineStr">
        <is>
          <t>Продажи квартир</t>
        </is>
      </c>
      <c r="B409" s="9" t="inlineStr">
        <is>
          <t>Квартиры в новостройках</t>
        </is>
      </c>
      <c r="C409" s="9" t="inlineStr">
        <is>
          <t>Томская область</t>
        </is>
      </c>
      <c r="D409" s="10" t="n">
        <v>2796</v>
      </c>
    </row>
    <row r="410">
      <c r="A410" s="9" t="inlineStr">
        <is>
          <t>Продажи квартир</t>
        </is>
      </c>
      <c r="B410" s="9" t="inlineStr">
        <is>
          <t>Квартиры в новостройках</t>
        </is>
      </c>
      <c r="C410" s="9" t="inlineStr">
        <is>
          <t>Тульская область</t>
        </is>
      </c>
      <c r="D410" s="10" t="n">
        <v>12588</v>
      </c>
    </row>
    <row r="411">
      <c r="A411" s="9" t="inlineStr">
        <is>
          <t>Продажи квартир</t>
        </is>
      </c>
      <c r="B411" s="9" t="inlineStr">
        <is>
          <t>Квартиры в новостройках</t>
        </is>
      </c>
      <c r="C411" s="9" t="inlineStr">
        <is>
          <t>Республика Тыва</t>
        </is>
      </c>
      <c r="D411" s="10" t="n">
        <v>0</v>
      </c>
    </row>
    <row r="412">
      <c r="A412" s="9" t="inlineStr">
        <is>
          <t>Продажи квартир</t>
        </is>
      </c>
      <c r="B412" s="9" t="inlineStr">
        <is>
          <t>Квартиры в новостройках</t>
        </is>
      </c>
      <c r="C412" s="9" t="inlineStr">
        <is>
          <t>Тюменская область</t>
        </is>
      </c>
      <c r="D412" s="10" t="n">
        <v>24588</v>
      </c>
    </row>
    <row r="413">
      <c r="A413" s="9" t="inlineStr">
        <is>
          <t>Продажи квартир</t>
        </is>
      </c>
      <c r="B413" s="9" t="inlineStr">
        <is>
          <t>Квартиры в новостройках</t>
        </is>
      </c>
      <c r="C413" s="9" t="inlineStr">
        <is>
          <t>Удмуртская Республика</t>
        </is>
      </c>
      <c r="D413" s="10" t="n">
        <v>8738</v>
      </c>
    </row>
    <row r="414">
      <c r="A414" s="9" t="inlineStr">
        <is>
          <t>Продажи квартир</t>
        </is>
      </c>
      <c r="B414" s="9" t="inlineStr">
        <is>
          <t>Квартиры в новостройках</t>
        </is>
      </c>
      <c r="C414" s="9" t="inlineStr">
        <is>
          <t>Ульяновская область</t>
        </is>
      </c>
      <c r="D414" s="10" t="n">
        <v>2388</v>
      </c>
    </row>
    <row r="415">
      <c r="A415" s="9" t="inlineStr">
        <is>
          <t>Продажи квартир</t>
        </is>
      </c>
      <c r="B415" s="9" t="inlineStr">
        <is>
          <t>Квартиры в новостройках</t>
        </is>
      </c>
      <c r="C415" s="9" t="inlineStr">
        <is>
          <t>Хабаровский край</t>
        </is>
      </c>
      <c r="D415" s="10" t="n">
        <v>4458</v>
      </c>
    </row>
    <row r="416">
      <c r="A416" s="9" t="inlineStr">
        <is>
          <t>Продажи квартир</t>
        </is>
      </c>
      <c r="B416" s="9" t="inlineStr">
        <is>
          <t>Квартиры в новостройках</t>
        </is>
      </c>
      <c r="C416" s="9" t="inlineStr">
        <is>
          <t>Республика Хакасия</t>
        </is>
      </c>
      <c r="D416" s="10" t="n">
        <v>1032</v>
      </c>
    </row>
    <row r="417">
      <c r="A417" s="9" t="inlineStr">
        <is>
          <t>Продажи квартир</t>
        </is>
      </c>
      <c r="B417" s="9" t="inlineStr">
        <is>
          <t>Квартиры в новостройках</t>
        </is>
      </c>
      <c r="C417" s="9" t="inlineStr">
        <is>
          <t>Ханты-Мансийский автономный округ</t>
        </is>
      </c>
      <c r="D417" s="10" t="n">
        <v>5021</v>
      </c>
    </row>
    <row r="418">
      <c r="A418" s="9" t="inlineStr">
        <is>
          <t>Продажи квартир</t>
        </is>
      </c>
      <c r="B418" s="9" t="inlineStr">
        <is>
          <t>Квартиры в новостройках</t>
        </is>
      </c>
      <c r="C418" s="9" t="inlineStr">
        <is>
          <t>Челябинская область</t>
        </is>
      </c>
      <c r="D418" s="10" t="n">
        <v>10174</v>
      </c>
    </row>
    <row r="419">
      <c r="A419" s="9" t="inlineStr">
        <is>
          <t>Продажи квартир</t>
        </is>
      </c>
      <c r="B419" s="9" t="inlineStr">
        <is>
          <t>Квартиры в новостройках</t>
        </is>
      </c>
      <c r="C419" s="9" t="inlineStr">
        <is>
          <t>Чеченская Республика</t>
        </is>
      </c>
      <c r="D419" s="10" t="n">
        <v>494</v>
      </c>
    </row>
    <row r="420">
      <c r="A420" s="9" t="inlineStr">
        <is>
          <t>Продажи квартир</t>
        </is>
      </c>
      <c r="B420" s="9" t="inlineStr">
        <is>
          <t>Квартиры в новостройках</t>
        </is>
      </c>
      <c r="C420" s="9" t="inlineStr">
        <is>
          <t>Чувашская Республика</t>
        </is>
      </c>
      <c r="D420" s="10" t="n">
        <v>1721</v>
      </c>
    </row>
    <row r="421">
      <c r="A421" s="9" t="inlineStr">
        <is>
          <t>Продажи квартир</t>
        </is>
      </c>
      <c r="B421" s="9" t="inlineStr">
        <is>
          <t>Квартиры в новостройках</t>
        </is>
      </c>
      <c r="C421" s="9" t="inlineStr">
        <is>
          <t>Чукотский автономный округ</t>
        </is>
      </c>
      <c r="D421" s="10" t="n">
        <v>0</v>
      </c>
    </row>
    <row r="422">
      <c r="A422" s="9" t="inlineStr">
        <is>
          <t>Продажи квартир</t>
        </is>
      </c>
      <c r="B422" s="9" t="inlineStr">
        <is>
          <t>Квартиры в новостройках</t>
        </is>
      </c>
      <c r="C422" s="9" t="inlineStr">
        <is>
          <t>Ямало-Ненецкий автономный округ</t>
        </is>
      </c>
      <c r="D422" s="10" t="n">
        <v>697</v>
      </c>
    </row>
    <row r="423">
      <c r="A423" s="9" t="inlineStr">
        <is>
          <t>Продажи квартир</t>
        </is>
      </c>
      <c r="B423" s="9" t="inlineStr">
        <is>
          <t>Квартиры в новостройках</t>
        </is>
      </c>
      <c r="C423" s="9" t="inlineStr">
        <is>
          <t>Ярославская область</t>
        </is>
      </c>
      <c r="D423" s="10" t="n">
        <v>6258</v>
      </c>
    </row>
    <row r="424">
      <c r="A424" s="9" t="inlineStr">
        <is>
          <t>Продажи квартир</t>
        </is>
      </c>
      <c r="B424" s="9" t="inlineStr">
        <is>
          <t>Квартиры в новостройках</t>
        </is>
      </c>
      <c r="C424" s="9" t="inlineStr">
        <is>
          <t>Республика Крым</t>
        </is>
      </c>
      <c r="D424" s="10" t="n">
        <v>18546</v>
      </c>
    </row>
    <row r="425">
      <c r="A425" s="9" t="inlineStr">
        <is>
          <t>Продажи квартир</t>
        </is>
      </c>
      <c r="B425" s="9" t="inlineStr">
        <is>
          <t>Квартиры в новостройках</t>
        </is>
      </c>
      <c r="C425" s="9" t="inlineStr">
        <is>
          <t>Севастополь</t>
        </is>
      </c>
      <c r="D425" s="10" t="n">
        <v>1471</v>
      </c>
    </row>
    <row r="426">
      <c r="A426" s="9" t="inlineStr">
        <is>
          <t>Продажи квартир</t>
        </is>
      </c>
      <c r="B426" s="9" t="inlineStr">
        <is>
          <t>Квартиры в новостройках</t>
        </is>
      </c>
      <c r="C426" s="9" t="inlineStr">
        <is>
          <t>Забайкальский край</t>
        </is>
      </c>
      <c r="D426" s="10" t="n">
        <v>1129</v>
      </c>
    </row>
    <row r="427">
      <c r="A427" s="11" t="inlineStr">
        <is>
          <t>Продажи квартир</t>
        </is>
      </c>
      <c r="B427" s="12" t="inlineStr">
        <is>
          <t>Квартиры во вторичке</t>
        </is>
      </c>
      <c r="C427" s="13" t="inlineStr">
        <is>
          <t>Москва</t>
        </is>
      </c>
      <c r="D427" s="14" t="n">
        <v>37059</v>
      </c>
    </row>
    <row r="428">
      <c r="A428" s="9" t="inlineStr">
        <is>
          <t>Продажи квартир</t>
        </is>
      </c>
      <c r="B428" s="9" t="inlineStr">
        <is>
          <t>Квартиры во вторичке</t>
        </is>
      </c>
      <c r="C428" s="9" t="inlineStr">
        <is>
          <t>Санкт-Петербург</t>
        </is>
      </c>
      <c r="D428" s="10" t="n">
        <v>18767</v>
      </c>
    </row>
    <row r="429">
      <c r="A429" s="9" t="inlineStr">
        <is>
          <t>Продажи квартир</t>
        </is>
      </c>
      <c r="B429" s="9" t="inlineStr">
        <is>
          <t>Квартиры во вторичке</t>
        </is>
      </c>
      <c r="C429" s="9" t="inlineStr">
        <is>
          <t>Республика Адыгея</t>
        </is>
      </c>
      <c r="D429" s="10" t="n">
        <v>1167</v>
      </c>
    </row>
    <row r="430">
      <c r="A430" s="9" t="inlineStr">
        <is>
          <t>Продажи квартир</t>
        </is>
      </c>
      <c r="B430" s="9" t="inlineStr">
        <is>
          <t>Квартиры во вторичке</t>
        </is>
      </c>
      <c r="C430" s="9" t="inlineStr">
        <is>
          <t>Республика Алтай</t>
        </is>
      </c>
      <c r="D430" s="10" t="n">
        <v>220</v>
      </c>
    </row>
    <row r="431">
      <c r="A431" s="9" t="inlineStr">
        <is>
          <t>Продажи квартир</t>
        </is>
      </c>
      <c r="B431" s="9" t="inlineStr">
        <is>
          <t>Квартиры во вторичке</t>
        </is>
      </c>
      <c r="C431" s="9" t="inlineStr">
        <is>
          <t>Алтайский край</t>
        </is>
      </c>
      <c r="D431" s="10" t="n">
        <v>2859</v>
      </c>
    </row>
    <row r="432">
      <c r="A432" s="9" t="inlineStr">
        <is>
          <t>Продажи квартир</t>
        </is>
      </c>
      <c r="B432" s="9" t="inlineStr">
        <is>
          <t>Квартиры во вторичке</t>
        </is>
      </c>
      <c r="C432" s="9" t="inlineStr">
        <is>
          <t>Амурская область</t>
        </is>
      </c>
      <c r="D432" s="10" t="n">
        <v>854</v>
      </c>
    </row>
    <row r="433">
      <c r="A433" s="9" t="inlineStr">
        <is>
          <t>Продажи квартир</t>
        </is>
      </c>
      <c r="B433" s="9" t="inlineStr">
        <is>
          <t>Квартиры во вторичке</t>
        </is>
      </c>
      <c r="C433" s="9" t="inlineStr">
        <is>
          <t>Архангельская область</t>
        </is>
      </c>
      <c r="D433" s="10" t="n">
        <v>977</v>
      </c>
    </row>
    <row r="434">
      <c r="A434" s="9" t="inlineStr">
        <is>
          <t>Продажи квартир</t>
        </is>
      </c>
      <c r="B434" s="9" t="inlineStr">
        <is>
          <t>Квартиры во вторичке</t>
        </is>
      </c>
      <c r="C434" s="9" t="inlineStr">
        <is>
          <t>Астраханская область</t>
        </is>
      </c>
      <c r="D434" s="10" t="n">
        <v>1154</v>
      </c>
    </row>
    <row r="435">
      <c r="A435" s="9" t="inlineStr">
        <is>
          <t>Продажи квартир</t>
        </is>
      </c>
      <c r="B435" s="9" t="inlineStr">
        <is>
          <t>Квартиры во вторичке</t>
        </is>
      </c>
      <c r="C435" s="9" t="inlineStr">
        <is>
          <t>Республика Башкортостан</t>
        </is>
      </c>
      <c r="D435" s="10" t="n">
        <v>6222</v>
      </c>
    </row>
    <row r="436">
      <c r="A436" s="9" t="inlineStr">
        <is>
          <t>Продажи квартир</t>
        </is>
      </c>
      <c r="B436" s="9" t="inlineStr">
        <is>
          <t>Квартиры во вторичке</t>
        </is>
      </c>
      <c r="C436" s="9" t="inlineStr">
        <is>
          <t>Белгородская область</t>
        </is>
      </c>
      <c r="D436" s="10" t="n">
        <v>8794</v>
      </c>
    </row>
    <row r="437">
      <c r="A437" s="9" t="inlineStr">
        <is>
          <t>Продажи квартир</t>
        </is>
      </c>
      <c r="B437" s="9" t="inlineStr">
        <is>
          <t>Квартиры во вторичке</t>
        </is>
      </c>
      <c r="C437" s="9" t="inlineStr">
        <is>
          <t>Брянская область</t>
        </is>
      </c>
      <c r="D437" s="10" t="n">
        <v>2674</v>
      </c>
    </row>
    <row r="438">
      <c r="A438" s="9" t="inlineStr">
        <is>
          <t>Продажи квартир</t>
        </is>
      </c>
      <c r="B438" s="9" t="inlineStr">
        <is>
          <t>Квартиры во вторичке</t>
        </is>
      </c>
      <c r="C438" s="9" t="inlineStr">
        <is>
          <t>Республика Бурятия</t>
        </is>
      </c>
      <c r="D438" s="10" t="n">
        <v>1299</v>
      </c>
    </row>
    <row r="439">
      <c r="A439" s="9" t="inlineStr">
        <is>
          <t>Продажи квартир</t>
        </is>
      </c>
      <c r="B439" s="9" t="inlineStr">
        <is>
          <t>Квартиры во вторичке</t>
        </is>
      </c>
      <c r="C439" s="9" t="inlineStr">
        <is>
          <t>Владимирская область</t>
        </is>
      </c>
      <c r="D439" s="10" t="n">
        <v>4368</v>
      </c>
    </row>
    <row r="440">
      <c r="A440" s="9" t="inlineStr">
        <is>
          <t>Продажи квартир</t>
        </is>
      </c>
      <c r="B440" s="9" t="inlineStr">
        <is>
          <t>Квартиры во вторичке</t>
        </is>
      </c>
      <c r="C440" s="9" t="inlineStr">
        <is>
          <t>Волгоградская область</t>
        </is>
      </c>
      <c r="D440" s="10" t="n">
        <v>5814</v>
      </c>
    </row>
    <row r="441">
      <c r="A441" s="9" t="inlineStr">
        <is>
          <t>Продажи квартир</t>
        </is>
      </c>
      <c r="B441" s="9" t="inlineStr">
        <is>
          <t>Квартиры во вторичке</t>
        </is>
      </c>
      <c r="C441" s="9" t="inlineStr">
        <is>
          <t>Вологодская область</t>
        </is>
      </c>
      <c r="D441" s="10" t="n">
        <v>1009</v>
      </c>
    </row>
    <row r="442">
      <c r="A442" s="9" t="inlineStr">
        <is>
          <t>Продажи квартир</t>
        </is>
      </c>
      <c r="B442" s="9" t="inlineStr">
        <is>
          <t>Квартиры во вторичке</t>
        </is>
      </c>
      <c r="C442" s="9" t="inlineStr">
        <is>
          <t>Воронежская область</t>
        </is>
      </c>
      <c r="D442" s="10" t="n">
        <v>4489</v>
      </c>
    </row>
    <row r="443">
      <c r="A443" s="9" t="inlineStr">
        <is>
          <t>Продажи квартир</t>
        </is>
      </c>
      <c r="B443" s="9" t="inlineStr">
        <is>
          <t>Квартиры во вторичке</t>
        </is>
      </c>
      <c r="C443" s="9" t="inlineStr">
        <is>
          <t>Республика Дагестан</t>
        </is>
      </c>
      <c r="D443" s="10" t="n">
        <v>1030</v>
      </c>
    </row>
    <row r="444">
      <c r="A444" s="9" t="inlineStr">
        <is>
          <t>Продажи квартир</t>
        </is>
      </c>
      <c r="B444" s="9" t="inlineStr">
        <is>
          <t>Квартиры во вторичке</t>
        </is>
      </c>
      <c r="C444" s="9" t="inlineStr">
        <is>
          <t>Еврейская автономная область</t>
        </is>
      </c>
      <c r="D444" s="10" t="n">
        <v>125</v>
      </c>
    </row>
    <row r="445">
      <c r="A445" s="9" t="inlineStr">
        <is>
          <t>Продажи квартир</t>
        </is>
      </c>
      <c r="B445" s="9" t="inlineStr">
        <is>
          <t>Квартиры во вторичке</t>
        </is>
      </c>
      <c r="C445" s="9" t="inlineStr">
        <is>
          <t>Ивановская область</t>
        </is>
      </c>
      <c r="D445" s="10" t="n">
        <v>2213</v>
      </c>
    </row>
    <row r="446">
      <c r="A446" s="9" t="inlineStr">
        <is>
          <t>Продажи квартир</t>
        </is>
      </c>
      <c r="B446" s="9" t="inlineStr">
        <is>
          <t>Квартиры во вторичке</t>
        </is>
      </c>
      <c r="C446" s="9" t="inlineStr">
        <is>
          <t>Республика Ингушетия</t>
        </is>
      </c>
      <c r="D446" s="10" t="n">
        <v>26</v>
      </c>
    </row>
    <row r="447">
      <c r="A447" s="9" t="inlineStr">
        <is>
          <t>Продажи квартир</t>
        </is>
      </c>
      <c r="B447" s="9" t="inlineStr">
        <is>
          <t>Квартиры во вторичке</t>
        </is>
      </c>
      <c r="C447" s="9" t="inlineStr">
        <is>
          <t>Иркутская область</t>
        </is>
      </c>
      <c r="D447" s="10" t="n">
        <v>4295</v>
      </c>
    </row>
    <row r="448">
      <c r="A448" s="9" t="inlineStr">
        <is>
          <t>Продажи квартир</t>
        </is>
      </c>
      <c r="B448" s="9" t="inlineStr">
        <is>
          <t>Квартиры во вторичке</t>
        </is>
      </c>
      <c r="C448" s="9" t="inlineStr">
        <is>
          <t>Кабардино-Балкарская Республика</t>
        </is>
      </c>
      <c r="D448" s="10" t="n">
        <v>868</v>
      </c>
    </row>
    <row r="449">
      <c r="A449" s="9" t="inlineStr">
        <is>
          <t>Продажи квартир</t>
        </is>
      </c>
      <c r="B449" s="9" t="inlineStr">
        <is>
          <t>Квартиры во вторичке</t>
        </is>
      </c>
      <c r="C449" s="9" t="inlineStr">
        <is>
          <t>Калининградская область</t>
        </is>
      </c>
      <c r="D449" s="10" t="n">
        <v>6311</v>
      </c>
    </row>
    <row r="450">
      <c r="A450" s="9" t="inlineStr">
        <is>
          <t>Продажи квартир</t>
        </is>
      </c>
      <c r="B450" s="9" t="inlineStr">
        <is>
          <t>Квартиры во вторичке</t>
        </is>
      </c>
      <c r="C450" s="9" t="inlineStr">
        <is>
          <t>Республика Калмыкия</t>
        </is>
      </c>
      <c r="D450" s="10" t="n">
        <v>306</v>
      </c>
    </row>
    <row r="451">
      <c r="A451" s="9" t="inlineStr">
        <is>
          <t>Продажи квартир</t>
        </is>
      </c>
      <c r="B451" s="9" t="inlineStr">
        <is>
          <t>Квартиры во вторичке</t>
        </is>
      </c>
      <c r="C451" s="9" t="inlineStr">
        <is>
          <t>Калужская область</t>
        </is>
      </c>
      <c r="D451" s="10" t="n">
        <v>3408</v>
      </c>
    </row>
    <row r="452">
      <c r="A452" s="9" t="inlineStr">
        <is>
          <t>Продажи квартир</t>
        </is>
      </c>
      <c r="B452" s="9" t="inlineStr">
        <is>
          <t>Квартиры во вторичке</t>
        </is>
      </c>
      <c r="C452" s="9" t="inlineStr">
        <is>
          <t>Камчатский край</t>
        </is>
      </c>
      <c r="D452" s="10" t="n">
        <v>416</v>
      </c>
    </row>
    <row r="453">
      <c r="A453" s="9" t="inlineStr">
        <is>
          <t>Продажи квартир</t>
        </is>
      </c>
      <c r="B453" s="9" t="inlineStr">
        <is>
          <t>Квартиры во вторичке</t>
        </is>
      </c>
      <c r="C453" s="9" t="inlineStr">
        <is>
          <t>Карачаево-Черкесская Республика</t>
        </is>
      </c>
      <c r="D453" s="10" t="n">
        <v>228</v>
      </c>
    </row>
    <row r="454">
      <c r="A454" s="9" t="inlineStr">
        <is>
          <t>Продажи квартир</t>
        </is>
      </c>
      <c r="B454" s="9" t="inlineStr">
        <is>
          <t>Квартиры во вторичке</t>
        </is>
      </c>
      <c r="C454" s="9" t="inlineStr">
        <is>
          <t>Республика Карелия</t>
        </is>
      </c>
      <c r="D454" s="10" t="n">
        <v>600</v>
      </c>
    </row>
    <row r="455">
      <c r="A455" s="9" t="inlineStr">
        <is>
          <t>Продажи квартир</t>
        </is>
      </c>
      <c r="B455" s="9" t="inlineStr">
        <is>
          <t>Квартиры во вторичке</t>
        </is>
      </c>
      <c r="C455" s="9" t="inlineStr">
        <is>
          <t>Кемеровская область</t>
        </is>
      </c>
      <c r="D455" s="10" t="n">
        <v>6781</v>
      </c>
    </row>
    <row r="456">
      <c r="A456" s="9" t="inlineStr">
        <is>
          <t>Продажи квартир</t>
        </is>
      </c>
      <c r="B456" s="9" t="inlineStr">
        <is>
          <t>Квартиры во вторичке</t>
        </is>
      </c>
      <c r="C456" s="9" t="inlineStr">
        <is>
          <t>Кировская область</t>
        </is>
      </c>
      <c r="D456" s="10" t="n">
        <v>974</v>
      </c>
    </row>
    <row r="457">
      <c r="A457" s="9" t="inlineStr">
        <is>
          <t>Продажи квартир</t>
        </is>
      </c>
      <c r="B457" s="9" t="inlineStr">
        <is>
          <t>Квартиры во вторичке</t>
        </is>
      </c>
      <c r="C457" s="9" t="inlineStr">
        <is>
          <t>Республика Коми</t>
        </is>
      </c>
      <c r="D457" s="10" t="n">
        <v>1162</v>
      </c>
    </row>
    <row r="458">
      <c r="A458" s="9" t="inlineStr">
        <is>
          <t>Продажи квартир</t>
        </is>
      </c>
      <c r="B458" s="9" t="inlineStr">
        <is>
          <t>Квартиры во вторичке</t>
        </is>
      </c>
      <c r="C458" s="9" t="inlineStr">
        <is>
          <t>Костромская область</t>
        </is>
      </c>
      <c r="D458" s="10" t="n">
        <v>1432</v>
      </c>
    </row>
    <row r="459">
      <c r="A459" s="9" t="inlineStr">
        <is>
          <t>Продажи квартир</t>
        </is>
      </c>
      <c r="B459" s="9" t="inlineStr">
        <is>
          <t>Квартиры во вторичке</t>
        </is>
      </c>
      <c r="C459" s="9" t="inlineStr">
        <is>
          <t>Краснодарский край</t>
        </is>
      </c>
      <c r="D459" s="10" t="n">
        <v>36755</v>
      </c>
    </row>
    <row r="460">
      <c r="A460" s="9" t="inlineStr">
        <is>
          <t>Продажи квартир</t>
        </is>
      </c>
      <c r="B460" s="9" t="inlineStr">
        <is>
          <t>Квартиры во вторичке</t>
        </is>
      </c>
      <c r="C460" s="9" t="inlineStr">
        <is>
          <t>Красноярский край</t>
        </is>
      </c>
      <c r="D460" s="10" t="n">
        <v>4987</v>
      </c>
    </row>
    <row r="461">
      <c r="A461" s="9" t="inlineStr">
        <is>
          <t>Продажи квартир</t>
        </is>
      </c>
      <c r="B461" s="9" t="inlineStr">
        <is>
          <t>Квартиры во вторичке</t>
        </is>
      </c>
      <c r="C461" s="9" t="inlineStr">
        <is>
          <t>Курганская область</t>
        </is>
      </c>
      <c r="D461" s="10" t="n">
        <v>1196</v>
      </c>
    </row>
    <row r="462">
      <c r="A462" s="9" t="inlineStr">
        <is>
          <t>Продажи квартир</t>
        </is>
      </c>
      <c r="B462" s="9" t="inlineStr">
        <is>
          <t>Квартиры во вторичке</t>
        </is>
      </c>
      <c r="C462" s="9" t="inlineStr">
        <is>
          <t>Курская область</t>
        </is>
      </c>
      <c r="D462" s="10" t="n">
        <v>3099</v>
      </c>
    </row>
    <row r="463">
      <c r="A463" s="9" t="inlineStr">
        <is>
          <t>Продажи квартир</t>
        </is>
      </c>
      <c r="B463" s="9" t="inlineStr">
        <is>
          <t>Квартиры во вторичке</t>
        </is>
      </c>
      <c r="C463" s="9" t="inlineStr">
        <is>
          <t>Ленинградская область</t>
        </is>
      </c>
      <c r="D463" s="10" t="n">
        <v>6433</v>
      </c>
    </row>
    <row r="464">
      <c r="A464" s="9" t="inlineStr">
        <is>
          <t>Продажи квартир</t>
        </is>
      </c>
      <c r="B464" s="9" t="inlineStr">
        <is>
          <t>Квартиры во вторичке</t>
        </is>
      </c>
      <c r="C464" s="9" t="inlineStr">
        <is>
          <t>Липецкая область</t>
        </is>
      </c>
      <c r="D464" s="10" t="n">
        <v>2004</v>
      </c>
    </row>
    <row r="465">
      <c r="A465" s="9" t="inlineStr">
        <is>
          <t>Продажи квартир</t>
        </is>
      </c>
      <c r="B465" s="9" t="inlineStr">
        <is>
          <t>Квартиры во вторичке</t>
        </is>
      </c>
      <c r="C465" s="9" t="inlineStr">
        <is>
          <t>Магаданская область</t>
        </is>
      </c>
      <c r="D465" s="10" t="n">
        <v>457</v>
      </c>
    </row>
    <row r="466">
      <c r="A466" s="9" t="inlineStr">
        <is>
          <t>Продажи квартир</t>
        </is>
      </c>
      <c r="B466" s="9" t="inlineStr">
        <is>
          <t>Квартиры во вторичке</t>
        </is>
      </c>
      <c r="C466" s="9" t="inlineStr">
        <is>
          <t>Республика Марий Эл</t>
        </is>
      </c>
      <c r="D466" s="10" t="n">
        <v>895</v>
      </c>
    </row>
    <row r="467">
      <c r="A467" s="9" t="inlineStr">
        <is>
          <t>Продажи квартир</t>
        </is>
      </c>
      <c r="B467" s="9" t="inlineStr">
        <is>
          <t>Квартиры во вторичке</t>
        </is>
      </c>
      <c r="C467" s="9" t="inlineStr">
        <is>
          <t>Республика Мордовия</t>
        </is>
      </c>
      <c r="D467" s="10" t="n">
        <v>1021</v>
      </c>
    </row>
    <row r="468">
      <c r="A468" s="9" t="inlineStr">
        <is>
          <t>Продажи квартир</t>
        </is>
      </c>
      <c r="B468" s="9" t="inlineStr">
        <is>
          <t>Квартиры во вторичке</t>
        </is>
      </c>
      <c r="C468" s="9" t="inlineStr">
        <is>
          <t>Московская область</t>
        </is>
      </c>
      <c r="D468" s="10" t="n">
        <v>28636</v>
      </c>
    </row>
    <row r="469">
      <c r="A469" s="9" t="inlineStr">
        <is>
          <t>Продажи квартир</t>
        </is>
      </c>
      <c r="B469" s="9" t="inlineStr">
        <is>
          <t>Квартиры во вторичке</t>
        </is>
      </c>
      <c r="C469" s="9" t="inlineStr">
        <is>
          <t>Мурманская область</t>
        </is>
      </c>
      <c r="D469" s="10" t="n">
        <v>1141</v>
      </c>
    </row>
    <row r="470">
      <c r="A470" s="9" t="inlineStr">
        <is>
          <t>Продажи квартир</t>
        </is>
      </c>
      <c r="B470" s="9" t="inlineStr">
        <is>
          <t>Квартиры во вторичке</t>
        </is>
      </c>
      <c r="C470" s="9" t="inlineStr">
        <is>
          <t>Ненецкий автономный округ</t>
        </is>
      </c>
      <c r="D470" s="10" t="n">
        <v>27</v>
      </c>
    </row>
    <row r="471">
      <c r="A471" s="9" t="inlineStr">
        <is>
          <t>Продажи квартир</t>
        </is>
      </c>
      <c r="B471" s="9" t="inlineStr">
        <is>
          <t>Квартиры во вторичке</t>
        </is>
      </c>
      <c r="C471" s="9" t="inlineStr">
        <is>
          <t>Нижегородская область</t>
        </is>
      </c>
      <c r="D471" s="10" t="n">
        <v>6245</v>
      </c>
    </row>
    <row r="472">
      <c r="A472" s="9" t="inlineStr">
        <is>
          <t>Продажи квартир</t>
        </is>
      </c>
      <c r="B472" s="9" t="inlineStr">
        <is>
          <t>Квартиры во вторичке</t>
        </is>
      </c>
      <c r="C472" s="9" t="inlineStr">
        <is>
          <t>Новгородская область</t>
        </is>
      </c>
      <c r="D472" s="10" t="n">
        <v>906</v>
      </c>
    </row>
    <row r="473">
      <c r="A473" s="9" t="inlineStr">
        <is>
          <t>Продажи квартир</t>
        </is>
      </c>
      <c r="B473" s="9" t="inlineStr">
        <is>
          <t>Квартиры во вторичке</t>
        </is>
      </c>
      <c r="C473" s="9" t="inlineStr">
        <is>
          <t>Новосибирская область</t>
        </is>
      </c>
      <c r="D473" s="10" t="n">
        <v>11948</v>
      </c>
    </row>
    <row r="474">
      <c r="A474" s="9" t="inlineStr">
        <is>
          <t>Продажи квартир</t>
        </is>
      </c>
      <c r="B474" s="9" t="inlineStr">
        <is>
          <t>Квартиры во вторичке</t>
        </is>
      </c>
      <c r="C474" s="9" t="inlineStr">
        <is>
          <t>Омская область</t>
        </is>
      </c>
      <c r="D474" s="10" t="n">
        <v>6370</v>
      </c>
    </row>
    <row r="475">
      <c r="A475" s="9" t="inlineStr">
        <is>
          <t>Продажи квартир</t>
        </is>
      </c>
      <c r="B475" s="9" t="inlineStr">
        <is>
          <t>Квартиры во вторичке</t>
        </is>
      </c>
      <c r="C475" s="9" t="inlineStr">
        <is>
          <t>Оренбургская область</t>
        </is>
      </c>
      <c r="D475" s="10" t="n">
        <v>3745</v>
      </c>
    </row>
    <row r="476">
      <c r="A476" s="9" t="inlineStr">
        <is>
          <t>Продажи квартир</t>
        </is>
      </c>
      <c r="B476" s="9" t="inlineStr">
        <is>
          <t>Квартиры во вторичке</t>
        </is>
      </c>
      <c r="C476" s="9" t="inlineStr">
        <is>
          <t>Орловская область</t>
        </is>
      </c>
      <c r="D476" s="10" t="n">
        <v>1153</v>
      </c>
    </row>
    <row r="477">
      <c r="A477" s="9" t="inlineStr">
        <is>
          <t>Продажи квартир</t>
        </is>
      </c>
      <c r="B477" s="9" t="inlineStr">
        <is>
          <t>Квартиры во вторичке</t>
        </is>
      </c>
      <c r="C477" s="9" t="inlineStr">
        <is>
          <t>Пензенская область</t>
        </is>
      </c>
      <c r="D477" s="10" t="n">
        <v>2083</v>
      </c>
    </row>
    <row r="478">
      <c r="A478" s="9" t="inlineStr">
        <is>
          <t>Продажи квартир</t>
        </is>
      </c>
      <c r="B478" s="9" t="inlineStr">
        <is>
          <t>Квартиры во вторичке</t>
        </is>
      </c>
      <c r="C478" s="9" t="inlineStr">
        <is>
          <t>Пермский край</t>
        </is>
      </c>
      <c r="D478" s="10" t="n">
        <v>4318</v>
      </c>
    </row>
    <row r="479">
      <c r="A479" s="9" t="inlineStr">
        <is>
          <t>Продажи квартир</t>
        </is>
      </c>
      <c r="B479" s="9" t="inlineStr">
        <is>
          <t>Квартиры во вторичке</t>
        </is>
      </c>
      <c r="C479" s="9" t="inlineStr">
        <is>
          <t>Приморский край</t>
        </is>
      </c>
      <c r="D479" s="10" t="n">
        <v>1016</v>
      </c>
    </row>
    <row r="480">
      <c r="A480" s="9" t="inlineStr">
        <is>
          <t>Продажи квартир</t>
        </is>
      </c>
      <c r="B480" s="9" t="inlineStr">
        <is>
          <t>Квартиры во вторичке</t>
        </is>
      </c>
      <c r="C480" s="9" t="inlineStr">
        <is>
          <t>Псковская область</t>
        </is>
      </c>
      <c r="D480" s="10" t="n">
        <v>923</v>
      </c>
    </row>
    <row r="481">
      <c r="A481" s="9" t="inlineStr">
        <is>
          <t>Продажи квартир</t>
        </is>
      </c>
      <c r="B481" s="9" t="inlineStr">
        <is>
          <t>Квартиры во вторичке</t>
        </is>
      </c>
      <c r="C481" s="9" t="inlineStr">
        <is>
          <t>Ростовская область</t>
        </is>
      </c>
      <c r="D481" s="10" t="n">
        <v>14505</v>
      </c>
    </row>
    <row r="482">
      <c r="A482" s="9" t="inlineStr">
        <is>
          <t>Продажи квартир</t>
        </is>
      </c>
      <c r="B482" s="9" t="inlineStr">
        <is>
          <t>Квартиры во вторичке</t>
        </is>
      </c>
      <c r="C482" s="9" t="inlineStr">
        <is>
          <t>Рязанская область</t>
        </is>
      </c>
      <c r="D482" s="10" t="n">
        <v>2286</v>
      </c>
    </row>
    <row r="483">
      <c r="A483" s="9" t="inlineStr">
        <is>
          <t>Продажи квартир</t>
        </is>
      </c>
      <c r="B483" s="9" t="inlineStr">
        <is>
          <t>Квартиры во вторичке</t>
        </is>
      </c>
      <c r="C483" s="9" t="inlineStr">
        <is>
          <t>Самарская область</t>
        </is>
      </c>
      <c r="D483" s="10" t="n">
        <v>6097</v>
      </c>
    </row>
    <row r="484">
      <c r="A484" s="9" t="inlineStr">
        <is>
          <t>Продажи квартир</t>
        </is>
      </c>
      <c r="B484" s="9" t="inlineStr">
        <is>
          <t>Квартиры во вторичке</t>
        </is>
      </c>
      <c r="C484" s="9" t="inlineStr">
        <is>
          <t>Саратовская область</t>
        </is>
      </c>
      <c r="D484" s="10" t="n">
        <v>5226</v>
      </c>
    </row>
    <row r="485">
      <c r="A485" s="9" t="inlineStr">
        <is>
          <t>Продажи квартир</t>
        </is>
      </c>
      <c r="B485" s="9" t="inlineStr">
        <is>
          <t>Квартиры во вторичке</t>
        </is>
      </c>
      <c r="C485" s="9" t="inlineStr">
        <is>
          <t>Республика Саха (Якутия)</t>
        </is>
      </c>
      <c r="D485" s="10" t="n">
        <v>709</v>
      </c>
    </row>
    <row r="486">
      <c r="A486" s="9" t="inlineStr">
        <is>
          <t>Продажи квартир</t>
        </is>
      </c>
      <c r="B486" s="9" t="inlineStr">
        <is>
          <t>Квартиры во вторичке</t>
        </is>
      </c>
      <c r="C486" s="9" t="inlineStr">
        <is>
          <t>Сахалинская область</t>
        </is>
      </c>
      <c r="D486" s="10" t="n">
        <v>1017</v>
      </c>
    </row>
    <row r="487">
      <c r="A487" s="9" t="inlineStr">
        <is>
          <t>Продажи квартир</t>
        </is>
      </c>
      <c r="B487" s="9" t="inlineStr">
        <is>
          <t>Квартиры во вторичке</t>
        </is>
      </c>
      <c r="C487" s="9" t="inlineStr">
        <is>
          <t>Свердловская область</t>
        </is>
      </c>
      <c r="D487" s="10" t="n">
        <v>9820</v>
      </c>
    </row>
    <row r="488">
      <c r="A488" s="9" t="inlineStr">
        <is>
          <t>Продажи квартир</t>
        </is>
      </c>
      <c r="B488" s="9" t="inlineStr">
        <is>
          <t>Квартиры во вторичке</t>
        </is>
      </c>
      <c r="C488" s="9" t="inlineStr">
        <is>
          <t>Республика Северная Осетия - Алания</t>
        </is>
      </c>
      <c r="D488" s="10" t="n">
        <v>1476</v>
      </c>
    </row>
    <row r="489">
      <c r="A489" s="9" t="inlineStr">
        <is>
          <t>Продажи квартир</t>
        </is>
      </c>
      <c r="B489" s="9" t="inlineStr">
        <is>
          <t>Квартиры во вторичке</t>
        </is>
      </c>
      <c r="C489" s="9" t="inlineStr">
        <is>
          <t>Смоленская область</t>
        </is>
      </c>
      <c r="D489" s="10" t="n">
        <v>1656</v>
      </c>
    </row>
    <row r="490">
      <c r="A490" s="9" t="inlineStr">
        <is>
          <t>Продажи квартир</t>
        </is>
      </c>
      <c r="B490" s="9" t="inlineStr">
        <is>
          <t>Квартиры во вторичке</t>
        </is>
      </c>
      <c r="C490" s="9" t="inlineStr">
        <is>
          <t>Ставропольский край</t>
        </is>
      </c>
      <c r="D490" s="10" t="n">
        <v>5898</v>
      </c>
    </row>
    <row r="491">
      <c r="A491" s="9" t="inlineStr">
        <is>
          <t>Продажи квартир</t>
        </is>
      </c>
      <c r="B491" s="9" t="inlineStr">
        <is>
          <t>Квартиры во вторичке</t>
        </is>
      </c>
      <c r="C491" s="9" t="inlineStr">
        <is>
          <t>Тамбовская область</t>
        </is>
      </c>
      <c r="D491" s="10" t="n">
        <v>1349</v>
      </c>
    </row>
    <row r="492">
      <c r="A492" s="9" t="inlineStr">
        <is>
          <t>Продажи квартир</t>
        </is>
      </c>
      <c r="B492" s="9" t="inlineStr">
        <is>
          <t>Квартиры во вторичке</t>
        </is>
      </c>
      <c r="C492" s="9" t="inlineStr">
        <is>
          <t>Республика Татарстан</t>
        </is>
      </c>
      <c r="D492" s="10" t="n">
        <v>5743</v>
      </c>
    </row>
    <row r="493">
      <c r="A493" s="9" t="inlineStr">
        <is>
          <t>Продажи квартир</t>
        </is>
      </c>
      <c r="B493" s="9" t="inlineStr">
        <is>
          <t>Квартиры во вторичке</t>
        </is>
      </c>
      <c r="C493" s="9" t="inlineStr">
        <is>
          <t>Тверская область</t>
        </is>
      </c>
      <c r="D493" s="10" t="n">
        <v>2104</v>
      </c>
    </row>
    <row r="494">
      <c r="A494" s="9" t="inlineStr">
        <is>
          <t>Продажи квартир</t>
        </is>
      </c>
      <c r="B494" s="9" t="inlineStr">
        <is>
          <t>Квартиры во вторичке</t>
        </is>
      </c>
      <c r="C494" s="9" t="inlineStr">
        <is>
          <t>Томская область</t>
        </is>
      </c>
      <c r="D494" s="10" t="n">
        <v>3892</v>
      </c>
    </row>
    <row r="495">
      <c r="A495" s="9" t="inlineStr">
        <is>
          <t>Продажи квартир</t>
        </is>
      </c>
      <c r="B495" s="9" t="inlineStr">
        <is>
          <t>Квартиры во вторичке</t>
        </is>
      </c>
      <c r="C495" s="9" t="inlineStr">
        <is>
          <t>Тульская область</t>
        </is>
      </c>
      <c r="D495" s="10" t="n">
        <v>2482</v>
      </c>
    </row>
    <row r="496">
      <c r="A496" s="9" t="inlineStr">
        <is>
          <t>Продажи квартир</t>
        </is>
      </c>
      <c r="B496" s="9" t="inlineStr">
        <is>
          <t>Квартиры во вторичке</t>
        </is>
      </c>
      <c r="C496" s="9" t="inlineStr">
        <is>
          <t>Республика Тыва</t>
        </is>
      </c>
      <c r="D496" s="10" t="n">
        <v>229</v>
      </c>
    </row>
    <row r="497">
      <c r="A497" s="9" t="inlineStr">
        <is>
          <t>Продажи квартир</t>
        </is>
      </c>
      <c r="B497" s="9" t="inlineStr">
        <is>
          <t>Квартиры во вторичке</t>
        </is>
      </c>
      <c r="C497" s="9" t="inlineStr">
        <is>
          <t>Тюменская область</t>
        </is>
      </c>
      <c r="D497" s="10" t="n">
        <v>9561</v>
      </c>
    </row>
    <row r="498">
      <c r="A498" s="9" t="inlineStr">
        <is>
          <t>Продажи квартир</t>
        </is>
      </c>
      <c r="B498" s="9" t="inlineStr">
        <is>
          <t>Квартиры во вторичке</t>
        </is>
      </c>
      <c r="C498" s="9" t="inlineStr">
        <is>
          <t>Удмуртская Республика</t>
        </is>
      </c>
      <c r="D498" s="10" t="n">
        <v>931</v>
      </c>
    </row>
    <row r="499">
      <c r="A499" s="9" t="inlineStr">
        <is>
          <t>Продажи квартир</t>
        </is>
      </c>
      <c r="B499" s="9" t="inlineStr">
        <is>
          <t>Квартиры во вторичке</t>
        </is>
      </c>
      <c r="C499" s="9" t="inlineStr">
        <is>
          <t>Ульяновская область</t>
        </is>
      </c>
      <c r="D499" s="10" t="n">
        <v>1875</v>
      </c>
    </row>
    <row r="500">
      <c r="A500" s="9" t="inlineStr">
        <is>
          <t>Продажи квартир</t>
        </is>
      </c>
      <c r="B500" s="9" t="inlineStr">
        <is>
          <t>Квартиры во вторичке</t>
        </is>
      </c>
      <c r="C500" s="9" t="inlineStr">
        <is>
          <t>Хабаровский край</t>
        </is>
      </c>
      <c r="D500" s="10" t="n">
        <v>2296</v>
      </c>
    </row>
    <row r="501">
      <c r="A501" s="9" t="inlineStr">
        <is>
          <t>Продажи квартир</t>
        </is>
      </c>
      <c r="B501" s="9" t="inlineStr">
        <is>
          <t>Квартиры во вторичке</t>
        </is>
      </c>
      <c r="C501" s="9" t="inlineStr">
        <is>
          <t>Республика Хакасия</t>
        </is>
      </c>
      <c r="D501" s="10" t="n">
        <v>1301</v>
      </c>
    </row>
    <row r="502">
      <c r="A502" s="9" t="inlineStr">
        <is>
          <t>Продажи квартир</t>
        </is>
      </c>
      <c r="B502" s="9" t="inlineStr">
        <is>
          <t>Квартиры во вторичке</t>
        </is>
      </c>
      <c r="C502" s="9" t="inlineStr">
        <is>
          <t>Ханты-Мансийский автономный округ</t>
        </is>
      </c>
      <c r="D502" s="10" t="n">
        <v>3164</v>
      </c>
    </row>
    <row r="503">
      <c r="A503" s="9" t="inlineStr">
        <is>
          <t>Продажи квартир</t>
        </is>
      </c>
      <c r="B503" s="9" t="inlineStr">
        <is>
          <t>Квартиры во вторичке</t>
        </is>
      </c>
      <c r="C503" s="9" t="inlineStr">
        <is>
          <t>Челябинская область</t>
        </is>
      </c>
      <c r="D503" s="10" t="n">
        <v>4681</v>
      </c>
    </row>
    <row r="504">
      <c r="A504" s="9" t="inlineStr">
        <is>
          <t>Продажи квартир</t>
        </is>
      </c>
      <c r="B504" s="9" t="inlineStr">
        <is>
          <t>Квартиры во вторичке</t>
        </is>
      </c>
      <c r="C504" s="9" t="inlineStr">
        <is>
          <t>Чеченская Республика</t>
        </is>
      </c>
      <c r="D504" s="10" t="n">
        <v>181</v>
      </c>
    </row>
    <row r="505">
      <c r="A505" s="9" t="inlineStr">
        <is>
          <t>Продажи квартир</t>
        </is>
      </c>
      <c r="B505" s="9" t="inlineStr">
        <is>
          <t>Квартиры во вторичке</t>
        </is>
      </c>
      <c r="C505" s="9" t="inlineStr">
        <is>
          <t>Чувашская Республика</t>
        </is>
      </c>
      <c r="D505" s="10" t="n">
        <v>1680</v>
      </c>
    </row>
    <row r="506">
      <c r="A506" s="9" t="inlineStr">
        <is>
          <t>Продажи квартир</t>
        </is>
      </c>
      <c r="B506" s="9" t="inlineStr">
        <is>
          <t>Квартиры во вторичке</t>
        </is>
      </c>
      <c r="C506" s="9" t="inlineStr">
        <is>
          <t>Чукотский автономный округ</t>
        </is>
      </c>
      <c r="D506" s="10" t="n">
        <v>34</v>
      </c>
    </row>
    <row r="507">
      <c r="A507" s="9" t="inlineStr">
        <is>
          <t>Продажи квартир</t>
        </is>
      </c>
      <c r="B507" s="9" t="inlineStr">
        <is>
          <t>Квартиры во вторичке</t>
        </is>
      </c>
      <c r="C507" s="9" t="inlineStr">
        <is>
          <t>Ямало-Ненецкий автономный округ</t>
        </is>
      </c>
      <c r="D507" s="10" t="n">
        <v>1218</v>
      </c>
    </row>
    <row r="508">
      <c r="A508" s="9" t="inlineStr">
        <is>
          <t>Продажи квартир</t>
        </is>
      </c>
      <c r="B508" s="9" t="inlineStr">
        <is>
          <t>Квартиры во вторичке</t>
        </is>
      </c>
      <c r="C508" s="9" t="inlineStr">
        <is>
          <t>Ярославская область</t>
        </is>
      </c>
      <c r="D508" s="10" t="n">
        <v>3792</v>
      </c>
    </row>
    <row r="509">
      <c r="A509" s="9" t="inlineStr">
        <is>
          <t>Продажи квартир</t>
        </is>
      </c>
      <c r="B509" s="9" t="inlineStr">
        <is>
          <t>Квартиры во вторичке</t>
        </is>
      </c>
      <c r="C509" s="9" t="inlineStr">
        <is>
          <t>Республика Крым</t>
        </is>
      </c>
      <c r="D509" s="10" t="n">
        <v>10547</v>
      </c>
    </row>
    <row r="510">
      <c r="A510" s="9" t="inlineStr">
        <is>
          <t>Продажи квартир</t>
        </is>
      </c>
      <c r="B510" s="9" t="inlineStr">
        <is>
          <t>Квартиры во вторичке</t>
        </is>
      </c>
      <c r="C510" s="9" t="inlineStr">
        <is>
          <t>Севастополь</t>
        </is>
      </c>
      <c r="D510" s="10" t="n">
        <v>2777</v>
      </c>
    </row>
    <row r="511">
      <c r="A511" s="9" t="inlineStr">
        <is>
          <t>Продажи квартир</t>
        </is>
      </c>
      <c r="B511" s="9" t="inlineStr">
        <is>
          <t>Квартиры во вторичке</t>
        </is>
      </c>
      <c r="C511" s="9" t="inlineStr">
        <is>
          <t>Забайкальский край</t>
        </is>
      </c>
      <c r="D511" s="10" t="n">
        <v>1679</v>
      </c>
    </row>
    <row r="512">
      <c r="A512" s="11" t="inlineStr">
        <is>
          <t>Продажи квартир</t>
        </is>
      </c>
      <c r="B512" s="12" t="inlineStr">
        <is>
          <t>Комнаты</t>
        </is>
      </c>
      <c r="C512" s="13" t="inlineStr">
        <is>
          <t>Москва</t>
        </is>
      </c>
      <c r="D512" s="14" t="n">
        <v>731</v>
      </c>
    </row>
    <row r="513">
      <c r="A513" s="9" t="inlineStr">
        <is>
          <t>Продажи квартир</t>
        </is>
      </c>
      <c r="B513" s="9" t="inlineStr">
        <is>
          <t>Комнаты</t>
        </is>
      </c>
      <c r="C513" s="9" t="inlineStr">
        <is>
          <t>Санкт-Петербург</t>
        </is>
      </c>
      <c r="D513" s="10" t="n">
        <v>2038</v>
      </c>
    </row>
    <row r="514">
      <c r="A514" s="9" t="inlineStr">
        <is>
          <t>Продажи квартир</t>
        </is>
      </c>
      <c r="B514" s="9" t="inlineStr">
        <is>
          <t>Комнаты</t>
        </is>
      </c>
      <c r="C514" s="9" t="inlineStr">
        <is>
          <t>Республика Адыгея</t>
        </is>
      </c>
      <c r="D514" s="10" t="n">
        <v>13</v>
      </c>
    </row>
    <row r="515">
      <c r="A515" s="9" t="inlineStr">
        <is>
          <t>Продажи квартир</t>
        </is>
      </c>
      <c r="B515" s="9" t="inlineStr">
        <is>
          <t>Комнаты</t>
        </is>
      </c>
      <c r="C515" s="9" t="inlineStr">
        <is>
          <t>Республика Алтай</t>
        </is>
      </c>
      <c r="D515" s="10" t="n">
        <v>10</v>
      </c>
    </row>
    <row r="516">
      <c r="A516" s="9" t="inlineStr">
        <is>
          <t>Продажи квартир</t>
        </is>
      </c>
      <c r="B516" s="9" t="inlineStr">
        <is>
          <t>Комнаты</t>
        </is>
      </c>
      <c r="C516" s="9" t="inlineStr">
        <is>
          <t>Алтайский край</t>
        </is>
      </c>
      <c r="D516" s="10" t="n">
        <v>128</v>
      </c>
    </row>
    <row r="517">
      <c r="A517" s="9" t="inlineStr">
        <is>
          <t>Продажи квартир</t>
        </is>
      </c>
      <c r="B517" s="9" t="inlineStr">
        <is>
          <t>Комнаты</t>
        </is>
      </c>
      <c r="C517" s="9" t="inlineStr">
        <is>
          <t>Амурская область</t>
        </is>
      </c>
      <c r="D517" s="10" t="n">
        <v>27</v>
      </c>
    </row>
    <row r="518">
      <c r="A518" s="9" t="inlineStr">
        <is>
          <t>Продажи квартир</t>
        </is>
      </c>
      <c r="B518" s="9" t="inlineStr">
        <is>
          <t>Комнаты</t>
        </is>
      </c>
      <c r="C518" s="9" t="inlineStr">
        <is>
          <t>Архангельская область</t>
        </is>
      </c>
      <c r="D518" s="10" t="n">
        <v>108</v>
      </c>
    </row>
    <row r="519">
      <c r="A519" s="9" t="inlineStr">
        <is>
          <t>Продажи квартир</t>
        </is>
      </c>
      <c r="B519" s="9" t="inlineStr">
        <is>
          <t>Комнаты</t>
        </is>
      </c>
      <c r="C519" s="9" t="inlineStr">
        <is>
          <t>Астраханская область</t>
        </is>
      </c>
      <c r="D519" s="10" t="n">
        <v>30</v>
      </c>
    </row>
    <row r="520">
      <c r="A520" s="9" t="inlineStr">
        <is>
          <t>Продажи квартир</t>
        </is>
      </c>
      <c r="B520" s="9" t="inlineStr">
        <is>
          <t>Комнаты</t>
        </is>
      </c>
      <c r="C520" s="9" t="inlineStr">
        <is>
          <t>Республика Башкортостан</t>
        </is>
      </c>
      <c r="D520" s="10" t="n">
        <v>430</v>
      </c>
    </row>
    <row r="521">
      <c r="A521" s="9" t="inlineStr">
        <is>
          <t>Продажи квартир</t>
        </is>
      </c>
      <c r="B521" s="9" t="inlineStr">
        <is>
          <t>Комнаты</t>
        </is>
      </c>
      <c r="C521" s="9" t="inlineStr">
        <is>
          <t>Белгородская область</t>
        </is>
      </c>
      <c r="D521" s="10" t="n">
        <v>333</v>
      </c>
    </row>
    <row r="522">
      <c r="A522" s="9" t="inlineStr">
        <is>
          <t>Продажи квартир</t>
        </is>
      </c>
      <c r="B522" s="9" t="inlineStr">
        <is>
          <t>Комнаты</t>
        </is>
      </c>
      <c r="C522" s="9" t="inlineStr">
        <is>
          <t>Брянская область</t>
        </is>
      </c>
      <c r="D522" s="10" t="n">
        <v>228</v>
      </c>
    </row>
    <row r="523">
      <c r="A523" s="9" t="inlineStr">
        <is>
          <t>Продажи квартир</t>
        </is>
      </c>
      <c r="B523" s="9" t="inlineStr">
        <is>
          <t>Комнаты</t>
        </is>
      </c>
      <c r="C523" s="9" t="inlineStr">
        <is>
          <t>Республика Бурятия</t>
        </is>
      </c>
      <c r="D523" s="10" t="n">
        <v>48</v>
      </c>
    </row>
    <row r="524">
      <c r="A524" s="9" t="inlineStr">
        <is>
          <t>Продажи квартир</t>
        </is>
      </c>
      <c r="B524" s="9" t="inlineStr">
        <is>
          <t>Комнаты</t>
        </is>
      </c>
      <c r="C524" s="9" t="inlineStr">
        <is>
          <t>Владимирская область</t>
        </is>
      </c>
      <c r="D524" s="10" t="n">
        <v>258</v>
      </c>
    </row>
    <row r="525">
      <c r="A525" s="9" t="inlineStr">
        <is>
          <t>Продажи квартир</t>
        </is>
      </c>
      <c r="B525" s="9" t="inlineStr">
        <is>
          <t>Комнаты</t>
        </is>
      </c>
      <c r="C525" s="9" t="inlineStr">
        <is>
          <t>Волгоградская область</t>
        </is>
      </c>
      <c r="D525" s="10" t="n">
        <v>355</v>
      </c>
    </row>
    <row r="526">
      <c r="A526" s="9" t="inlineStr">
        <is>
          <t>Продажи квартир</t>
        </is>
      </c>
      <c r="B526" s="9" t="inlineStr">
        <is>
          <t>Комнаты</t>
        </is>
      </c>
      <c r="C526" s="9" t="inlineStr">
        <is>
          <t>Вологодская область</t>
        </is>
      </c>
      <c r="D526" s="10" t="n">
        <v>80</v>
      </c>
    </row>
    <row r="527">
      <c r="A527" s="9" t="inlineStr">
        <is>
          <t>Продажи квартир</t>
        </is>
      </c>
      <c r="B527" s="9" t="inlineStr">
        <is>
          <t>Комнаты</t>
        </is>
      </c>
      <c r="C527" s="9" t="inlineStr">
        <is>
          <t>Воронежская область</t>
        </is>
      </c>
      <c r="D527" s="10" t="n">
        <v>168</v>
      </c>
    </row>
    <row r="528">
      <c r="A528" s="9" t="inlineStr">
        <is>
          <t>Продажи квартир</t>
        </is>
      </c>
      <c r="B528" s="9" t="inlineStr">
        <is>
          <t>Комнаты</t>
        </is>
      </c>
      <c r="C528" s="9" t="inlineStr">
        <is>
          <t>Республика Дагестан</t>
        </is>
      </c>
      <c r="D528" s="10" t="n">
        <v>3</v>
      </c>
    </row>
    <row r="529">
      <c r="A529" s="9" t="inlineStr">
        <is>
          <t>Продажи квартир</t>
        </is>
      </c>
      <c r="B529" s="9" t="inlineStr">
        <is>
          <t>Комнаты</t>
        </is>
      </c>
      <c r="C529" s="9" t="inlineStr">
        <is>
          <t>Еврейская автономная область</t>
        </is>
      </c>
      <c r="D529" s="10" t="n">
        <v>3</v>
      </c>
    </row>
    <row r="530">
      <c r="A530" s="9" t="inlineStr">
        <is>
          <t>Продажи квартир</t>
        </is>
      </c>
      <c r="B530" s="9" t="inlineStr">
        <is>
          <t>Комнаты</t>
        </is>
      </c>
      <c r="C530" s="9" t="inlineStr">
        <is>
          <t>Ивановская область</t>
        </is>
      </c>
      <c r="D530" s="10" t="n">
        <v>68</v>
      </c>
    </row>
    <row r="531">
      <c r="A531" s="9" t="inlineStr">
        <is>
          <t>Продажи квартир</t>
        </is>
      </c>
      <c r="B531" s="9" t="inlineStr">
        <is>
          <t>Комнаты</t>
        </is>
      </c>
      <c r="C531" s="9" t="inlineStr">
        <is>
          <t>Республика Ингушетия</t>
        </is>
      </c>
      <c r="D531" s="10" t="n">
        <v>0</v>
      </c>
    </row>
    <row r="532">
      <c r="A532" s="9" t="inlineStr">
        <is>
          <t>Продажи квартир</t>
        </is>
      </c>
      <c r="B532" s="9" t="inlineStr">
        <is>
          <t>Комнаты</t>
        </is>
      </c>
      <c r="C532" s="9" t="inlineStr">
        <is>
          <t>Иркутская область</t>
        </is>
      </c>
      <c r="D532" s="10" t="n">
        <v>158</v>
      </c>
    </row>
    <row r="533">
      <c r="A533" s="9" t="inlineStr">
        <is>
          <t>Продажи квартир</t>
        </is>
      </c>
      <c r="B533" s="9" t="inlineStr">
        <is>
          <t>Комнаты</t>
        </is>
      </c>
      <c r="C533" s="9" t="inlineStr">
        <is>
          <t>Кабардино-Балкарская Республика</t>
        </is>
      </c>
      <c r="D533" s="10" t="n">
        <v>2</v>
      </c>
    </row>
    <row r="534">
      <c r="A534" s="9" t="inlineStr">
        <is>
          <t>Продажи квартир</t>
        </is>
      </c>
      <c r="B534" s="9" t="inlineStr">
        <is>
          <t>Комнаты</t>
        </is>
      </c>
      <c r="C534" s="9" t="inlineStr">
        <is>
          <t>Калининградская область</t>
        </is>
      </c>
      <c r="D534" s="10" t="n">
        <v>88</v>
      </c>
    </row>
    <row r="535">
      <c r="A535" s="9" t="inlineStr">
        <is>
          <t>Продажи квартир</t>
        </is>
      </c>
      <c r="B535" s="9" t="inlineStr">
        <is>
          <t>Комнаты</t>
        </is>
      </c>
      <c r="C535" s="9" t="inlineStr">
        <is>
          <t>Республика Калмыкия</t>
        </is>
      </c>
      <c r="D535" s="10" t="n">
        <v>3</v>
      </c>
    </row>
    <row r="536">
      <c r="A536" s="9" t="inlineStr">
        <is>
          <t>Продажи квартир</t>
        </is>
      </c>
      <c r="B536" s="9" t="inlineStr">
        <is>
          <t>Комнаты</t>
        </is>
      </c>
      <c r="C536" s="9" t="inlineStr">
        <is>
          <t>Калужская область</t>
        </is>
      </c>
      <c r="D536" s="10" t="n">
        <v>258</v>
      </c>
    </row>
    <row r="537">
      <c r="A537" s="9" t="inlineStr">
        <is>
          <t>Продажи квартир</t>
        </is>
      </c>
      <c r="B537" s="9" t="inlineStr">
        <is>
          <t>Комнаты</t>
        </is>
      </c>
      <c r="C537" s="9" t="inlineStr">
        <is>
          <t>Камчатский край</t>
        </is>
      </c>
      <c r="D537" s="10" t="n">
        <v>4</v>
      </c>
    </row>
    <row r="538">
      <c r="A538" s="9" t="inlineStr">
        <is>
          <t>Продажи квартир</t>
        </is>
      </c>
      <c r="B538" s="9" t="inlineStr">
        <is>
          <t>Комнаты</t>
        </is>
      </c>
      <c r="C538" s="9" t="inlineStr">
        <is>
          <t>Карачаево-Черкесская Республика</t>
        </is>
      </c>
      <c r="D538" s="10" t="n">
        <v>1</v>
      </c>
    </row>
    <row r="539">
      <c r="A539" s="9" t="inlineStr">
        <is>
          <t>Продажи квартир</t>
        </is>
      </c>
      <c r="B539" s="9" t="inlineStr">
        <is>
          <t>Комнаты</t>
        </is>
      </c>
      <c r="C539" s="9" t="inlineStr">
        <is>
          <t>Республика Карелия</t>
        </is>
      </c>
      <c r="D539" s="10" t="n">
        <v>13</v>
      </c>
    </row>
    <row r="540">
      <c r="A540" s="9" t="inlineStr">
        <is>
          <t>Продажи квартир</t>
        </is>
      </c>
      <c r="B540" s="9" t="inlineStr">
        <is>
          <t>Комнаты</t>
        </is>
      </c>
      <c r="C540" s="9" t="inlineStr">
        <is>
          <t>Кемеровская область</t>
        </is>
      </c>
      <c r="D540" s="10" t="n">
        <v>81</v>
      </c>
    </row>
    <row r="541">
      <c r="A541" s="9" t="inlineStr">
        <is>
          <t>Продажи квартир</t>
        </is>
      </c>
      <c r="B541" s="9" t="inlineStr">
        <is>
          <t>Комнаты</t>
        </is>
      </c>
      <c r="C541" s="9" t="inlineStr">
        <is>
          <t>Кировская область</t>
        </is>
      </c>
      <c r="D541" s="10" t="n">
        <v>60</v>
      </c>
    </row>
    <row r="542">
      <c r="A542" s="9" t="inlineStr">
        <is>
          <t>Продажи квартир</t>
        </is>
      </c>
      <c r="B542" s="9" t="inlineStr">
        <is>
          <t>Комнаты</t>
        </is>
      </c>
      <c r="C542" s="9" t="inlineStr">
        <is>
          <t>Республика Коми</t>
        </is>
      </c>
      <c r="D542" s="10" t="n">
        <v>106</v>
      </c>
    </row>
    <row r="543">
      <c r="A543" s="9" t="inlineStr">
        <is>
          <t>Продажи квартир</t>
        </is>
      </c>
      <c r="B543" s="9" t="inlineStr">
        <is>
          <t>Комнаты</t>
        </is>
      </c>
      <c r="C543" s="9" t="inlineStr">
        <is>
          <t>Костромская область</t>
        </is>
      </c>
      <c r="D543" s="10" t="n">
        <v>77</v>
      </c>
    </row>
    <row r="544">
      <c r="A544" s="9" t="inlineStr">
        <is>
          <t>Продажи квартир</t>
        </is>
      </c>
      <c r="B544" s="9" t="inlineStr">
        <is>
          <t>Комнаты</t>
        </is>
      </c>
      <c r="C544" s="9" t="inlineStr">
        <is>
          <t>Краснодарский край</t>
        </is>
      </c>
      <c r="D544" s="10" t="n">
        <v>409</v>
      </c>
    </row>
    <row r="545">
      <c r="A545" s="9" t="inlineStr">
        <is>
          <t>Продажи квартир</t>
        </is>
      </c>
      <c r="B545" s="9" t="inlineStr">
        <is>
          <t>Комнаты</t>
        </is>
      </c>
      <c r="C545" s="9" t="inlineStr">
        <is>
          <t>Красноярский край</t>
        </is>
      </c>
      <c r="D545" s="10" t="n">
        <v>185</v>
      </c>
    </row>
    <row r="546">
      <c r="A546" s="9" t="inlineStr">
        <is>
          <t>Продажи квартир</t>
        </is>
      </c>
      <c r="B546" s="9" t="inlineStr">
        <is>
          <t>Комнаты</t>
        </is>
      </c>
      <c r="C546" s="9" t="inlineStr">
        <is>
          <t>Курганская область</t>
        </is>
      </c>
      <c r="D546" s="10" t="n">
        <v>143</v>
      </c>
    </row>
    <row r="547">
      <c r="A547" s="9" t="inlineStr">
        <is>
          <t>Продажи квартир</t>
        </is>
      </c>
      <c r="B547" s="9" t="inlineStr">
        <is>
          <t>Комнаты</t>
        </is>
      </c>
      <c r="C547" s="9" t="inlineStr">
        <is>
          <t>Курская область</t>
        </is>
      </c>
      <c r="D547" s="10" t="n">
        <v>88</v>
      </c>
    </row>
    <row r="548">
      <c r="A548" s="9" t="inlineStr">
        <is>
          <t>Продажи квартир</t>
        </is>
      </c>
      <c r="B548" s="9" t="inlineStr">
        <is>
          <t>Комнаты</t>
        </is>
      </c>
      <c r="C548" s="9" t="inlineStr">
        <is>
          <t>Ленинградская область</t>
        </is>
      </c>
      <c r="D548" s="10" t="n">
        <v>185</v>
      </c>
    </row>
    <row r="549">
      <c r="A549" s="9" t="inlineStr">
        <is>
          <t>Продажи квартир</t>
        </is>
      </c>
      <c r="B549" s="9" t="inlineStr">
        <is>
          <t>Комнаты</t>
        </is>
      </c>
      <c r="C549" s="9" t="inlineStr">
        <is>
          <t>Липецкая область</t>
        </is>
      </c>
      <c r="D549" s="10" t="n">
        <v>100</v>
      </c>
    </row>
    <row r="550">
      <c r="A550" s="9" t="inlineStr">
        <is>
          <t>Продажи квартир</t>
        </is>
      </c>
      <c r="B550" s="9" t="inlineStr">
        <is>
          <t>Комнаты</t>
        </is>
      </c>
      <c r="C550" s="9" t="inlineStr">
        <is>
          <t>Магаданская область</t>
        </is>
      </c>
      <c r="D550" s="10" t="n">
        <v>23</v>
      </c>
    </row>
    <row r="551">
      <c r="A551" s="9" t="inlineStr">
        <is>
          <t>Продажи квартир</t>
        </is>
      </c>
      <c r="B551" s="9" t="inlineStr">
        <is>
          <t>Комнаты</t>
        </is>
      </c>
      <c r="C551" s="9" t="inlineStr">
        <is>
          <t>Республика Марий Эл</t>
        </is>
      </c>
      <c r="D551" s="10" t="n">
        <v>60</v>
      </c>
    </row>
    <row r="552">
      <c r="A552" s="9" t="inlineStr">
        <is>
          <t>Продажи квартир</t>
        </is>
      </c>
      <c r="B552" s="9" t="inlineStr">
        <is>
          <t>Комнаты</t>
        </is>
      </c>
      <c r="C552" s="9" t="inlineStr">
        <is>
          <t>Республика Мордовия</t>
        </is>
      </c>
      <c r="D552" s="10" t="n">
        <v>78</v>
      </c>
    </row>
    <row r="553">
      <c r="A553" s="9" t="inlineStr">
        <is>
          <t>Продажи квартир</t>
        </is>
      </c>
      <c r="B553" s="9" t="inlineStr">
        <is>
          <t>Комнаты</t>
        </is>
      </c>
      <c r="C553" s="9" t="inlineStr">
        <is>
          <t>Московская область</t>
        </is>
      </c>
      <c r="D553" s="10" t="n">
        <v>803</v>
      </c>
    </row>
    <row r="554">
      <c r="A554" s="9" t="inlineStr">
        <is>
          <t>Продажи квартир</t>
        </is>
      </c>
      <c r="B554" s="9" t="inlineStr">
        <is>
          <t>Комнаты</t>
        </is>
      </c>
      <c r="C554" s="9" t="inlineStr">
        <is>
          <t>Мурманская область</t>
        </is>
      </c>
      <c r="D554" s="10" t="n">
        <v>26</v>
      </c>
    </row>
    <row r="555">
      <c r="A555" s="9" t="inlineStr">
        <is>
          <t>Продажи квартир</t>
        </is>
      </c>
      <c r="B555" s="9" t="inlineStr">
        <is>
          <t>Комнаты</t>
        </is>
      </c>
      <c r="C555" s="9" t="inlineStr">
        <is>
          <t>Ненецкий автономный округ</t>
        </is>
      </c>
      <c r="D555" s="10" t="n">
        <v>1</v>
      </c>
    </row>
    <row r="556">
      <c r="A556" s="9" t="inlineStr">
        <is>
          <t>Продажи квартир</t>
        </is>
      </c>
      <c r="B556" s="9" t="inlineStr">
        <is>
          <t>Комнаты</t>
        </is>
      </c>
      <c r="C556" s="9" t="inlineStr">
        <is>
          <t>Нижегородская область</t>
        </is>
      </c>
      <c r="D556" s="10" t="n">
        <v>366</v>
      </c>
    </row>
    <row r="557">
      <c r="A557" s="9" t="inlineStr">
        <is>
          <t>Продажи квартир</t>
        </is>
      </c>
      <c r="B557" s="9" t="inlineStr">
        <is>
          <t>Комнаты</t>
        </is>
      </c>
      <c r="C557" s="9" t="inlineStr">
        <is>
          <t>Новгородская область</t>
        </is>
      </c>
      <c r="D557" s="10" t="n">
        <v>68</v>
      </c>
    </row>
    <row r="558">
      <c r="A558" s="9" t="inlineStr">
        <is>
          <t>Продажи квартир</t>
        </is>
      </c>
      <c r="B558" s="9" t="inlineStr">
        <is>
          <t>Комнаты</t>
        </is>
      </c>
      <c r="C558" s="9" t="inlineStr">
        <is>
          <t>Новосибирская область</t>
        </is>
      </c>
      <c r="D558" s="10" t="n">
        <v>524</v>
      </c>
    </row>
    <row r="559">
      <c r="A559" s="9" t="inlineStr">
        <is>
          <t>Продажи квартир</t>
        </is>
      </c>
      <c r="B559" s="9" t="inlineStr">
        <is>
          <t>Комнаты</t>
        </is>
      </c>
      <c r="C559" s="9" t="inlineStr">
        <is>
          <t>Омская область</t>
        </is>
      </c>
      <c r="D559" s="10" t="n">
        <v>321</v>
      </c>
    </row>
    <row r="560">
      <c r="A560" s="9" t="inlineStr">
        <is>
          <t>Продажи квартир</t>
        </is>
      </c>
      <c r="B560" s="9" t="inlineStr">
        <is>
          <t>Комнаты</t>
        </is>
      </c>
      <c r="C560" s="9" t="inlineStr">
        <is>
          <t>Оренбургская область</t>
        </is>
      </c>
      <c r="D560" s="10" t="n">
        <v>88</v>
      </c>
    </row>
    <row r="561">
      <c r="A561" s="9" t="inlineStr">
        <is>
          <t>Продажи квартир</t>
        </is>
      </c>
      <c r="B561" s="9" t="inlineStr">
        <is>
          <t>Комнаты</t>
        </is>
      </c>
      <c r="C561" s="9" t="inlineStr">
        <is>
          <t>Орловская область</t>
        </is>
      </c>
      <c r="D561" s="10" t="n">
        <v>58</v>
      </c>
    </row>
    <row r="562">
      <c r="A562" s="9" t="inlineStr">
        <is>
          <t>Продажи квартир</t>
        </is>
      </c>
      <c r="B562" s="9" t="inlineStr">
        <is>
          <t>Комнаты</t>
        </is>
      </c>
      <c r="C562" s="9" t="inlineStr">
        <is>
          <t>Пензенская область</t>
        </is>
      </c>
      <c r="D562" s="10" t="n">
        <v>122</v>
      </c>
    </row>
    <row r="563">
      <c r="A563" s="9" t="inlineStr">
        <is>
          <t>Продажи квартир</t>
        </is>
      </c>
      <c r="B563" s="9" t="inlineStr">
        <is>
          <t>Комнаты</t>
        </is>
      </c>
      <c r="C563" s="9" t="inlineStr">
        <is>
          <t>Пермский край</t>
        </is>
      </c>
      <c r="D563" s="10" t="n">
        <v>452</v>
      </c>
    </row>
    <row r="564">
      <c r="A564" s="9" t="inlineStr">
        <is>
          <t>Продажи квартир</t>
        </is>
      </c>
      <c r="B564" s="9" t="inlineStr">
        <is>
          <t>Комнаты</t>
        </is>
      </c>
      <c r="C564" s="9" t="inlineStr">
        <is>
          <t>Приморский край</t>
        </is>
      </c>
      <c r="D564" s="10" t="n">
        <v>40</v>
      </c>
    </row>
    <row r="565">
      <c r="A565" s="9" t="inlineStr">
        <is>
          <t>Продажи квартир</t>
        </is>
      </c>
      <c r="B565" s="9" t="inlineStr">
        <is>
          <t>Комнаты</t>
        </is>
      </c>
      <c r="C565" s="9" t="inlineStr">
        <is>
          <t>Псковская область</t>
        </is>
      </c>
      <c r="D565" s="10" t="n">
        <v>64</v>
      </c>
    </row>
    <row r="566">
      <c r="A566" s="9" t="inlineStr">
        <is>
          <t>Продажи квартир</t>
        </is>
      </c>
      <c r="B566" s="9" t="inlineStr">
        <is>
          <t>Комнаты</t>
        </is>
      </c>
      <c r="C566" s="9" t="inlineStr">
        <is>
          <t>Ростовская область</t>
        </is>
      </c>
      <c r="D566" s="10" t="n">
        <v>582</v>
      </c>
    </row>
    <row r="567">
      <c r="A567" s="9" t="inlineStr">
        <is>
          <t>Продажи квартир</t>
        </is>
      </c>
      <c r="B567" s="9" t="inlineStr">
        <is>
          <t>Комнаты</t>
        </is>
      </c>
      <c r="C567" s="9" t="inlineStr">
        <is>
          <t>Рязанская область</t>
        </is>
      </c>
      <c r="D567" s="10" t="n">
        <v>78</v>
      </c>
    </row>
    <row r="568">
      <c r="A568" s="9" t="inlineStr">
        <is>
          <t>Продажи квартир</t>
        </is>
      </c>
      <c r="B568" s="9" t="inlineStr">
        <is>
          <t>Комнаты</t>
        </is>
      </c>
      <c r="C568" s="9" t="inlineStr">
        <is>
          <t>Самарская область</t>
        </is>
      </c>
      <c r="D568" s="10" t="n">
        <v>240</v>
      </c>
    </row>
    <row r="569">
      <c r="A569" s="9" t="inlineStr">
        <is>
          <t>Продажи квартир</t>
        </is>
      </c>
      <c r="B569" s="9" t="inlineStr">
        <is>
          <t>Комнаты</t>
        </is>
      </c>
      <c r="C569" s="9" t="inlineStr">
        <is>
          <t>Саратовская область</t>
        </is>
      </c>
      <c r="D569" s="10" t="n">
        <v>166</v>
      </c>
    </row>
    <row r="570">
      <c r="A570" s="9" t="inlineStr">
        <is>
          <t>Продажи квартир</t>
        </is>
      </c>
      <c r="B570" s="9" t="inlineStr">
        <is>
          <t>Комнаты</t>
        </is>
      </c>
      <c r="C570" s="9" t="inlineStr">
        <is>
          <t>Республика Саха (Якутия)</t>
        </is>
      </c>
      <c r="D570" s="10" t="n">
        <v>13</v>
      </c>
    </row>
    <row r="571">
      <c r="A571" s="9" t="inlineStr">
        <is>
          <t>Продажи квартир</t>
        </is>
      </c>
      <c r="B571" s="9" t="inlineStr">
        <is>
          <t>Комнаты</t>
        </is>
      </c>
      <c r="C571" s="9" t="inlineStr">
        <is>
          <t>Сахалинская область</t>
        </is>
      </c>
      <c r="D571" s="10" t="n">
        <v>4</v>
      </c>
    </row>
    <row r="572">
      <c r="A572" s="9" t="inlineStr">
        <is>
          <t>Продажи квартир</t>
        </is>
      </c>
      <c r="B572" s="9" t="inlineStr">
        <is>
          <t>Комнаты</t>
        </is>
      </c>
      <c r="C572" s="9" t="inlineStr">
        <is>
          <t>Свердловская область</t>
        </is>
      </c>
      <c r="D572" s="10" t="n">
        <v>552</v>
      </c>
    </row>
    <row r="573">
      <c r="A573" s="9" t="inlineStr">
        <is>
          <t>Продажи квартир</t>
        </is>
      </c>
      <c r="B573" s="9" t="inlineStr">
        <is>
          <t>Комнаты</t>
        </is>
      </c>
      <c r="C573" s="9" t="inlineStr">
        <is>
          <t>Республика Северная Осетия - Алания</t>
        </is>
      </c>
      <c r="D573" s="10" t="n">
        <v>4</v>
      </c>
    </row>
    <row r="574">
      <c r="A574" s="9" t="inlineStr">
        <is>
          <t>Продажи квартир</t>
        </is>
      </c>
      <c r="B574" s="9" t="inlineStr">
        <is>
          <t>Комнаты</t>
        </is>
      </c>
      <c r="C574" s="9" t="inlineStr">
        <is>
          <t>Смоленская область</t>
        </is>
      </c>
      <c r="D574" s="10" t="n">
        <v>112</v>
      </c>
    </row>
    <row r="575">
      <c r="A575" s="9" t="inlineStr">
        <is>
          <t>Продажи квартир</t>
        </is>
      </c>
      <c r="B575" s="9" t="inlineStr">
        <is>
          <t>Комнаты</t>
        </is>
      </c>
      <c r="C575" s="9" t="inlineStr">
        <is>
          <t>Ставропольский край</t>
        </is>
      </c>
      <c r="D575" s="10" t="n">
        <v>58</v>
      </c>
    </row>
    <row r="576">
      <c r="A576" s="9" t="inlineStr">
        <is>
          <t>Продажи квартир</t>
        </is>
      </c>
      <c r="B576" s="9" t="inlineStr">
        <is>
          <t>Комнаты</t>
        </is>
      </c>
      <c r="C576" s="9" t="inlineStr">
        <is>
          <t>Тамбовская область</t>
        </is>
      </c>
      <c r="D576" s="10" t="n">
        <v>59</v>
      </c>
    </row>
    <row r="577">
      <c r="A577" s="9" t="inlineStr">
        <is>
          <t>Продажи квартир</t>
        </is>
      </c>
      <c r="B577" s="9" t="inlineStr">
        <is>
          <t>Комнаты</t>
        </is>
      </c>
      <c r="C577" s="9" t="inlineStr">
        <is>
          <t>Республика Татарстан</t>
        </is>
      </c>
      <c r="D577" s="10" t="n">
        <v>255</v>
      </c>
    </row>
    <row r="578">
      <c r="A578" s="9" t="inlineStr">
        <is>
          <t>Продажи квартир</t>
        </is>
      </c>
      <c r="B578" s="9" t="inlineStr">
        <is>
          <t>Комнаты</t>
        </is>
      </c>
      <c r="C578" s="9" t="inlineStr">
        <is>
          <t>Тверская область</t>
        </is>
      </c>
      <c r="D578" s="10" t="n">
        <v>108</v>
      </c>
    </row>
    <row r="579">
      <c r="A579" s="9" t="inlineStr">
        <is>
          <t>Продажи квартир</t>
        </is>
      </c>
      <c r="B579" s="9" t="inlineStr">
        <is>
          <t>Комнаты</t>
        </is>
      </c>
      <c r="C579" s="9" t="inlineStr">
        <is>
          <t>Томская область</t>
        </is>
      </c>
      <c r="D579" s="10" t="n">
        <v>152</v>
      </c>
    </row>
    <row r="580">
      <c r="A580" s="9" t="inlineStr">
        <is>
          <t>Продажи квартир</t>
        </is>
      </c>
      <c r="B580" s="9" t="inlineStr">
        <is>
          <t>Комнаты</t>
        </is>
      </c>
      <c r="C580" s="9" t="inlineStr">
        <is>
          <t>Тульская область</t>
        </is>
      </c>
      <c r="D580" s="10" t="n">
        <v>88</v>
      </c>
    </row>
    <row r="581">
      <c r="A581" s="9" t="inlineStr">
        <is>
          <t>Продажи квартир</t>
        </is>
      </c>
      <c r="B581" s="9" t="inlineStr">
        <is>
          <t>Комнаты</t>
        </is>
      </c>
      <c r="C581" s="9" t="inlineStr">
        <is>
          <t>Республика Тыва</t>
        </is>
      </c>
      <c r="D581" s="10" t="n">
        <v>0</v>
      </c>
    </row>
    <row r="582">
      <c r="A582" s="9" t="inlineStr">
        <is>
          <t>Продажи квартир</t>
        </is>
      </c>
      <c r="B582" s="9" t="inlineStr">
        <is>
          <t>Комнаты</t>
        </is>
      </c>
      <c r="C582" s="9" t="inlineStr">
        <is>
          <t>Тюменская область</t>
        </is>
      </c>
      <c r="D582" s="10" t="n">
        <v>179</v>
      </c>
    </row>
    <row r="583">
      <c r="A583" s="9" t="inlineStr">
        <is>
          <t>Продажи квартир</t>
        </is>
      </c>
      <c r="B583" s="9" t="inlineStr">
        <is>
          <t>Комнаты</t>
        </is>
      </c>
      <c r="C583" s="9" t="inlineStr">
        <is>
          <t>Удмуртская Республика</t>
        </is>
      </c>
      <c r="D583" s="10" t="n">
        <v>85</v>
      </c>
    </row>
    <row r="584">
      <c r="A584" s="9" t="inlineStr">
        <is>
          <t>Продажи квартир</t>
        </is>
      </c>
      <c r="B584" s="9" t="inlineStr">
        <is>
          <t>Комнаты</t>
        </is>
      </c>
      <c r="C584" s="9" t="inlineStr">
        <is>
          <t>Ульяновская область</t>
        </is>
      </c>
      <c r="D584" s="10" t="n">
        <v>91</v>
      </c>
    </row>
    <row r="585">
      <c r="A585" s="9" t="inlineStr">
        <is>
          <t>Продажи квартир</t>
        </is>
      </c>
      <c r="B585" s="9" t="inlineStr">
        <is>
          <t>Комнаты</t>
        </is>
      </c>
      <c r="C585" s="9" t="inlineStr">
        <is>
          <t>Хабаровский край</t>
        </is>
      </c>
      <c r="D585" s="10" t="n">
        <v>113</v>
      </c>
    </row>
    <row r="586">
      <c r="A586" s="9" t="inlineStr">
        <is>
          <t>Продажи квартир</t>
        </is>
      </c>
      <c r="B586" s="9" t="inlineStr">
        <is>
          <t>Комнаты</t>
        </is>
      </c>
      <c r="C586" s="9" t="inlineStr">
        <is>
          <t>Республика Хакасия</t>
        </is>
      </c>
      <c r="D586" s="10" t="n">
        <v>76</v>
      </c>
    </row>
    <row r="587">
      <c r="A587" s="9" t="inlineStr">
        <is>
          <t>Продажи квартир</t>
        </is>
      </c>
      <c r="B587" s="9" t="inlineStr">
        <is>
          <t>Комнаты</t>
        </is>
      </c>
      <c r="C587" s="9" t="inlineStr">
        <is>
          <t>Ханты-Мансийский автономный округ</t>
        </is>
      </c>
      <c r="D587" s="10" t="n">
        <v>70</v>
      </c>
    </row>
    <row r="588">
      <c r="A588" s="9" t="inlineStr">
        <is>
          <t>Продажи квартир</t>
        </is>
      </c>
      <c r="B588" s="9" t="inlineStr">
        <is>
          <t>Комнаты</t>
        </is>
      </c>
      <c r="C588" s="9" t="inlineStr">
        <is>
          <t>Челябинская область</t>
        </is>
      </c>
      <c r="D588" s="10" t="n">
        <v>169</v>
      </c>
    </row>
    <row r="589">
      <c r="A589" s="9" t="inlineStr">
        <is>
          <t>Продажи квартир</t>
        </is>
      </c>
      <c r="B589" s="9" t="inlineStr">
        <is>
          <t>Комнаты</t>
        </is>
      </c>
      <c r="C589" s="9" t="inlineStr">
        <is>
          <t>Чеченская Республика</t>
        </is>
      </c>
      <c r="D589" s="10" t="n">
        <v>0</v>
      </c>
    </row>
    <row r="590">
      <c r="A590" s="9" t="inlineStr">
        <is>
          <t>Продажи квартир</t>
        </is>
      </c>
      <c r="B590" s="9" t="inlineStr">
        <is>
          <t>Комнаты</t>
        </is>
      </c>
      <c r="C590" s="9" t="inlineStr">
        <is>
          <t>Чувашская Республика</t>
        </is>
      </c>
      <c r="D590" s="10" t="n">
        <v>159</v>
      </c>
    </row>
    <row r="591">
      <c r="A591" s="9" t="inlineStr">
        <is>
          <t>Продажи квартир</t>
        </is>
      </c>
      <c r="B591" s="9" t="inlineStr">
        <is>
          <t>Комнаты</t>
        </is>
      </c>
      <c r="C591" s="9" t="inlineStr">
        <is>
          <t>Чукотский автономный округ</t>
        </is>
      </c>
      <c r="D591" s="10" t="n">
        <v>3</v>
      </c>
    </row>
    <row r="592">
      <c r="A592" s="9" t="inlineStr">
        <is>
          <t>Продажи квартир</t>
        </is>
      </c>
      <c r="B592" s="9" t="inlineStr">
        <is>
          <t>Комнаты</t>
        </is>
      </c>
      <c r="C592" s="9" t="inlineStr">
        <is>
          <t>Ямало-Ненецкий автономный округ</t>
        </is>
      </c>
      <c r="D592" s="10" t="n">
        <v>16</v>
      </c>
    </row>
    <row r="593">
      <c r="A593" s="9" t="inlineStr">
        <is>
          <t>Продажи квартир</t>
        </is>
      </c>
      <c r="B593" s="9" t="inlineStr">
        <is>
          <t>Комнаты</t>
        </is>
      </c>
      <c r="C593" s="9" t="inlineStr">
        <is>
          <t>Ярославская область</t>
        </is>
      </c>
      <c r="D593" s="10" t="n">
        <v>194</v>
      </c>
    </row>
    <row r="594">
      <c r="A594" s="9" t="inlineStr">
        <is>
          <t>Продажи квартир</t>
        </is>
      </c>
      <c r="B594" s="9" t="inlineStr">
        <is>
          <t>Комнаты</t>
        </is>
      </c>
      <c r="C594" s="9" t="inlineStr">
        <is>
          <t>Республика Крым</t>
        </is>
      </c>
      <c r="D594" s="10" t="n">
        <v>110</v>
      </c>
    </row>
    <row r="595">
      <c r="A595" s="9" t="inlineStr">
        <is>
          <t>Продажи квартир</t>
        </is>
      </c>
      <c r="B595" s="9" t="inlineStr">
        <is>
          <t>Комнаты</t>
        </is>
      </c>
      <c r="C595" s="9" t="inlineStr">
        <is>
          <t>Севастополь</t>
        </is>
      </c>
      <c r="D595" s="10" t="n">
        <v>128</v>
      </c>
    </row>
    <row r="596">
      <c r="A596" s="9" t="inlineStr">
        <is>
          <t>Продажи квартир</t>
        </is>
      </c>
      <c r="B596" s="9" t="inlineStr">
        <is>
          <t>Комнаты</t>
        </is>
      </c>
      <c r="C596" s="9" t="inlineStr">
        <is>
          <t>Забайкальский край</t>
        </is>
      </c>
      <c r="D596" s="10" t="n">
        <v>59</v>
      </c>
    </row>
    <row r="597">
      <c r="A597" s="11" t="inlineStr">
        <is>
          <t>Продажи квартир</t>
        </is>
      </c>
      <c r="B597" s="12" t="inlineStr">
        <is>
          <t>Дома и коттеджи</t>
        </is>
      </c>
      <c r="C597" s="13" t="inlineStr">
        <is>
          <t>Москва</t>
        </is>
      </c>
      <c r="D597" s="14" t="n">
        <v>3575</v>
      </c>
    </row>
    <row r="598">
      <c r="A598" s="9" t="inlineStr">
        <is>
          <t>Продажи квартир</t>
        </is>
      </c>
      <c r="B598" s="9" t="inlineStr">
        <is>
          <t>Дома и коттеджи</t>
        </is>
      </c>
      <c r="C598" s="9" t="inlineStr">
        <is>
          <t>Санкт-Петербург</t>
        </is>
      </c>
      <c r="D598" s="10" t="n">
        <v>792</v>
      </c>
    </row>
    <row r="599">
      <c r="A599" s="9" t="inlineStr">
        <is>
          <t>Продажи квартир</t>
        </is>
      </c>
      <c r="B599" s="9" t="inlineStr">
        <is>
          <t>Дома и коттеджи</t>
        </is>
      </c>
      <c r="C599" s="9" t="inlineStr">
        <is>
          <t>Республика Адыгея</t>
        </is>
      </c>
      <c r="D599" s="10" t="n">
        <v>1450</v>
      </c>
    </row>
    <row r="600">
      <c r="A600" s="9" t="inlineStr">
        <is>
          <t>Продажи квартир</t>
        </is>
      </c>
      <c r="B600" s="9" t="inlineStr">
        <is>
          <t>Дома и коттеджи</t>
        </is>
      </c>
      <c r="C600" s="9" t="inlineStr">
        <is>
          <t>Республика Алтай</t>
        </is>
      </c>
      <c r="D600" s="10" t="n">
        <v>802</v>
      </c>
    </row>
    <row r="601">
      <c r="A601" s="9" t="inlineStr">
        <is>
          <t>Продажи квартир</t>
        </is>
      </c>
      <c r="B601" s="9" t="inlineStr">
        <is>
          <t>Дома и коттеджи</t>
        </is>
      </c>
      <c r="C601" s="9" t="inlineStr">
        <is>
          <t>Алтайский край</t>
        </is>
      </c>
      <c r="D601" s="10" t="n">
        <v>2809</v>
      </c>
    </row>
    <row r="602">
      <c r="A602" s="9" t="inlineStr">
        <is>
          <t>Продажи квартир</t>
        </is>
      </c>
      <c r="B602" s="9" t="inlineStr">
        <is>
          <t>Дома и коттеджи</t>
        </is>
      </c>
      <c r="C602" s="9" t="inlineStr">
        <is>
          <t>Амурская область</t>
        </is>
      </c>
      <c r="D602" s="10" t="n">
        <v>329</v>
      </c>
    </row>
    <row r="603">
      <c r="A603" s="9" t="inlineStr">
        <is>
          <t>Продажи квартир</t>
        </is>
      </c>
      <c r="B603" s="9" t="inlineStr">
        <is>
          <t>Дома и коттеджи</t>
        </is>
      </c>
      <c r="C603" s="9" t="inlineStr">
        <is>
          <t>Архангельская область</t>
        </is>
      </c>
      <c r="D603" s="10" t="n">
        <v>324</v>
      </c>
    </row>
    <row r="604">
      <c r="A604" s="9" t="inlineStr">
        <is>
          <t>Продажи квартир</t>
        </is>
      </c>
      <c r="B604" s="9" t="inlineStr">
        <is>
          <t>Дома и коттеджи</t>
        </is>
      </c>
      <c r="C604" s="9" t="inlineStr">
        <is>
          <t>Астраханская область</t>
        </is>
      </c>
      <c r="D604" s="10" t="n">
        <v>1069</v>
      </c>
    </row>
    <row r="605">
      <c r="A605" s="9" t="inlineStr">
        <is>
          <t>Продажи квартир</t>
        </is>
      </c>
      <c r="B605" s="9" t="inlineStr">
        <is>
          <t>Дома и коттеджи</t>
        </is>
      </c>
      <c r="C605" s="9" t="inlineStr">
        <is>
          <t>Республика Башкортостан</t>
        </is>
      </c>
      <c r="D605" s="10" t="n">
        <v>5776</v>
      </c>
    </row>
    <row r="606">
      <c r="A606" s="9" t="inlineStr">
        <is>
          <t>Продажи квартир</t>
        </is>
      </c>
      <c r="B606" s="9" t="inlineStr">
        <is>
          <t>Дома и коттеджи</t>
        </is>
      </c>
      <c r="C606" s="9" t="inlineStr">
        <is>
          <t>Белгородская область</t>
        </is>
      </c>
      <c r="D606" s="10" t="n">
        <v>11016</v>
      </c>
    </row>
    <row r="607">
      <c r="A607" s="9" t="inlineStr">
        <is>
          <t>Продажи квартир</t>
        </is>
      </c>
      <c r="B607" s="9" t="inlineStr">
        <is>
          <t>Дома и коттеджи</t>
        </is>
      </c>
      <c r="C607" s="9" t="inlineStr">
        <is>
          <t>Брянская область</t>
        </is>
      </c>
      <c r="D607" s="10" t="n">
        <v>2346</v>
      </c>
    </row>
    <row r="608">
      <c r="A608" s="9" t="inlineStr">
        <is>
          <t>Продажи квартир</t>
        </is>
      </c>
      <c r="B608" s="9" t="inlineStr">
        <is>
          <t>Дома и коттеджи</t>
        </is>
      </c>
      <c r="C608" s="9" t="inlineStr">
        <is>
          <t>Республика Бурятия</t>
        </is>
      </c>
      <c r="D608" s="10" t="n">
        <v>1272</v>
      </c>
    </row>
    <row r="609">
      <c r="A609" s="9" t="inlineStr">
        <is>
          <t>Продажи квартир</t>
        </is>
      </c>
      <c r="B609" s="9" t="inlineStr">
        <is>
          <t>Дома и коттеджи</t>
        </is>
      </c>
      <c r="C609" s="9" t="inlineStr">
        <is>
          <t>Владимирская область</t>
        </is>
      </c>
      <c r="D609" s="10" t="n">
        <v>4926</v>
      </c>
    </row>
    <row r="610">
      <c r="A610" s="9" t="inlineStr">
        <is>
          <t>Продажи квартир</t>
        </is>
      </c>
      <c r="B610" s="9" t="inlineStr">
        <is>
          <t>Дома и коттеджи</t>
        </is>
      </c>
      <c r="C610" s="9" t="inlineStr">
        <is>
          <t>Волгоградская область</t>
        </is>
      </c>
      <c r="D610" s="10" t="n">
        <v>4068</v>
      </c>
    </row>
    <row r="611">
      <c r="A611" s="9" t="inlineStr">
        <is>
          <t>Продажи квартир</t>
        </is>
      </c>
      <c r="B611" s="9" t="inlineStr">
        <is>
          <t>Дома и коттеджи</t>
        </is>
      </c>
      <c r="C611" s="9" t="inlineStr">
        <is>
          <t>Вологодская область</t>
        </is>
      </c>
      <c r="D611" s="10" t="n">
        <v>810</v>
      </c>
    </row>
    <row r="612">
      <c r="A612" s="9" t="inlineStr">
        <is>
          <t>Продажи квартир</t>
        </is>
      </c>
      <c r="B612" s="9" t="inlineStr">
        <is>
          <t>Дома и коттеджи</t>
        </is>
      </c>
      <c r="C612" s="9" t="inlineStr">
        <is>
          <t>Воронежская область</t>
        </is>
      </c>
      <c r="D612" s="10" t="n">
        <v>3039</v>
      </c>
    </row>
    <row r="613">
      <c r="A613" s="9" t="inlineStr">
        <is>
          <t>Продажи квартир</t>
        </is>
      </c>
      <c r="B613" s="9" t="inlineStr">
        <is>
          <t>Дома и коттеджи</t>
        </is>
      </c>
      <c r="C613" s="9" t="inlineStr">
        <is>
          <t>Республика Дагестан</t>
        </is>
      </c>
      <c r="D613" s="10" t="n">
        <v>624</v>
      </c>
    </row>
    <row r="614">
      <c r="A614" s="9" t="inlineStr">
        <is>
          <t>Продажи квартир</t>
        </is>
      </c>
      <c r="B614" s="9" t="inlineStr">
        <is>
          <t>Дома и коттеджи</t>
        </is>
      </c>
      <c r="C614" s="9" t="inlineStr">
        <is>
          <t>Еврейская автономная область</t>
        </is>
      </c>
      <c r="D614" s="10" t="n">
        <v>169</v>
      </c>
    </row>
    <row r="615">
      <c r="A615" s="9" t="inlineStr">
        <is>
          <t>Продажи квартир</t>
        </is>
      </c>
      <c r="B615" s="9" t="inlineStr">
        <is>
          <t>Дома и коттеджи</t>
        </is>
      </c>
      <c r="C615" s="9" t="inlineStr">
        <is>
          <t>Ивановская область</t>
        </is>
      </c>
      <c r="D615" s="10" t="n">
        <v>1294</v>
      </c>
    </row>
    <row r="616">
      <c r="A616" s="9" t="inlineStr">
        <is>
          <t>Продажи квартир</t>
        </is>
      </c>
      <c r="B616" s="9" t="inlineStr">
        <is>
          <t>Дома и коттеджи</t>
        </is>
      </c>
      <c r="C616" s="9" t="inlineStr">
        <is>
          <t>Республика Ингушетия</t>
        </is>
      </c>
      <c r="D616" s="10" t="n">
        <v>25</v>
      </c>
    </row>
    <row r="617">
      <c r="A617" s="9" t="inlineStr">
        <is>
          <t>Продажи квартир</t>
        </is>
      </c>
      <c r="B617" s="9" t="inlineStr">
        <is>
          <t>Дома и коттеджи</t>
        </is>
      </c>
      <c r="C617" s="9" t="inlineStr">
        <is>
          <t>Иркутская область</t>
        </is>
      </c>
      <c r="D617" s="10" t="n">
        <v>5377</v>
      </c>
    </row>
    <row r="618">
      <c r="A618" s="9" t="inlineStr">
        <is>
          <t>Продажи квартир</t>
        </is>
      </c>
      <c r="B618" s="9" t="inlineStr">
        <is>
          <t>Дома и коттеджи</t>
        </is>
      </c>
      <c r="C618" s="9" t="inlineStr">
        <is>
          <t>Кабардино-Балкарская Республика</t>
        </is>
      </c>
      <c r="D618" s="10" t="n">
        <v>367</v>
      </c>
    </row>
    <row r="619">
      <c r="A619" s="9" t="inlineStr">
        <is>
          <t>Продажи квартир</t>
        </is>
      </c>
      <c r="B619" s="9" t="inlineStr">
        <is>
          <t>Дома и коттеджи</t>
        </is>
      </c>
      <c r="C619" s="9" t="inlineStr">
        <is>
          <t>Калининградская область</t>
        </is>
      </c>
      <c r="D619" s="10" t="n">
        <v>2675</v>
      </c>
    </row>
    <row r="620">
      <c r="A620" s="9" t="inlineStr">
        <is>
          <t>Продажи квартир</t>
        </is>
      </c>
      <c r="B620" s="9" t="inlineStr">
        <is>
          <t>Дома и коттеджи</t>
        </is>
      </c>
      <c r="C620" s="9" t="inlineStr">
        <is>
          <t>Республика Калмыкия</t>
        </is>
      </c>
      <c r="D620" s="10" t="n">
        <v>256</v>
      </c>
    </row>
    <row r="621">
      <c r="A621" s="9" t="inlineStr">
        <is>
          <t>Продажи квартир</t>
        </is>
      </c>
      <c r="B621" s="9" t="inlineStr">
        <is>
          <t>Дома и коттеджи</t>
        </is>
      </c>
      <c r="C621" s="9" t="inlineStr">
        <is>
          <t>Калужская область</t>
        </is>
      </c>
      <c r="D621" s="10" t="n">
        <v>4962</v>
      </c>
    </row>
    <row r="622">
      <c r="A622" s="9" t="inlineStr">
        <is>
          <t>Продажи квартир</t>
        </is>
      </c>
      <c r="B622" s="9" t="inlineStr">
        <is>
          <t>Дома и коттеджи</t>
        </is>
      </c>
      <c r="C622" s="9" t="inlineStr">
        <is>
          <t>Камчатский край</t>
        </is>
      </c>
      <c r="D622" s="10" t="n">
        <v>127</v>
      </c>
    </row>
    <row r="623">
      <c r="A623" s="9" t="inlineStr">
        <is>
          <t>Продажи квартир</t>
        </is>
      </c>
      <c r="B623" s="9" t="inlineStr">
        <is>
          <t>Дома и коттеджи</t>
        </is>
      </c>
      <c r="C623" s="9" t="inlineStr">
        <is>
          <t>Карачаево-Черкесская Республика</t>
        </is>
      </c>
      <c r="D623" s="10" t="n">
        <v>194</v>
      </c>
    </row>
    <row r="624">
      <c r="A624" s="9" t="inlineStr">
        <is>
          <t>Продажи квартир</t>
        </is>
      </c>
      <c r="B624" s="9" t="inlineStr">
        <is>
          <t>Дома и коттеджи</t>
        </is>
      </c>
      <c r="C624" s="9" t="inlineStr">
        <is>
          <t>Республика Карелия</t>
        </is>
      </c>
      <c r="D624" s="10" t="n">
        <v>513</v>
      </c>
    </row>
    <row r="625">
      <c r="A625" s="9" t="inlineStr">
        <is>
          <t>Продажи квартир</t>
        </is>
      </c>
      <c r="B625" s="9" t="inlineStr">
        <is>
          <t>Дома и коттеджи</t>
        </is>
      </c>
      <c r="C625" s="9" t="inlineStr">
        <is>
          <t>Кемеровская область</t>
        </is>
      </c>
      <c r="D625" s="10" t="n">
        <v>3597</v>
      </c>
    </row>
    <row r="626">
      <c r="A626" s="9" t="inlineStr">
        <is>
          <t>Продажи квартир</t>
        </is>
      </c>
      <c r="B626" s="9" t="inlineStr">
        <is>
          <t>Дома и коттеджи</t>
        </is>
      </c>
      <c r="C626" s="9" t="inlineStr">
        <is>
          <t>Кировская область</t>
        </is>
      </c>
      <c r="D626" s="10" t="n">
        <v>585</v>
      </c>
    </row>
    <row r="627">
      <c r="A627" s="9" t="inlineStr">
        <is>
          <t>Продажи квартир</t>
        </is>
      </c>
      <c r="B627" s="9" t="inlineStr">
        <is>
          <t>Дома и коттеджи</t>
        </is>
      </c>
      <c r="C627" s="9" t="inlineStr">
        <is>
          <t>Республика Коми</t>
        </is>
      </c>
      <c r="D627" s="10" t="n">
        <v>461</v>
      </c>
    </row>
    <row r="628">
      <c r="A628" s="9" t="inlineStr">
        <is>
          <t>Продажи квартир</t>
        </is>
      </c>
      <c r="B628" s="9" t="inlineStr">
        <is>
          <t>Дома и коттеджи</t>
        </is>
      </c>
      <c r="C628" s="9" t="inlineStr">
        <is>
          <t>Костромская область</t>
        </is>
      </c>
      <c r="D628" s="10" t="n">
        <v>1025</v>
      </c>
    </row>
    <row r="629">
      <c r="A629" s="9" t="inlineStr">
        <is>
          <t>Продажи квартир</t>
        </is>
      </c>
      <c r="B629" s="9" t="inlineStr">
        <is>
          <t>Дома и коттеджи</t>
        </is>
      </c>
      <c r="C629" s="9" t="inlineStr">
        <is>
          <t>Краснодарский край</t>
        </is>
      </c>
      <c r="D629" s="10" t="n">
        <v>26727</v>
      </c>
    </row>
    <row r="630">
      <c r="A630" s="9" t="inlineStr">
        <is>
          <t>Продажи квартир</t>
        </is>
      </c>
      <c r="B630" s="9" t="inlineStr">
        <is>
          <t>Дома и коттеджи</t>
        </is>
      </c>
      <c r="C630" s="9" t="inlineStr">
        <is>
          <t>Красноярский край</t>
        </is>
      </c>
      <c r="D630" s="10" t="n">
        <v>2822</v>
      </c>
    </row>
    <row r="631">
      <c r="A631" s="9" t="inlineStr">
        <is>
          <t>Продажи квартир</t>
        </is>
      </c>
      <c r="B631" s="9" t="inlineStr">
        <is>
          <t>Дома и коттеджи</t>
        </is>
      </c>
      <c r="C631" s="9" t="inlineStr">
        <is>
          <t>Курганская область</t>
        </is>
      </c>
      <c r="D631" s="10" t="n">
        <v>883</v>
      </c>
    </row>
    <row r="632">
      <c r="A632" s="9" t="inlineStr">
        <is>
          <t>Продажи квартир</t>
        </is>
      </c>
      <c r="B632" s="9" t="inlineStr">
        <is>
          <t>Дома и коттеджи</t>
        </is>
      </c>
      <c r="C632" s="9" t="inlineStr">
        <is>
          <t>Курская область</t>
        </is>
      </c>
      <c r="D632" s="10" t="n">
        <v>2325</v>
      </c>
    </row>
    <row r="633">
      <c r="A633" s="9" t="inlineStr">
        <is>
          <t>Продажи квартир</t>
        </is>
      </c>
      <c r="B633" s="9" t="inlineStr">
        <is>
          <t>Дома и коттеджи</t>
        </is>
      </c>
      <c r="C633" s="9" t="inlineStr">
        <is>
          <t>Ленинградская область</t>
        </is>
      </c>
      <c r="D633" s="10" t="n">
        <v>11149</v>
      </c>
    </row>
    <row r="634">
      <c r="A634" s="9" t="inlineStr">
        <is>
          <t>Продажи квартир</t>
        </is>
      </c>
      <c r="B634" s="9" t="inlineStr">
        <is>
          <t>Дома и коттеджи</t>
        </is>
      </c>
      <c r="C634" s="9" t="inlineStr">
        <is>
          <t>Липецкая область</t>
        </is>
      </c>
      <c r="D634" s="10" t="n">
        <v>1658</v>
      </c>
    </row>
    <row r="635">
      <c r="A635" s="9" t="inlineStr">
        <is>
          <t>Продажи квартир</t>
        </is>
      </c>
      <c r="B635" s="9" t="inlineStr">
        <is>
          <t>Дома и коттеджи</t>
        </is>
      </c>
      <c r="C635" s="9" t="inlineStr">
        <is>
          <t>Магаданская область</t>
        </is>
      </c>
      <c r="D635" s="10" t="n">
        <v>41</v>
      </c>
    </row>
    <row r="636">
      <c r="A636" s="9" t="inlineStr">
        <is>
          <t>Продажи квартир</t>
        </is>
      </c>
      <c r="B636" s="9" t="inlineStr">
        <is>
          <t>Дома и коттеджи</t>
        </is>
      </c>
      <c r="C636" s="9" t="inlineStr">
        <is>
          <t>Республика Марий Эл</t>
        </is>
      </c>
      <c r="D636" s="10" t="n">
        <v>541</v>
      </c>
    </row>
    <row r="637">
      <c r="A637" s="9" t="inlineStr">
        <is>
          <t>Продажи квартир</t>
        </is>
      </c>
      <c r="B637" s="9" t="inlineStr">
        <is>
          <t>Дома и коттеджи</t>
        </is>
      </c>
      <c r="C637" s="9" t="inlineStr">
        <is>
          <t>Республика Мордовия</t>
        </is>
      </c>
      <c r="D637" s="10" t="n">
        <v>424</v>
      </c>
    </row>
    <row r="638">
      <c r="A638" s="9" t="inlineStr">
        <is>
          <t>Продажи квартир</t>
        </is>
      </c>
      <c r="B638" s="9" t="inlineStr">
        <is>
          <t>Дома и коттеджи</t>
        </is>
      </c>
      <c r="C638" s="9" t="inlineStr">
        <is>
          <t>Московская область</t>
        </is>
      </c>
      <c r="D638" s="10" t="n">
        <v>42227</v>
      </c>
    </row>
    <row r="639">
      <c r="A639" s="9" t="inlineStr">
        <is>
          <t>Продажи квартир</t>
        </is>
      </c>
      <c r="B639" s="9" t="inlineStr">
        <is>
          <t>Дома и коттеджи</t>
        </is>
      </c>
      <c r="C639" s="9" t="inlineStr">
        <is>
          <t>Мурманская область</t>
        </is>
      </c>
      <c r="D639" s="10" t="n">
        <v>102</v>
      </c>
    </row>
    <row r="640">
      <c r="A640" s="9" t="inlineStr">
        <is>
          <t>Продажи квартир</t>
        </is>
      </c>
      <c r="B640" s="9" t="inlineStr">
        <is>
          <t>Дома и коттеджи</t>
        </is>
      </c>
      <c r="C640" s="9" t="inlineStr">
        <is>
          <t>Ненецкий автономный округ</t>
        </is>
      </c>
      <c r="D640" s="10" t="n">
        <v>3</v>
      </c>
    </row>
    <row r="641">
      <c r="A641" s="9" t="inlineStr">
        <is>
          <t>Продажи квартир</t>
        </is>
      </c>
      <c r="B641" s="9" t="inlineStr">
        <is>
          <t>Дома и коттеджи</t>
        </is>
      </c>
      <c r="C641" s="9" t="inlineStr">
        <is>
          <t>Нижегородская область</t>
        </is>
      </c>
      <c r="D641" s="10" t="n">
        <v>4671</v>
      </c>
    </row>
    <row r="642">
      <c r="A642" s="9" t="inlineStr">
        <is>
          <t>Продажи квартир</t>
        </is>
      </c>
      <c r="B642" s="9" t="inlineStr">
        <is>
          <t>Дома и коттеджи</t>
        </is>
      </c>
      <c r="C642" s="9" t="inlineStr">
        <is>
          <t>Новгородская область</t>
        </is>
      </c>
      <c r="D642" s="10" t="n">
        <v>1318</v>
      </c>
    </row>
    <row r="643">
      <c r="A643" s="9" t="inlineStr">
        <is>
          <t>Продажи квартир</t>
        </is>
      </c>
      <c r="B643" s="9" t="inlineStr">
        <is>
          <t>Дома и коттеджи</t>
        </is>
      </c>
      <c r="C643" s="9" t="inlineStr">
        <is>
          <t>Новосибирская область</t>
        </is>
      </c>
      <c r="D643" s="10" t="n">
        <v>6441</v>
      </c>
    </row>
    <row r="644">
      <c r="A644" s="9" t="inlineStr">
        <is>
          <t>Продажи квартир</t>
        </is>
      </c>
      <c r="B644" s="9" t="inlineStr">
        <is>
          <t>Дома и коттеджи</t>
        </is>
      </c>
      <c r="C644" s="9" t="inlineStr">
        <is>
          <t>Омская область</t>
        </is>
      </c>
      <c r="D644" s="10" t="n">
        <v>4083</v>
      </c>
    </row>
    <row r="645">
      <c r="A645" s="9" t="inlineStr">
        <is>
          <t>Продажи квартир</t>
        </is>
      </c>
      <c r="B645" s="9" t="inlineStr">
        <is>
          <t>Дома и коттеджи</t>
        </is>
      </c>
      <c r="C645" s="9" t="inlineStr">
        <is>
          <t>Оренбургская область</t>
        </is>
      </c>
      <c r="D645" s="10" t="n">
        <v>3208</v>
      </c>
    </row>
    <row r="646">
      <c r="A646" s="9" t="inlineStr">
        <is>
          <t>Продажи квартир</t>
        </is>
      </c>
      <c r="B646" s="9" t="inlineStr">
        <is>
          <t>Дома и коттеджи</t>
        </is>
      </c>
      <c r="C646" s="9" t="inlineStr">
        <is>
          <t>Орловская область</t>
        </is>
      </c>
      <c r="D646" s="10" t="n">
        <v>897</v>
      </c>
    </row>
    <row r="647">
      <c r="A647" s="9" t="inlineStr">
        <is>
          <t>Продажи квартир</t>
        </is>
      </c>
      <c r="B647" s="9" t="inlineStr">
        <is>
          <t>Дома и коттеджи</t>
        </is>
      </c>
      <c r="C647" s="9" t="inlineStr">
        <is>
          <t>Пензенская область</t>
        </is>
      </c>
      <c r="D647" s="10" t="n">
        <v>1391</v>
      </c>
    </row>
    <row r="648">
      <c r="A648" s="9" t="inlineStr">
        <is>
          <t>Продажи квартир</t>
        </is>
      </c>
      <c r="B648" s="9" t="inlineStr">
        <is>
          <t>Дома и коттеджи</t>
        </is>
      </c>
      <c r="C648" s="9" t="inlineStr">
        <is>
          <t>Пермский край</t>
        </is>
      </c>
      <c r="D648" s="10" t="n">
        <v>3302</v>
      </c>
    </row>
    <row r="649">
      <c r="A649" s="9" t="inlineStr">
        <is>
          <t>Продажи квартир</t>
        </is>
      </c>
      <c r="B649" s="9" t="inlineStr">
        <is>
          <t>Дома и коттеджи</t>
        </is>
      </c>
      <c r="C649" s="9" t="inlineStr">
        <is>
          <t>Приморский край</t>
        </is>
      </c>
      <c r="D649" s="10" t="n">
        <v>591</v>
      </c>
    </row>
    <row r="650">
      <c r="A650" s="9" t="inlineStr">
        <is>
          <t>Продажи квартир</t>
        </is>
      </c>
      <c r="B650" s="9" t="inlineStr">
        <is>
          <t>Дома и коттеджи</t>
        </is>
      </c>
      <c r="C650" s="9" t="inlineStr">
        <is>
          <t>Псковская область</t>
        </is>
      </c>
      <c r="D650" s="10" t="n">
        <v>1121</v>
      </c>
    </row>
    <row r="651">
      <c r="A651" s="9" t="inlineStr">
        <is>
          <t>Продажи квартир</t>
        </is>
      </c>
      <c r="B651" s="9" t="inlineStr">
        <is>
          <t>Дома и коттеджи</t>
        </is>
      </c>
      <c r="C651" s="9" t="inlineStr">
        <is>
          <t>Ростовская область</t>
        </is>
      </c>
      <c r="D651" s="10" t="n">
        <v>10527</v>
      </c>
    </row>
    <row r="652">
      <c r="A652" s="9" t="inlineStr">
        <is>
          <t>Продажи квартир</t>
        </is>
      </c>
      <c r="B652" s="9" t="inlineStr">
        <is>
          <t>Дома и коттеджи</t>
        </is>
      </c>
      <c r="C652" s="9" t="inlineStr">
        <is>
          <t>Рязанская область</t>
        </is>
      </c>
      <c r="D652" s="10" t="n">
        <v>2240</v>
      </c>
    </row>
    <row r="653">
      <c r="A653" s="9" t="inlineStr">
        <is>
          <t>Продажи квартир</t>
        </is>
      </c>
      <c r="B653" s="9" t="inlineStr">
        <is>
          <t>Дома и коттеджи</t>
        </is>
      </c>
      <c r="C653" s="9" t="inlineStr">
        <is>
          <t>Самарская область</t>
        </is>
      </c>
      <c r="D653" s="10" t="n">
        <v>3524</v>
      </c>
    </row>
    <row r="654">
      <c r="A654" s="9" t="inlineStr">
        <is>
          <t>Продажи квартир</t>
        </is>
      </c>
      <c r="B654" s="9" t="inlineStr">
        <is>
          <t>Дома и коттеджи</t>
        </is>
      </c>
      <c r="C654" s="9" t="inlineStr">
        <is>
          <t>Саратовская область</t>
        </is>
      </c>
      <c r="D654" s="10" t="n">
        <v>4009</v>
      </c>
    </row>
    <row r="655">
      <c r="A655" s="9" t="inlineStr">
        <is>
          <t>Продажи квартир</t>
        </is>
      </c>
      <c r="B655" s="9" t="inlineStr">
        <is>
          <t>Дома и коттеджи</t>
        </is>
      </c>
      <c r="C655" s="9" t="inlineStr">
        <is>
          <t>Республика Саха (Якутия)</t>
        </is>
      </c>
      <c r="D655" s="10" t="n">
        <v>245</v>
      </c>
    </row>
    <row r="656">
      <c r="A656" s="9" t="inlineStr">
        <is>
          <t>Продажи квартир</t>
        </is>
      </c>
      <c r="B656" s="9" t="inlineStr">
        <is>
          <t>Дома и коттеджи</t>
        </is>
      </c>
      <c r="C656" s="9" t="inlineStr">
        <is>
          <t>Сахалинская область</t>
        </is>
      </c>
      <c r="D656" s="10" t="n">
        <v>359</v>
      </c>
    </row>
    <row r="657">
      <c r="A657" s="9" t="inlineStr">
        <is>
          <t>Продажи квартир</t>
        </is>
      </c>
      <c r="B657" s="9" t="inlineStr">
        <is>
          <t>Дома и коттеджи</t>
        </is>
      </c>
      <c r="C657" s="9" t="inlineStr">
        <is>
          <t>Свердловская область</t>
        </is>
      </c>
      <c r="D657" s="10" t="n">
        <v>6215</v>
      </c>
    </row>
    <row r="658">
      <c r="A658" s="9" t="inlineStr">
        <is>
          <t>Продажи квартир</t>
        </is>
      </c>
      <c r="B658" s="9" t="inlineStr">
        <is>
          <t>Дома и коттеджи</t>
        </is>
      </c>
      <c r="C658" s="9" t="inlineStr">
        <is>
          <t>Республика Северная Осетия - Алания</t>
        </is>
      </c>
      <c r="D658" s="10" t="n">
        <v>696</v>
      </c>
    </row>
    <row r="659">
      <c r="A659" s="9" t="inlineStr">
        <is>
          <t>Продажи квартир</t>
        </is>
      </c>
      <c r="B659" s="9" t="inlineStr">
        <is>
          <t>Дома и коттеджи</t>
        </is>
      </c>
      <c r="C659" s="9" t="inlineStr">
        <is>
          <t>Смоленская область</t>
        </is>
      </c>
      <c r="D659" s="10" t="n">
        <v>1379</v>
      </c>
    </row>
    <row r="660">
      <c r="A660" s="9" t="inlineStr">
        <is>
          <t>Продажи квартир</t>
        </is>
      </c>
      <c r="B660" s="9" t="inlineStr">
        <is>
          <t>Дома и коттеджи</t>
        </is>
      </c>
      <c r="C660" s="9" t="inlineStr">
        <is>
          <t>Ставропольский край</t>
        </is>
      </c>
      <c r="D660" s="10" t="n">
        <v>3782</v>
      </c>
    </row>
    <row r="661">
      <c r="A661" s="9" t="inlineStr">
        <is>
          <t>Продажи квартир</t>
        </is>
      </c>
      <c r="B661" s="9" t="inlineStr">
        <is>
          <t>Дома и коттеджи</t>
        </is>
      </c>
      <c r="C661" s="9" t="inlineStr">
        <is>
          <t>Тамбовская область</t>
        </is>
      </c>
      <c r="D661" s="10" t="n">
        <v>1065</v>
      </c>
    </row>
    <row r="662">
      <c r="A662" s="9" t="inlineStr">
        <is>
          <t>Продажи квартир</t>
        </is>
      </c>
      <c r="B662" s="9" t="inlineStr">
        <is>
          <t>Дома и коттеджи</t>
        </is>
      </c>
      <c r="C662" s="9" t="inlineStr">
        <is>
          <t>Республика Татарстан</t>
        </is>
      </c>
      <c r="D662" s="10" t="n">
        <v>5020</v>
      </c>
    </row>
    <row r="663">
      <c r="A663" s="9" t="inlineStr">
        <is>
          <t>Продажи квартир</t>
        </is>
      </c>
      <c r="B663" s="9" t="inlineStr">
        <is>
          <t>Дома и коттеджи</t>
        </is>
      </c>
      <c r="C663" s="9" t="inlineStr">
        <is>
          <t>Тверская область</t>
        </is>
      </c>
      <c r="D663" s="10" t="n">
        <v>3569</v>
      </c>
    </row>
    <row r="664">
      <c r="A664" s="9" t="inlineStr">
        <is>
          <t>Продажи квартир</t>
        </is>
      </c>
      <c r="B664" s="9" t="inlineStr">
        <is>
          <t>Дома и коттеджи</t>
        </is>
      </c>
      <c r="C664" s="9" t="inlineStr">
        <is>
          <t>Томская область</t>
        </is>
      </c>
      <c r="D664" s="10" t="n">
        <v>1946</v>
      </c>
    </row>
    <row r="665">
      <c r="A665" s="9" t="inlineStr">
        <is>
          <t>Продажи квартир</t>
        </is>
      </c>
      <c r="B665" s="9" t="inlineStr">
        <is>
          <t>Дома и коттеджи</t>
        </is>
      </c>
      <c r="C665" s="9" t="inlineStr">
        <is>
          <t>Тульская область</t>
        </is>
      </c>
      <c r="D665" s="10" t="n">
        <v>2818</v>
      </c>
    </row>
    <row r="666">
      <c r="A666" s="9" t="inlineStr">
        <is>
          <t>Продажи квартир</t>
        </is>
      </c>
      <c r="B666" s="9" t="inlineStr">
        <is>
          <t>Дома и коттеджи</t>
        </is>
      </c>
      <c r="C666" s="9" t="inlineStr">
        <is>
          <t>Республика Тыва</t>
        </is>
      </c>
      <c r="D666" s="10" t="n">
        <v>199</v>
      </c>
    </row>
    <row r="667">
      <c r="A667" s="9" t="inlineStr">
        <is>
          <t>Продажи квартир</t>
        </is>
      </c>
      <c r="B667" s="9" t="inlineStr">
        <is>
          <t>Дома и коттеджи</t>
        </is>
      </c>
      <c r="C667" s="9" t="inlineStr">
        <is>
          <t>Тюменская область</t>
        </is>
      </c>
      <c r="D667" s="10" t="n">
        <v>5074</v>
      </c>
    </row>
    <row r="668">
      <c r="A668" s="9" t="inlineStr">
        <is>
          <t>Продажи квартир</t>
        </is>
      </c>
      <c r="B668" s="9" t="inlineStr">
        <is>
          <t>Дома и коттеджи</t>
        </is>
      </c>
      <c r="C668" s="9" t="inlineStr">
        <is>
          <t>Удмуртская Республика</t>
        </is>
      </c>
      <c r="D668" s="10" t="n">
        <v>717</v>
      </c>
    </row>
    <row r="669">
      <c r="A669" s="9" t="inlineStr">
        <is>
          <t>Продажи квартир</t>
        </is>
      </c>
      <c r="B669" s="9" t="inlineStr">
        <is>
          <t>Дома и коттеджи</t>
        </is>
      </c>
      <c r="C669" s="9" t="inlineStr">
        <is>
          <t>Ульяновская область</t>
        </is>
      </c>
      <c r="D669" s="10" t="n">
        <v>858</v>
      </c>
    </row>
    <row r="670">
      <c r="A670" s="9" t="inlineStr">
        <is>
          <t>Продажи квартир</t>
        </is>
      </c>
      <c r="B670" s="9" t="inlineStr">
        <is>
          <t>Дома и коттеджи</t>
        </is>
      </c>
      <c r="C670" s="9" t="inlineStr">
        <is>
          <t>Хабаровский край</t>
        </is>
      </c>
      <c r="D670" s="10" t="n">
        <v>1116</v>
      </c>
    </row>
    <row r="671">
      <c r="A671" s="9" t="inlineStr">
        <is>
          <t>Продажи квартир</t>
        </is>
      </c>
      <c r="B671" s="9" t="inlineStr">
        <is>
          <t>Дома и коттеджи</t>
        </is>
      </c>
      <c r="C671" s="9" t="inlineStr">
        <is>
          <t>Республика Хакасия</t>
        </is>
      </c>
      <c r="D671" s="10" t="n">
        <v>987</v>
      </c>
    </row>
    <row r="672">
      <c r="A672" s="9" t="inlineStr">
        <is>
          <t>Продажи квартир</t>
        </is>
      </c>
      <c r="B672" s="9" t="inlineStr">
        <is>
          <t>Дома и коттеджи</t>
        </is>
      </c>
      <c r="C672" s="9" t="inlineStr">
        <is>
          <t>Ханты-Мансийский автономный округ</t>
        </is>
      </c>
      <c r="D672" s="10" t="n">
        <v>1324</v>
      </c>
    </row>
    <row r="673">
      <c r="A673" s="9" t="inlineStr">
        <is>
          <t>Продажи квартир</t>
        </is>
      </c>
      <c r="B673" s="9" t="inlineStr">
        <is>
          <t>Дома и коттеджи</t>
        </is>
      </c>
      <c r="C673" s="9" t="inlineStr">
        <is>
          <t>Челябинская область</t>
        </is>
      </c>
      <c r="D673" s="10" t="n">
        <v>3402</v>
      </c>
    </row>
    <row r="674">
      <c r="A674" s="9" t="inlineStr">
        <is>
          <t>Продажи квартир</t>
        </is>
      </c>
      <c r="B674" s="9" t="inlineStr">
        <is>
          <t>Дома и коттеджи</t>
        </is>
      </c>
      <c r="C674" s="9" t="inlineStr">
        <is>
          <t>Чеченская Республика</t>
        </is>
      </c>
      <c r="D674" s="10" t="n">
        <v>87</v>
      </c>
    </row>
    <row r="675">
      <c r="A675" s="9" t="inlineStr">
        <is>
          <t>Продажи квартир</t>
        </is>
      </c>
      <c r="B675" s="9" t="inlineStr">
        <is>
          <t>Дома и коттеджи</t>
        </is>
      </c>
      <c r="C675" s="9" t="inlineStr">
        <is>
          <t>Чувашская Республика</t>
        </is>
      </c>
      <c r="D675" s="10" t="n">
        <v>636</v>
      </c>
    </row>
    <row r="676">
      <c r="A676" s="9" t="inlineStr">
        <is>
          <t>Продажи квартир</t>
        </is>
      </c>
      <c r="B676" s="9" t="inlineStr">
        <is>
          <t>Дома и коттеджи</t>
        </is>
      </c>
      <c r="C676" s="9" t="inlineStr">
        <is>
          <t>Чукотский автономный округ</t>
        </is>
      </c>
      <c r="D676" s="10" t="n">
        <v>0</v>
      </c>
    </row>
    <row r="677">
      <c r="A677" s="9" t="inlineStr">
        <is>
          <t>Продажи квартир</t>
        </is>
      </c>
      <c r="B677" s="9" t="inlineStr">
        <is>
          <t>Дома и коттеджи</t>
        </is>
      </c>
      <c r="C677" s="9" t="inlineStr">
        <is>
          <t>Ямало-Ненецкий автономный округ</t>
        </is>
      </c>
      <c r="D677" s="10" t="n">
        <v>183</v>
      </c>
    </row>
    <row r="678">
      <c r="A678" s="9" t="inlineStr">
        <is>
          <t>Продажи квартир</t>
        </is>
      </c>
      <c r="B678" s="9" t="inlineStr">
        <is>
          <t>Дома и коттеджи</t>
        </is>
      </c>
      <c r="C678" s="9" t="inlineStr">
        <is>
          <t>Ярославская область</t>
        </is>
      </c>
      <c r="D678" s="10" t="n">
        <v>3220</v>
      </c>
    </row>
    <row r="679">
      <c r="A679" s="9" t="inlineStr">
        <is>
          <t>Продажи квартир</t>
        </is>
      </c>
      <c r="B679" s="9" t="inlineStr">
        <is>
          <t>Дома и коттеджи</t>
        </is>
      </c>
      <c r="C679" s="9" t="inlineStr">
        <is>
          <t>Республика Крым</t>
        </is>
      </c>
      <c r="D679" s="10" t="n">
        <v>8960</v>
      </c>
    </row>
    <row r="680">
      <c r="A680" s="9" t="inlineStr">
        <is>
          <t>Продажи квартир</t>
        </is>
      </c>
      <c r="B680" s="9" t="inlineStr">
        <is>
          <t>Дома и коттеджи</t>
        </is>
      </c>
      <c r="C680" s="9" t="inlineStr">
        <is>
          <t>Севастополь</t>
        </is>
      </c>
      <c r="D680" s="10" t="n">
        <v>3133</v>
      </c>
    </row>
    <row r="681">
      <c r="A681" s="9" t="inlineStr">
        <is>
          <t>Продажи квартир</t>
        </is>
      </c>
      <c r="B681" s="9" t="inlineStr">
        <is>
          <t>Дома и коттеджи</t>
        </is>
      </c>
      <c r="C681" s="9" t="inlineStr">
        <is>
          <t>Забайкальский край</t>
        </is>
      </c>
      <c r="D681" s="10" t="n">
        <v>1259</v>
      </c>
    </row>
    <row r="682">
      <c r="A682" s="11" t="inlineStr">
        <is>
          <t>Продажи квартир</t>
        </is>
      </c>
      <c r="B682" s="12" t="inlineStr">
        <is>
          <t>Участки</t>
        </is>
      </c>
      <c r="C682" s="13" t="inlineStr">
        <is>
          <t>Москва</t>
        </is>
      </c>
      <c r="D682" s="14" t="n">
        <v>1582</v>
      </c>
    </row>
    <row r="683">
      <c r="A683" s="9" t="inlineStr">
        <is>
          <t>Продажи квартир</t>
        </is>
      </c>
      <c r="B683" s="9" t="inlineStr">
        <is>
          <t>Участки</t>
        </is>
      </c>
      <c r="C683" s="9" t="inlineStr">
        <is>
          <t>Санкт-Петербург</t>
        </is>
      </c>
      <c r="D683" s="10" t="n">
        <v>767</v>
      </c>
    </row>
    <row r="684">
      <c r="A684" s="9" t="inlineStr">
        <is>
          <t>Продажи квартир</t>
        </is>
      </c>
      <c r="B684" s="9" t="inlineStr">
        <is>
          <t>Участки</t>
        </is>
      </c>
      <c r="C684" s="9" t="inlineStr">
        <is>
          <t>Республика Адыгея</t>
        </is>
      </c>
      <c r="D684" s="10" t="n">
        <v>1454</v>
      </c>
    </row>
    <row r="685">
      <c r="A685" s="9" t="inlineStr">
        <is>
          <t>Продажи квартир</t>
        </is>
      </c>
      <c r="B685" s="9" t="inlineStr">
        <is>
          <t>Участки</t>
        </is>
      </c>
      <c r="C685" s="9" t="inlineStr">
        <is>
          <t>Республика Алтай</t>
        </is>
      </c>
      <c r="D685" s="10" t="n">
        <v>1989</v>
      </c>
    </row>
    <row r="686">
      <c r="A686" s="9" t="inlineStr">
        <is>
          <t>Продажи квартир</t>
        </is>
      </c>
      <c r="B686" s="9" t="inlineStr">
        <is>
          <t>Участки</t>
        </is>
      </c>
      <c r="C686" s="9" t="inlineStr">
        <is>
          <t>Алтайский край</t>
        </is>
      </c>
      <c r="D686" s="10" t="n">
        <v>2023</v>
      </c>
    </row>
    <row r="687">
      <c r="A687" s="9" t="inlineStr">
        <is>
          <t>Продажи квартир</t>
        </is>
      </c>
      <c r="B687" s="9" t="inlineStr">
        <is>
          <t>Участки</t>
        </is>
      </c>
      <c r="C687" s="9" t="inlineStr">
        <is>
          <t>Амурская область</t>
        </is>
      </c>
      <c r="D687" s="10" t="n">
        <v>468</v>
      </c>
    </row>
    <row r="688">
      <c r="A688" s="9" t="inlineStr">
        <is>
          <t>Продажи квартир</t>
        </is>
      </c>
      <c r="B688" s="9" t="inlineStr">
        <is>
          <t>Участки</t>
        </is>
      </c>
      <c r="C688" s="9" t="inlineStr">
        <is>
          <t>Архангельская область</t>
        </is>
      </c>
      <c r="D688" s="10" t="n">
        <v>362</v>
      </c>
    </row>
    <row r="689">
      <c r="A689" s="9" t="inlineStr">
        <is>
          <t>Продажи квартир</t>
        </is>
      </c>
      <c r="B689" s="9" t="inlineStr">
        <is>
          <t>Участки</t>
        </is>
      </c>
      <c r="C689" s="9" t="inlineStr">
        <is>
          <t>Астраханская область</t>
        </is>
      </c>
      <c r="D689" s="10" t="n">
        <v>1281</v>
      </c>
    </row>
    <row r="690">
      <c r="A690" s="9" t="inlineStr">
        <is>
          <t>Продажи квартир</t>
        </is>
      </c>
      <c r="B690" s="9" t="inlineStr">
        <is>
          <t>Участки</t>
        </is>
      </c>
      <c r="C690" s="9" t="inlineStr">
        <is>
          <t>Республика Башкортостан</t>
        </is>
      </c>
      <c r="D690" s="10" t="n">
        <v>6248</v>
      </c>
    </row>
    <row r="691">
      <c r="A691" s="9" t="inlineStr">
        <is>
          <t>Продажи квартир</t>
        </is>
      </c>
      <c r="B691" s="9" t="inlineStr">
        <is>
          <t>Участки</t>
        </is>
      </c>
      <c r="C691" s="9" t="inlineStr">
        <is>
          <t>Белгородская область</t>
        </is>
      </c>
      <c r="D691" s="10" t="n">
        <v>2995</v>
      </c>
    </row>
    <row r="692">
      <c r="A692" s="9" t="inlineStr">
        <is>
          <t>Продажи квартир</t>
        </is>
      </c>
      <c r="B692" s="9" t="inlineStr">
        <is>
          <t>Участки</t>
        </is>
      </c>
      <c r="C692" s="9" t="inlineStr">
        <is>
          <t>Брянская область</t>
        </is>
      </c>
      <c r="D692" s="10" t="n">
        <v>2370</v>
      </c>
    </row>
    <row r="693">
      <c r="A693" s="9" t="inlineStr">
        <is>
          <t>Продажи квартир</t>
        </is>
      </c>
      <c r="B693" s="9" t="inlineStr">
        <is>
          <t>Участки</t>
        </is>
      </c>
      <c r="C693" s="9" t="inlineStr">
        <is>
          <t>Республика Бурятия</t>
        </is>
      </c>
      <c r="D693" s="10" t="n">
        <v>1206</v>
      </c>
    </row>
    <row r="694">
      <c r="A694" s="9" t="inlineStr">
        <is>
          <t>Продажи квартир</t>
        </is>
      </c>
      <c r="B694" s="9" t="inlineStr">
        <is>
          <t>Участки</t>
        </is>
      </c>
      <c r="C694" s="9" t="inlineStr">
        <is>
          <t>Владимирская область</t>
        </is>
      </c>
      <c r="D694" s="10" t="n">
        <v>4990</v>
      </c>
    </row>
    <row r="695">
      <c r="A695" s="9" t="inlineStr">
        <is>
          <t>Продажи квартир</t>
        </is>
      </c>
      <c r="B695" s="9" t="inlineStr">
        <is>
          <t>Участки</t>
        </is>
      </c>
      <c r="C695" s="9" t="inlineStr">
        <is>
          <t>Волгоградская область</t>
        </is>
      </c>
      <c r="D695" s="10" t="n">
        <v>2675</v>
      </c>
    </row>
    <row r="696">
      <c r="A696" s="9" t="inlineStr">
        <is>
          <t>Продажи квартир</t>
        </is>
      </c>
      <c r="B696" s="9" t="inlineStr">
        <is>
          <t>Участки</t>
        </is>
      </c>
      <c r="C696" s="9" t="inlineStr">
        <is>
          <t>Вологодская область</t>
        </is>
      </c>
      <c r="D696" s="10" t="n">
        <v>1217</v>
      </c>
    </row>
    <row r="697">
      <c r="A697" s="9" t="inlineStr">
        <is>
          <t>Продажи квартир</t>
        </is>
      </c>
      <c r="B697" s="9" t="inlineStr">
        <is>
          <t>Участки</t>
        </is>
      </c>
      <c r="C697" s="9" t="inlineStr">
        <is>
          <t>Воронежская область</t>
        </is>
      </c>
      <c r="D697" s="10" t="n">
        <v>2971</v>
      </c>
    </row>
    <row r="698">
      <c r="A698" s="9" t="inlineStr">
        <is>
          <t>Продажи квартир</t>
        </is>
      </c>
      <c r="B698" s="9" t="inlineStr">
        <is>
          <t>Участки</t>
        </is>
      </c>
      <c r="C698" s="9" t="inlineStr">
        <is>
          <t>Республика Дагестан</t>
        </is>
      </c>
      <c r="D698" s="10" t="n">
        <v>837</v>
      </c>
    </row>
    <row r="699">
      <c r="A699" s="9" t="inlineStr">
        <is>
          <t>Продажи квартир</t>
        </is>
      </c>
      <c r="B699" s="9" t="inlineStr">
        <is>
          <t>Участки</t>
        </is>
      </c>
      <c r="C699" s="9" t="inlineStr">
        <is>
          <t>Еврейская автономная область</t>
        </is>
      </c>
      <c r="D699" s="10" t="n">
        <v>136</v>
      </c>
    </row>
    <row r="700">
      <c r="A700" s="9" t="inlineStr">
        <is>
          <t>Продажи квартир</t>
        </is>
      </c>
      <c r="B700" s="9" t="inlineStr">
        <is>
          <t>Участки</t>
        </is>
      </c>
      <c r="C700" s="9" t="inlineStr">
        <is>
          <t>Ивановская область</t>
        </is>
      </c>
      <c r="D700" s="10" t="n">
        <v>1108</v>
      </c>
    </row>
    <row r="701">
      <c r="A701" s="9" t="inlineStr">
        <is>
          <t>Продажи квартир</t>
        </is>
      </c>
      <c r="B701" s="9" t="inlineStr">
        <is>
          <t>Участки</t>
        </is>
      </c>
      <c r="C701" s="9" t="inlineStr">
        <is>
          <t>Республика Ингушетия</t>
        </is>
      </c>
      <c r="D701" s="10" t="n">
        <v>36</v>
      </c>
    </row>
    <row r="702">
      <c r="A702" s="9" t="inlineStr">
        <is>
          <t>Продажи квартир</t>
        </is>
      </c>
      <c r="B702" s="9" t="inlineStr">
        <is>
          <t>Участки</t>
        </is>
      </c>
      <c r="C702" s="9" t="inlineStr">
        <is>
          <t>Иркутская область</t>
        </is>
      </c>
      <c r="D702" s="10" t="n">
        <v>1771</v>
      </c>
    </row>
    <row r="703">
      <c r="A703" s="9" t="inlineStr">
        <is>
          <t>Продажи квартир</t>
        </is>
      </c>
      <c r="B703" s="9" t="inlineStr">
        <is>
          <t>Участки</t>
        </is>
      </c>
      <c r="C703" s="9" t="inlineStr">
        <is>
          <t>Кабардино-Балкарская Республика</t>
        </is>
      </c>
      <c r="D703" s="10" t="n">
        <v>423</v>
      </c>
    </row>
    <row r="704">
      <c r="A704" s="9" t="inlineStr">
        <is>
          <t>Продажи квартир</t>
        </is>
      </c>
      <c r="B704" s="9" t="inlineStr">
        <is>
          <t>Участки</t>
        </is>
      </c>
      <c r="C704" s="9" t="inlineStr">
        <is>
          <t>Калининградская область</t>
        </is>
      </c>
      <c r="D704" s="10" t="n">
        <v>2856</v>
      </c>
    </row>
    <row r="705">
      <c r="A705" s="9" t="inlineStr">
        <is>
          <t>Продажи квартир</t>
        </is>
      </c>
      <c r="B705" s="9" t="inlineStr">
        <is>
          <t>Участки</t>
        </is>
      </c>
      <c r="C705" s="9" t="inlineStr">
        <is>
          <t>Республика Калмыкия</t>
        </is>
      </c>
      <c r="D705" s="10" t="n">
        <v>106</v>
      </c>
    </row>
    <row r="706">
      <c r="A706" s="9" t="inlineStr">
        <is>
          <t>Продажи квартир</t>
        </is>
      </c>
      <c r="B706" s="9" t="inlineStr">
        <is>
          <t>Участки</t>
        </is>
      </c>
      <c r="C706" s="9" t="inlineStr">
        <is>
          <t>Калужская область</t>
        </is>
      </c>
      <c r="D706" s="10" t="n">
        <v>5515</v>
      </c>
    </row>
    <row r="707">
      <c r="A707" s="9" t="inlineStr">
        <is>
          <t>Продажи квартир</t>
        </is>
      </c>
      <c r="B707" s="9" t="inlineStr">
        <is>
          <t>Участки</t>
        </is>
      </c>
      <c r="C707" s="9" t="inlineStr">
        <is>
          <t>Камчатский край</t>
        </is>
      </c>
      <c r="D707" s="10" t="n">
        <v>95</v>
      </c>
    </row>
    <row r="708">
      <c r="A708" s="9" t="inlineStr">
        <is>
          <t>Продажи квартир</t>
        </is>
      </c>
      <c r="B708" s="9" t="inlineStr">
        <is>
          <t>Участки</t>
        </is>
      </c>
      <c r="C708" s="9" t="inlineStr">
        <is>
          <t>Карачаево-Черкесская Республика</t>
        </is>
      </c>
      <c r="D708" s="10" t="n">
        <v>359</v>
      </c>
    </row>
    <row r="709">
      <c r="A709" s="9" t="inlineStr">
        <is>
          <t>Продажи квартир</t>
        </is>
      </c>
      <c r="B709" s="9" t="inlineStr">
        <is>
          <t>Участки</t>
        </is>
      </c>
      <c r="C709" s="9" t="inlineStr">
        <is>
          <t>Республика Карелия</t>
        </is>
      </c>
      <c r="D709" s="10" t="n">
        <v>773</v>
      </c>
    </row>
    <row r="710">
      <c r="A710" s="9" t="inlineStr">
        <is>
          <t>Продажи квартир</t>
        </is>
      </c>
      <c r="B710" s="9" t="inlineStr">
        <is>
          <t>Участки</t>
        </is>
      </c>
      <c r="C710" s="9" t="inlineStr">
        <is>
          <t>Кемеровская область</t>
        </is>
      </c>
      <c r="D710" s="10" t="n">
        <v>1675</v>
      </c>
    </row>
    <row r="711">
      <c r="A711" s="9" t="inlineStr">
        <is>
          <t>Продажи квартир</t>
        </is>
      </c>
      <c r="B711" s="9" t="inlineStr">
        <is>
          <t>Участки</t>
        </is>
      </c>
      <c r="C711" s="9" t="inlineStr">
        <is>
          <t>Кировская область</t>
        </is>
      </c>
      <c r="D711" s="10" t="n">
        <v>805</v>
      </c>
    </row>
    <row r="712">
      <c r="A712" s="9" t="inlineStr">
        <is>
          <t>Продажи квартир</t>
        </is>
      </c>
      <c r="B712" s="9" t="inlineStr">
        <is>
          <t>Участки</t>
        </is>
      </c>
      <c r="C712" s="9" t="inlineStr">
        <is>
          <t>Республика Коми</t>
        </is>
      </c>
      <c r="D712" s="10" t="n">
        <v>401</v>
      </c>
    </row>
    <row r="713">
      <c r="A713" s="9" t="inlineStr">
        <is>
          <t>Продажи квартир</t>
        </is>
      </c>
      <c r="B713" s="9" t="inlineStr">
        <is>
          <t>Участки</t>
        </is>
      </c>
      <c r="C713" s="9" t="inlineStr">
        <is>
          <t>Костромская область</t>
        </is>
      </c>
      <c r="D713" s="10" t="n">
        <v>1061</v>
      </c>
    </row>
    <row r="714">
      <c r="A714" s="9" t="inlineStr">
        <is>
          <t>Продажи квартир</t>
        </is>
      </c>
      <c r="B714" s="9" t="inlineStr">
        <is>
          <t>Участки</t>
        </is>
      </c>
      <c r="C714" s="9" t="inlineStr">
        <is>
          <t>Краснодарский край</t>
        </is>
      </c>
      <c r="D714" s="10" t="n">
        <v>18123</v>
      </c>
    </row>
    <row r="715">
      <c r="A715" s="9" t="inlineStr">
        <is>
          <t>Продажи квартир</t>
        </is>
      </c>
      <c r="B715" s="9" t="inlineStr">
        <is>
          <t>Участки</t>
        </is>
      </c>
      <c r="C715" s="9" t="inlineStr">
        <is>
          <t>Красноярский край</t>
        </is>
      </c>
      <c r="D715" s="10" t="n">
        <v>2962</v>
      </c>
    </row>
    <row r="716">
      <c r="A716" s="9" t="inlineStr">
        <is>
          <t>Продажи квартир</t>
        </is>
      </c>
      <c r="B716" s="9" t="inlineStr">
        <is>
          <t>Участки</t>
        </is>
      </c>
      <c r="C716" s="9" t="inlineStr">
        <is>
          <t>Курганская область</t>
        </is>
      </c>
      <c r="D716" s="10" t="n">
        <v>621</v>
      </c>
    </row>
    <row r="717">
      <c r="A717" s="9" t="inlineStr">
        <is>
          <t>Продажи квартир</t>
        </is>
      </c>
      <c r="B717" s="9" t="inlineStr">
        <is>
          <t>Участки</t>
        </is>
      </c>
      <c r="C717" s="9" t="inlineStr">
        <is>
          <t>Курская область</t>
        </is>
      </c>
      <c r="D717" s="10" t="n">
        <v>1858</v>
      </c>
    </row>
    <row r="718">
      <c r="A718" s="9" t="inlineStr">
        <is>
          <t>Продажи квартир</t>
        </is>
      </c>
      <c r="B718" s="9" t="inlineStr">
        <is>
          <t>Участки</t>
        </is>
      </c>
      <c r="C718" s="9" t="inlineStr">
        <is>
          <t>Ленинградская область</t>
        </is>
      </c>
      <c r="D718" s="10" t="n">
        <v>11964</v>
      </c>
    </row>
    <row r="719">
      <c r="A719" s="9" t="inlineStr">
        <is>
          <t>Продажи квартир</t>
        </is>
      </c>
      <c r="B719" s="9" t="inlineStr">
        <is>
          <t>Участки</t>
        </is>
      </c>
      <c r="C719" s="9" t="inlineStr">
        <is>
          <t>Липецкая область</t>
        </is>
      </c>
      <c r="D719" s="10" t="n">
        <v>1541</v>
      </c>
    </row>
    <row r="720">
      <c r="A720" s="9" t="inlineStr">
        <is>
          <t>Продажи квартир</t>
        </is>
      </c>
      <c r="B720" s="9" t="inlineStr">
        <is>
          <t>Участки</t>
        </is>
      </c>
      <c r="C720" s="9" t="inlineStr">
        <is>
          <t>Магаданская область</t>
        </is>
      </c>
      <c r="D720" s="10" t="n">
        <v>36</v>
      </c>
    </row>
    <row r="721">
      <c r="A721" s="9" t="inlineStr">
        <is>
          <t>Продажи квартир</t>
        </is>
      </c>
      <c r="B721" s="9" t="inlineStr">
        <is>
          <t>Участки</t>
        </is>
      </c>
      <c r="C721" s="9" t="inlineStr">
        <is>
          <t>Республика Марий Эл</t>
        </is>
      </c>
      <c r="D721" s="10" t="n">
        <v>694</v>
      </c>
    </row>
    <row r="722">
      <c r="A722" s="9" t="inlineStr">
        <is>
          <t>Продажи квартир</t>
        </is>
      </c>
      <c r="B722" s="9" t="inlineStr">
        <is>
          <t>Участки</t>
        </is>
      </c>
      <c r="C722" s="9" t="inlineStr">
        <is>
          <t>Республика Мордовия</t>
        </is>
      </c>
      <c r="D722" s="10" t="n">
        <v>487</v>
      </c>
    </row>
    <row r="723">
      <c r="A723" s="9" t="inlineStr">
        <is>
          <t>Продажи квартир</t>
        </is>
      </c>
      <c r="B723" s="9" t="inlineStr">
        <is>
          <t>Участки</t>
        </is>
      </c>
      <c r="C723" s="9" t="inlineStr">
        <is>
          <t>Московская область</t>
        </is>
      </c>
      <c r="D723" s="10" t="n">
        <v>44360</v>
      </c>
    </row>
    <row r="724">
      <c r="A724" s="9" t="inlineStr">
        <is>
          <t>Продажи квартир</t>
        </is>
      </c>
      <c r="B724" s="9" t="inlineStr">
        <is>
          <t>Участки</t>
        </is>
      </c>
      <c r="C724" s="9" t="inlineStr">
        <is>
          <t>Мурманская область</t>
        </is>
      </c>
      <c r="D724" s="10" t="n">
        <v>117</v>
      </c>
    </row>
    <row r="725">
      <c r="A725" s="9" t="inlineStr">
        <is>
          <t>Продажи квартир</t>
        </is>
      </c>
      <c r="B725" s="9" t="inlineStr">
        <is>
          <t>Участки</t>
        </is>
      </c>
      <c r="C725" s="9" t="inlineStr">
        <is>
          <t>Ненецкий автономный округ</t>
        </is>
      </c>
      <c r="D725" s="10" t="n">
        <v>3</v>
      </c>
    </row>
    <row r="726">
      <c r="A726" s="9" t="inlineStr">
        <is>
          <t>Продажи квартир</t>
        </is>
      </c>
      <c r="B726" s="9" t="inlineStr">
        <is>
          <t>Участки</t>
        </is>
      </c>
      <c r="C726" s="9" t="inlineStr">
        <is>
          <t>Нижегородская область</t>
        </is>
      </c>
      <c r="D726" s="10" t="n">
        <v>3956</v>
      </c>
    </row>
    <row r="727">
      <c r="A727" s="9" t="inlineStr">
        <is>
          <t>Продажи квартир</t>
        </is>
      </c>
      <c r="B727" s="9" t="inlineStr">
        <is>
          <t>Участки</t>
        </is>
      </c>
      <c r="C727" s="9" t="inlineStr">
        <is>
          <t>Новгородская область</t>
        </is>
      </c>
      <c r="D727" s="10" t="n">
        <v>2391</v>
      </c>
    </row>
    <row r="728">
      <c r="A728" s="9" t="inlineStr">
        <is>
          <t>Продажи квартир</t>
        </is>
      </c>
      <c r="B728" s="9" t="inlineStr">
        <is>
          <t>Участки</t>
        </is>
      </c>
      <c r="C728" s="9" t="inlineStr">
        <is>
          <t>Новосибирская область</t>
        </is>
      </c>
      <c r="D728" s="10" t="n">
        <v>3755</v>
      </c>
    </row>
    <row r="729">
      <c r="A729" s="9" t="inlineStr">
        <is>
          <t>Продажи квартир</t>
        </is>
      </c>
      <c r="B729" s="9" t="inlineStr">
        <is>
          <t>Участки</t>
        </is>
      </c>
      <c r="C729" s="9" t="inlineStr">
        <is>
          <t>Омская область</t>
        </is>
      </c>
      <c r="D729" s="10" t="n">
        <v>1593</v>
      </c>
    </row>
    <row r="730">
      <c r="A730" s="9" t="inlineStr">
        <is>
          <t>Продажи квартир</t>
        </is>
      </c>
      <c r="B730" s="9" t="inlineStr">
        <is>
          <t>Участки</t>
        </is>
      </c>
      <c r="C730" s="9" t="inlineStr">
        <is>
          <t>Оренбургская область</t>
        </is>
      </c>
      <c r="D730" s="10" t="n">
        <v>1507</v>
      </c>
    </row>
    <row r="731">
      <c r="A731" s="9" t="inlineStr">
        <is>
          <t>Продажи квартир</t>
        </is>
      </c>
      <c r="B731" s="9" t="inlineStr">
        <is>
          <t>Участки</t>
        </is>
      </c>
      <c r="C731" s="9" t="inlineStr">
        <is>
          <t>Орловская область</t>
        </is>
      </c>
      <c r="D731" s="10" t="n">
        <v>791</v>
      </c>
    </row>
    <row r="732">
      <c r="A732" s="9" t="inlineStr">
        <is>
          <t>Продажи квартир</t>
        </is>
      </c>
      <c r="B732" s="9" t="inlineStr">
        <is>
          <t>Участки</t>
        </is>
      </c>
      <c r="C732" s="9" t="inlineStr">
        <is>
          <t>Пензенская область</t>
        </is>
      </c>
      <c r="D732" s="10" t="n">
        <v>917</v>
      </c>
    </row>
    <row r="733">
      <c r="A733" s="9" t="inlineStr">
        <is>
          <t>Продажи квартир</t>
        </is>
      </c>
      <c r="B733" s="9" t="inlineStr">
        <is>
          <t>Участки</t>
        </is>
      </c>
      <c r="C733" s="9" t="inlineStr">
        <is>
          <t>Пермский край</t>
        </is>
      </c>
      <c r="D733" s="10" t="n">
        <v>2769</v>
      </c>
    </row>
    <row r="734">
      <c r="A734" s="9" t="inlineStr">
        <is>
          <t>Продажи квартир</t>
        </is>
      </c>
      <c r="B734" s="9" t="inlineStr">
        <is>
          <t>Участки</t>
        </is>
      </c>
      <c r="C734" s="9" t="inlineStr">
        <is>
          <t>Приморский край</t>
        </is>
      </c>
      <c r="D734" s="10" t="n">
        <v>662</v>
      </c>
    </row>
    <row r="735">
      <c r="A735" s="9" t="inlineStr">
        <is>
          <t>Продажи квартир</t>
        </is>
      </c>
      <c r="B735" s="9" t="inlineStr">
        <is>
          <t>Участки</t>
        </is>
      </c>
      <c r="C735" s="9" t="inlineStr">
        <is>
          <t>Псковская область</t>
        </is>
      </c>
      <c r="D735" s="10" t="n">
        <v>1598</v>
      </c>
    </row>
    <row r="736">
      <c r="A736" s="9" t="inlineStr">
        <is>
          <t>Продажи квартир</t>
        </is>
      </c>
      <c r="B736" s="9" t="inlineStr">
        <is>
          <t>Участки</t>
        </is>
      </c>
      <c r="C736" s="9" t="inlineStr">
        <is>
          <t>Ростовская область</t>
        </is>
      </c>
      <c r="D736" s="10" t="n">
        <v>7289</v>
      </c>
    </row>
    <row r="737">
      <c r="A737" s="9" t="inlineStr">
        <is>
          <t>Продажи квартир</t>
        </is>
      </c>
      <c r="B737" s="9" t="inlineStr">
        <is>
          <t>Участки</t>
        </is>
      </c>
      <c r="C737" s="9" t="inlineStr">
        <is>
          <t>Рязанская область</t>
        </is>
      </c>
      <c r="D737" s="10" t="n">
        <v>2048</v>
      </c>
    </row>
    <row r="738">
      <c r="A738" s="9" t="inlineStr">
        <is>
          <t>Продажи квартир</t>
        </is>
      </c>
      <c r="B738" s="9" t="inlineStr">
        <is>
          <t>Участки</t>
        </is>
      </c>
      <c r="C738" s="9" t="inlineStr">
        <is>
          <t>Самарская область</t>
        </is>
      </c>
      <c r="D738" s="10" t="n">
        <v>3317</v>
      </c>
    </row>
    <row r="739">
      <c r="A739" s="9" t="inlineStr">
        <is>
          <t>Продажи квартир</t>
        </is>
      </c>
      <c r="B739" s="9" t="inlineStr">
        <is>
          <t>Участки</t>
        </is>
      </c>
      <c r="C739" s="9" t="inlineStr">
        <is>
          <t>Саратовская область</t>
        </is>
      </c>
      <c r="D739" s="10" t="n">
        <v>2324</v>
      </c>
    </row>
    <row r="740">
      <c r="A740" s="9" t="inlineStr">
        <is>
          <t>Продажи квартир</t>
        </is>
      </c>
      <c r="B740" s="9" t="inlineStr">
        <is>
          <t>Участки</t>
        </is>
      </c>
      <c r="C740" s="9" t="inlineStr">
        <is>
          <t>Республика Саха (Якутия)</t>
        </is>
      </c>
      <c r="D740" s="10" t="n">
        <v>286</v>
      </c>
    </row>
    <row r="741">
      <c r="A741" s="9" t="inlineStr">
        <is>
          <t>Продажи квартир</t>
        </is>
      </c>
      <c r="B741" s="9" t="inlineStr">
        <is>
          <t>Участки</t>
        </is>
      </c>
      <c r="C741" s="9" t="inlineStr">
        <is>
          <t>Сахалинская область</t>
        </is>
      </c>
      <c r="D741" s="10" t="n">
        <v>724</v>
      </c>
    </row>
    <row r="742">
      <c r="A742" s="9" t="inlineStr">
        <is>
          <t>Продажи квартир</t>
        </is>
      </c>
      <c r="B742" s="9" t="inlineStr">
        <is>
          <t>Участки</t>
        </is>
      </c>
      <c r="C742" s="9" t="inlineStr">
        <is>
          <t>Свердловская область</t>
        </is>
      </c>
      <c r="D742" s="10" t="n">
        <v>5133</v>
      </c>
    </row>
    <row r="743">
      <c r="A743" s="9" t="inlineStr">
        <is>
          <t>Продажи квартир</t>
        </is>
      </c>
      <c r="B743" s="9" t="inlineStr">
        <is>
          <t>Участки</t>
        </is>
      </c>
      <c r="C743" s="9" t="inlineStr">
        <is>
          <t>Республика Северная Осетия - Алания</t>
        </is>
      </c>
      <c r="D743" s="10" t="n">
        <v>783</v>
      </c>
    </row>
    <row r="744">
      <c r="A744" s="9" t="inlineStr">
        <is>
          <t>Продажи квартир</t>
        </is>
      </c>
      <c r="B744" s="9" t="inlineStr">
        <is>
          <t>Участки</t>
        </is>
      </c>
      <c r="C744" s="9" t="inlineStr">
        <is>
          <t>Смоленская область</t>
        </is>
      </c>
      <c r="D744" s="10" t="n">
        <v>2189</v>
      </c>
    </row>
    <row r="745">
      <c r="A745" s="9" t="inlineStr">
        <is>
          <t>Продажи квартир</t>
        </is>
      </c>
      <c r="B745" s="9" t="inlineStr">
        <is>
          <t>Участки</t>
        </is>
      </c>
      <c r="C745" s="9" t="inlineStr">
        <is>
          <t>Ставропольский край</t>
        </is>
      </c>
      <c r="D745" s="10" t="n">
        <v>1999</v>
      </c>
    </row>
    <row r="746">
      <c r="A746" s="9" t="inlineStr">
        <is>
          <t>Продажи квартир</t>
        </is>
      </c>
      <c r="B746" s="9" t="inlineStr">
        <is>
          <t>Участки</t>
        </is>
      </c>
      <c r="C746" s="9" t="inlineStr">
        <is>
          <t>Тамбовская область</t>
        </is>
      </c>
      <c r="D746" s="10" t="n">
        <v>850</v>
      </c>
    </row>
    <row r="747">
      <c r="A747" s="9" t="inlineStr">
        <is>
          <t>Продажи квартир</t>
        </is>
      </c>
      <c r="B747" s="9" t="inlineStr">
        <is>
          <t>Участки</t>
        </is>
      </c>
      <c r="C747" s="9" t="inlineStr">
        <is>
          <t>Республика Татарстан</t>
        </is>
      </c>
      <c r="D747" s="10" t="n">
        <v>4570</v>
      </c>
    </row>
    <row r="748">
      <c r="A748" s="9" t="inlineStr">
        <is>
          <t>Продажи квартир</t>
        </is>
      </c>
      <c r="B748" s="9" t="inlineStr">
        <is>
          <t>Участки</t>
        </is>
      </c>
      <c r="C748" s="9" t="inlineStr">
        <is>
          <t>Тверская область</t>
        </is>
      </c>
      <c r="D748" s="10" t="n">
        <v>6344</v>
      </c>
    </row>
    <row r="749">
      <c r="A749" s="9" t="inlineStr">
        <is>
          <t>Продажи квартир</t>
        </is>
      </c>
      <c r="B749" s="9" t="inlineStr">
        <is>
          <t>Участки</t>
        </is>
      </c>
      <c r="C749" s="9" t="inlineStr">
        <is>
          <t>Томская область</t>
        </is>
      </c>
      <c r="D749" s="10" t="n">
        <v>1560</v>
      </c>
    </row>
    <row r="750">
      <c r="A750" s="9" t="inlineStr">
        <is>
          <t>Продажи квартир</t>
        </is>
      </c>
      <c r="B750" s="9" t="inlineStr">
        <is>
          <t>Участки</t>
        </is>
      </c>
      <c r="C750" s="9" t="inlineStr">
        <is>
          <t>Тульская область</t>
        </is>
      </c>
      <c r="D750" s="10" t="n">
        <v>4307</v>
      </c>
    </row>
    <row r="751">
      <c r="A751" s="9" t="inlineStr">
        <is>
          <t>Продажи квартир</t>
        </is>
      </c>
      <c r="B751" s="9" t="inlineStr">
        <is>
          <t>Участки</t>
        </is>
      </c>
      <c r="C751" s="9" t="inlineStr">
        <is>
          <t>Республика Тыва</t>
        </is>
      </c>
      <c r="D751" s="10" t="n">
        <v>98</v>
      </c>
    </row>
    <row r="752">
      <c r="A752" s="9" t="inlineStr">
        <is>
          <t>Продажи квартир</t>
        </is>
      </c>
      <c r="B752" s="9" t="inlineStr">
        <is>
          <t>Участки</t>
        </is>
      </c>
      <c r="C752" s="9" t="inlineStr">
        <is>
          <t>Тюменская область</t>
        </is>
      </c>
      <c r="D752" s="10" t="n">
        <v>4457</v>
      </c>
    </row>
    <row r="753">
      <c r="A753" s="9" t="inlineStr">
        <is>
          <t>Продажи квартир</t>
        </is>
      </c>
      <c r="B753" s="9" t="inlineStr">
        <is>
          <t>Участки</t>
        </is>
      </c>
      <c r="C753" s="9" t="inlineStr">
        <is>
          <t>Удмуртская Республика</t>
        </is>
      </c>
      <c r="D753" s="10" t="n">
        <v>850</v>
      </c>
    </row>
    <row r="754">
      <c r="A754" s="9" t="inlineStr">
        <is>
          <t>Продажи квартир</t>
        </is>
      </c>
      <c r="B754" s="9" t="inlineStr">
        <is>
          <t>Участки</t>
        </is>
      </c>
      <c r="C754" s="9" t="inlineStr">
        <is>
          <t>Ульяновская область</t>
        </is>
      </c>
      <c r="D754" s="10" t="n">
        <v>772</v>
      </c>
    </row>
    <row r="755">
      <c r="A755" s="9" t="inlineStr">
        <is>
          <t>Продажи квартир</t>
        </is>
      </c>
      <c r="B755" s="9" t="inlineStr">
        <is>
          <t>Участки</t>
        </is>
      </c>
      <c r="C755" s="9" t="inlineStr">
        <is>
          <t>Хабаровский край</t>
        </is>
      </c>
      <c r="D755" s="10" t="n">
        <v>1102</v>
      </c>
    </row>
    <row r="756">
      <c r="A756" s="9" t="inlineStr">
        <is>
          <t>Продажи квартир</t>
        </is>
      </c>
      <c r="B756" s="9" t="inlineStr">
        <is>
          <t>Участки</t>
        </is>
      </c>
      <c r="C756" s="9" t="inlineStr">
        <is>
          <t>Республика Хакасия</t>
        </is>
      </c>
      <c r="D756" s="10" t="n">
        <v>595</v>
      </c>
    </row>
    <row r="757">
      <c r="A757" s="9" t="inlineStr">
        <is>
          <t>Продажи квартир</t>
        </is>
      </c>
      <c r="B757" s="9" t="inlineStr">
        <is>
          <t>Участки</t>
        </is>
      </c>
      <c r="C757" s="9" t="inlineStr">
        <is>
          <t>Ханты-Мансийский автономный округ</t>
        </is>
      </c>
      <c r="D757" s="10" t="n">
        <v>939</v>
      </c>
    </row>
    <row r="758">
      <c r="A758" s="9" t="inlineStr">
        <is>
          <t>Продажи квартир</t>
        </is>
      </c>
      <c r="B758" s="9" t="inlineStr">
        <is>
          <t>Участки</t>
        </is>
      </c>
      <c r="C758" s="9" t="inlineStr">
        <is>
          <t>Челябинская область</t>
        </is>
      </c>
      <c r="D758" s="10" t="n">
        <v>2672</v>
      </c>
    </row>
    <row r="759">
      <c r="A759" s="9" t="inlineStr">
        <is>
          <t>Продажи квартир</t>
        </is>
      </c>
      <c r="B759" s="9" t="inlineStr">
        <is>
          <t>Участки</t>
        </is>
      </c>
      <c r="C759" s="9" t="inlineStr">
        <is>
          <t>Чеченская Республика</t>
        </is>
      </c>
      <c r="D759" s="10" t="n">
        <v>231</v>
      </c>
    </row>
    <row r="760">
      <c r="A760" s="9" t="inlineStr">
        <is>
          <t>Продажи квартир</t>
        </is>
      </c>
      <c r="B760" s="9" t="inlineStr">
        <is>
          <t>Участки</t>
        </is>
      </c>
      <c r="C760" s="9" t="inlineStr">
        <is>
          <t>Чувашская Республика</t>
        </is>
      </c>
      <c r="D760" s="10" t="n">
        <v>888</v>
      </c>
    </row>
    <row r="761">
      <c r="A761" s="9" t="inlineStr">
        <is>
          <t>Продажи квартир</t>
        </is>
      </c>
      <c r="B761" s="9" t="inlineStr">
        <is>
          <t>Участки</t>
        </is>
      </c>
      <c r="C761" s="9" t="inlineStr">
        <is>
          <t>Чукотский автономный округ</t>
        </is>
      </c>
      <c r="D761" s="10" t="n">
        <v>0</v>
      </c>
    </row>
    <row r="762">
      <c r="A762" s="9" t="inlineStr">
        <is>
          <t>Продажи квартир</t>
        </is>
      </c>
      <c r="B762" s="9" t="inlineStr">
        <is>
          <t>Участки</t>
        </is>
      </c>
      <c r="C762" s="9" t="inlineStr">
        <is>
          <t>Ямало-Ненецкий автономный округ</t>
        </is>
      </c>
      <c r="D762" s="10" t="n">
        <v>123</v>
      </c>
    </row>
    <row r="763">
      <c r="A763" s="9" t="inlineStr">
        <is>
          <t>Продажи квартир</t>
        </is>
      </c>
      <c r="B763" s="9" t="inlineStr">
        <is>
          <t>Участки</t>
        </is>
      </c>
      <c r="C763" s="9" t="inlineStr">
        <is>
          <t>Ярославская область</t>
        </is>
      </c>
      <c r="D763" s="10" t="n">
        <v>4159</v>
      </c>
    </row>
    <row r="764">
      <c r="A764" s="9" t="inlineStr">
        <is>
          <t>Продажи квартир</t>
        </is>
      </c>
      <c r="B764" s="9" t="inlineStr">
        <is>
          <t>Участки</t>
        </is>
      </c>
      <c r="C764" s="9" t="inlineStr">
        <is>
          <t>Республика Крым</t>
        </is>
      </c>
      <c r="D764" s="10" t="n">
        <v>13567</v>
      </c>
    </row>
    <row r="765">
      <c r="A765" s="9" t="inlineStr">
        <is>
          <t>Продажи квартир</t>
        </is>
      </c>
      <c r="B765" s="9" t="inlineStr">
        <is>
          <t>Участки</t>
        </is>
      </c>
      <c r="C765" s="9" t="inlineStr">
        <is>
          <t>Севастополь</t>
        </is>
      </c>
      <c r="D765" s="10" t="n">
        <v>3053</v>
      </c>
    </row>
    <row r="766">
      <c r="A766" s="9" t="inlineStr">
        <is>
          <t>Продажи квартир</t>
        </is>
      </c>
      <c r="B766" s="9" t="inlineStr">
        <is>
          <t>Участки</t>
        </is>
      </c>
      <c r="C766" s="9" t="inlineStr">
        <is>
          <t>Забайкальский край</t>
        </is>
      </c>
      <c r="D766" s="10" t="n">
        <v>689</v>
      </c>
    </row>
    <row r="767">
      <c r="A767" s="11" t="inlineStr">
        <is>
          <t>Дома и участки</t>
        </is>
      </c>
      <c r="B767" s="12" t="inlineStr">
        <is>
          <t>Продажа таунхаусов</t>
        </is>
      </c>
      <c r="C767" s="13" t="inlineStr">
        <is>
          <t>Москва</t>
        </is>
      </c>
      <c r="D767" s="14" t="n">
        <v>393</v>
      </c>
    </row>
    <row r="768">
      <c r="A768" s="9" t="inlineStr">
        <is>
          <t>Дома и участки</t>
        </is>
      </c>
      <c r="B768" s="9" t="inlineStr">
        <is>
          <t>Продажа таунхаусов</t>
        </is>
      </c>
      <c r="C768" s="9" t="inlineStr">
        <is>
          <t>Санкт-Петербург</t>
        </is>
      </c>
      <c r="D768" s="10" t="n">
        <v>146</v>
      </c>
    </row>
    <row r="769">
      <c r="A769" s="9" t="inlineStr">
        <is>
          <t>Дома и участки</t>
        </is>
      </c>
      <c r="B769" s="9" t="inlineStr">
        <is>
          <t>Продажа таунхаусов</t>
        </is>
      </c>
      <c r="C769" s="9" t="inlineStr">
        <is>
          <t>Республика Адыгея</t>
        </is>
      </c>
      <c r="D769" s="10" t="n">
        <v>45</v>
      </c>
    </row>
    <row r="770">
      <c r="A770" s="9" t="inlineStr">
        <is>
          <t>Дома и участки</t>
        </is>
      </c>
      <c r="B770" s="9" t="inlineStr">
        <is>
          <t>Продажа таунхаусов</t>
        </is>
      </c>
      <c r="C770" s="9" t="inlineStr">
        <is>
          <t>Республика Алтай</t>
        </is>
      </c>
      <c r="D770" s="10" t="n">
        <v>7</v>
      </c>
    </row>
    <row r="771">
      <c r="A771" s="9" t="inlineStr">
        <is>
          <t>Дома и участки</t>
        </is>
      </c>
      <c r="B771" s="9" t="inlineStr">
        <is>
          <t>Продажа таунхаусов</t>
        </is>
      </c>
      <c r="C771" s="9" t="inlineStr">
        <is>
          <t>Алтайский край</t>
        </is>
      </c>
      <c r="D771" s="10" t="n">
        <v>21</v>
      </c>
    </row>
    <row r="772">
      <c r="A772" s="9" t="inlineStr">
        <is>
          <t>Дома и участки</t>
        </is>
      </c>
      <c r="B772" s="9" t="inlineStr">
        <is>
          <t>Продажа таунхаусов</t>
        </is>
      </c>
      <c r="C772" s="9" t="inlineStr">
        <is>
          <t>Амурская область</t>
        </is>
      </c>
      <c r="D772" s="10" t="n">
        <v>3</v>
      </c>
    </row>
    <row r="773">
      <c r="A773" s="9" t="inlineStr">
        <is>
          <t>Дома и участки</t>
        </is>
      </c>
      <c r="B773" s="9" t="inlineStr">
        <is>
          <t>Продажа таунхаусов</t>
        </is>
      </c>
      <c r="C773" s="9" t="inlineStr">
        <is>
          <t>Архангельская область</t>
        </is>
      </c>
      <c r="D773" s="10" t="n">
        <v>5</v>
      </c>
    </row>
    <row r="774">
      <c r="A774" s="9" t="inlineStr">
        <is>
          <t>Дома и участки</t>
        </is>
      </c>
      <c r="B774" s="9" t="inlineStr">
        <is>
          <t>Продажа таунхаусов</t>
        </is>
      </c>
      <c r="C774" s="9" t="inlineStr">
        <is>
          <t>Астраханская область</t>
        </is>
      </c>
      <c r="D774" s="10" t="n">
        <v>6</v>
      </c>
    </row>
    <row r="775">
      <c r="A775" s="9" t="inlineStr">
        <is>
          <t>Дома и участки</t>
        </is>
      </c>
      <c r="B775" s="9" t="inlineStr">
        <is>
          <t>Продажа таунхаусов</t>
        </is>
      </c>
      <c r="C775" s="9" t="inlineStr">
        <is>
          <t>Республика Башкортостан</t>
        </is>
      </c>
      <c r="D775" s="10" t="n">
        <v>307</v>
      </c>
    </row>
    <row r="776">
      <c r="A776" s="9" t="inlineStr">
        <is>
          <t>Дома и участки</t>
        </is>
      </c>
      <c r="B776" s="9" t="inlineStr">
        <is>
          <t>Продажа таунхаусов</t>
        </is>
      </c>
      <c r="C776" s="9" t="inlineStr">
        <is>
          <t>Белгородская область</t>
        </is>
      </c>
      <c r="D776" s="10" t="n">
        <v>129</v>
      </c>
    </row>
    <row r="777">
      <c r="A777" s="9" t="inlineStr">
        <is>
          <t>Дома и участки</t>
        </is>
      </c>
      <c r="B777" s="9" t="inlineStr">
        <is>
          <t>Продажа таунхаусов</t>
        </is>
      </c>
      <c r="C777" s="9" t="inlineStr">
        <is>
          <t>Брянская область</t>
        </is>
      </c>
      <c r="D777" s="10" t="n">
        <v>33</v>
      </c>
    </row>
    <row r="778">
      <c r="A778" s="9" t="inlineStr">
        <is>
          <t>Дома и участки</t>
        </is>
      </c>
      <c r="B778" s="9" t="inlineStr">
        <is>
          <t>Продажа таунхаусов</t>
        </is>
      </c>
      <c r="C778" s="9" t="inlineStr">
        <is>
          <t>Республика Бурятия</t>
        </is>
      </c>
      <c r="D778" s="10" t="n">
        <v>14</v>
      </c>
    </row>
    <row r="779">
      <c r="A779" s="9" t="inlineStr">
        <is>
          <t>Дома и участки</t>
        </is>
      </c>
      <c r="B779" s="9" t="inlineStr">
        <is>
          <t>Продажа таунхаусов</t>
        </is>
      </c>
      <c r="C779" s="9" t="inlineStr">
        <is>
          <t>Владимирская область</t>
        </is>
      </c>
      <c r="D779" s="10" t="n">
        <v>81</v>
      </c>
    </row>
    <row r="780">
      <c r="A780" s="9" t="inlineStr">
        <is>
          <t>Дома и участки</t>
        </is>
      </c>
      <c r="B780" s="9" t="inlineStr">
        <is>
          <t>Продажа таунхаусов</t>
        </is>
      </c>
      <c r="C780" s="9" t="inlineStr">
        <is>
          <t>Волгоградская область</t>
        </is>
      </c>
      <c r="D780" s="10" t="n">
        <v>14</v>
      </c>
    </row>
    <row r="781">
      <c r="A781" s="9" t="inlineStr">
        <is>
          <t>Дома и участки</t>
        </is>
      </c>
      <c r="B781" s="9" t="inlineStr">
        <is>
          <t>Продажа таунхаусов</t>
        </is>
      </c>
      <c r="C781" s="9" t="inlineStr">
        <is>
          <t>Вологодская область</t>
        </is>
      </c>
      <c r="D781" s="10" t="n">
        <v>4</v>
      </c>
    </row>
    <row r="782">
      <c r="A782" s="9" t="inlineStr">
        <is>
          <t>Дома и участки</t>
        </is>
      </c>
      <c r="B782" s="9" t="inlineStr">
        <is>
          <t>Продажа таунхаусов</t>
        </is>
      </c>
      <c r="C782" s="9" t="inlineStr">
        <is>
          <t>Воронежская область</t>
        </is>
      </c>
      <c r="D782" s="10" t="n">
        <v>82</v>
      </c>
    </row>
    <row r="783">
      <c r="A783" s="9" t="inlineStr">
        <is>
          <t>Дома и участки</t>
        </is>
      </c>
      <c r="B783" s="9" t="inlineStr">
        <is>
          <t>Продажа таунхаусов</t>
        </is>
      </c>
      <c r="C783" s="9" t="inlineStr">
        <is>
          <t>Республика Дагестан</t>
        </is>
      </c>
      <c r="D783" s="10" t="n">
        <v>9</v>
      </c>
    </row>
    <row r="784">
      <c r="A784" s="9" t="inlineStr">
        <is>
          <t>Дома и участки</t>
        </is>
      </c>
      <c r="B784" s="9" t="inlineStr">
        <is>
          <t>Продажа таунхаусов</t>
        </is>
      </c>
      <c r="C784" s="9" t="inlineStr">
        <is>
          <t>Еврейская автономная область</t>
        </is>
      </c>
      <c r="D784" s="10" t="n">
        <v>1</v>
      </c>
    </row>
    <row r="785">
      <c r="A785" s="9" t="inlineStr">
        <is>
          <t>Дома и участки</t>
        </is>
      </c>
      <c r="B785" s="9" t="inlineStr">
        <is>
          <t>Продажа таунхаусов</t>
        </is>
      </c>
      <c r="C785" s="9" t="inlineStr">
        <is>
          <t>Ивановская область</t>
        </is>
      </c>
      <c r="D785" s="10" t="n">
        <v>15</v>
      </c>
    </row>
    <row r="786">
      <c r="A786" s="9" t="inlineStr">
        <is>
          <t>Дома и участки</t>
        </is>
      </c>
      <c r="B786" s="9" t="inlineStr">
        <is>
          <t>Продажа таунхаусов</t>
        </is>
      </c>
      <c r="C786" s="9" t="inlineStr">
        <is>
          <t>Республика Ингушетия</t>
        </is>
      </c>
      <c r="D786" s="10" t="n">
        <v>0</v>
      </c>
    </row>
    <row r="787">
      <c r="A787" s="9" t="inlineStr">
        <is>
          <t>Дома и участки</t>
        </is>
      </c>
      <c r="B787" s="9" t="inlineStr">
        <is>
          <t>Продажа таунхаусов</t>
        </is>
      </c>
      <c r="C787" s="9" t="inlineStr">
        <is>
          <t>Иркутская область</t>
        </is>
      </c>
      <c r="D787" s="10" t="n">
        <v>58</v>
      </c>
    </row>
    <row r="788">
      <c r="A788" s="9" t="inlineStr">
        <is>
          <t>Дома и участки</t>
        </is>
      </c>
      <c r="B788" s="9" t="inlineStr">
        <is>
          <t>Продажа таунхаусов</t>
        </is>
      </c>
      <c r="C788" s="9" t="inlineStr">
        <is>
          <t>Кабардино-Балкарская Республика</t>
        </is>
      </c>
      <c r="D788" s="10" t="n">
        <v>13</v>
      </c>
    </row>
    <row r="789">
      <c r="A789" s="9" t="inlineStr">
        <is>
          <t>Дома и участки</t>
        </is>
      </c>
      <c r="B789" s="9" t="inlineStr">
        <is>
          <t>Продажа таунхаусов</t>
        </is>
      </c>
      <c r="C789" s="9" t="inlineStr">
        <is>
          <t>Калининградская область</t>
        </is>
      </c>
      <c r="D789" s="10" t="n">
        <v>334</v>
      </c>
    </row>
    <row r="790">
      <c r="A790" s="9" t="inlineStr">
        <is>
          <t>Дома и участки</t>
        </is>
      </c>
      <c r="B790" s="9" t="inlineStr">
        <is>
          <t>Продажа таунхаусов</t>
        </is>
      </c>
      <c r="C790" s="9" t="inlineStr">
        <is>
          <t>Республика Калмыкия</t>
        </is>
      </c>
      <c r="D790" s="10" t="n">
        <v>16</v>
      </c>
    </row>
    <row r="791">
      <c r="A791" s="9" t="inlineStr">
        <is>
          <t>Дома и участки</t>
        </is>
      </c>
      <c r="B791" s="9" t="inlineStr">
        <is>
          <t>Продажа таунхаусов</t>
        </is>
      </c>
      <c r="C791" s="9" t="inlineStr">
        <is>
          <t>Калужская область</t>
        </is>
      </c>
      <c r="D791" s="10" t="n">
        <v>66</v>
      </c>
    </row>
    <row r="792">
      <c r="A792" s="9" t="inlineStr">
        <is>
          <t>Дома и участки</t>
        </is>
      </c>
      <c r="B792" s="9" t="inlineStr">
        <is>
          <t>Продажа таунхаусов</t>
        </is>
      </c>
      <c r="C792" s="9" t="inlineStr">
        <is>
          <t>Камчатский край</t>
        </is>
      </c>
      <c r="D792" s="10" t="n">
        <v>0</v>
      </c>
    </row>
    <row r="793">
      <c r="A793" s="9" t="inlineStr">
        <is>
          <t>Дома и участки</t>
        </is>
      </c>
      <c r="B793" s="9" t="inlineStr">
        <is>
          <t>Продажа таунхаусов</t>
        </is>
      </c>
      <c r="C793" s="9" t="inlineStr">
        <is>
          <t>Карачаево-Черкесская Республика</t>
        </is>
      </c>
      <c r="D793" s="10" t="n">
        <v>2</v>
      </c>
    </row>
    <row r="794">
      <c r="A794" s="9" t="inlineStr">
        <is>
          <t>Дома и участки</t>
        </is>
      </c>
      <c r="B794" s="9" t="inlineStr">
        <is>
          <t>Продажа таунхаусов</t>
        </is>
      </c>
      <c r="C794" s="9" t="inlineStr">
        <is>
          <t>Республика Карелия</t>
        </is>
      </c>
      <c r="D794" s="10" t="n">
        <v>11</v>
      </c>
    </row>
    <row r="795">
      <c r="A795" s="9" t="inlineStr">
        <is>
          <t>Дома и участки</t>
        </is>
      </c>
      <c r="B795" s="9" t="inlineStr">
        <is>
          <t>Продажа таунхаусов</t>
        </is>
      </c>
      <c r="C795" s="9" t="inlineStr">
        <is>
          <t>Кемеровская область</t>
        </is>
      </c>
      <c r="D795" s="10" t="n">
        <v>41</v>
      </c>
    </row>
    <row r="796">
      <c r="A796" s="9" t="inlineStr">
        <is>
          <t>Дома и участки</t>
        </is>
      </c>
      <c r="B796" s="9" t="inlineStr">
        <is>
          <t>Продажа таунхаусов</t>
        </is>
      </c>
      <c r="C796" s="9" t="inlineStr">
        <is>
          <t>Кировская область</t>
        </is>
      </c>
      <c r="D796" s="10" t="n">
        <v>6</v>
      </c>
    </row>
    <row r="797">
      <c r="A797" s="9" t="inlineStr">
        <is>
          <t>Дома и участки</t>
        </is>
      </c>
      <c r="B797" s="9" t="inlineStr">
        <is>
          <t>Продажа таунхаусов</t>
        </is>
      </c>
      <c r="C797" s="9" t="inlineStr">
        <is>
          <t>Республика Коми</t>
        </is>
      </c>
      <c r="D797" s="10" t="n">
        <v>15</v>
      </c>
    </row>
    <row r="798">
      <c r="A798" s="9" t="inlineStr">
        <is>
          <t>Дома и участки</t>
        </is>
      </c>
      <c r="B798" s="9" t="inlineStr">
        <is>
          <t>Продажа таунхаусов</t>
        </is>
      </c>
      <c r="C798" s="9" t="inlineStr">
        <is>
          <t>Костромская область</t>
        </is>
      </c>
      <c r="D798" s="10" t="n">
        <v>41</v>
      </c>
    </row>
    <row r="799">
      <c r="A799" s="9" t="inlineStr">
        <is>
          <t>Дома и участки</t>
        </is>
      </c>
      <c r="B799" s="9" t="inlineStr">
        <is>
          <t>Продажа таунхаусов</t>
        </is>
      </c>
      <c r="C799" s="9" t="inlineStr">
        <is>
          <t>Краснодарский край</t>
        </is>
      </c>
      <c r="D799" s="10" t="n">
        <v>851</v>
      </c>
    </row>
    <row r="800">
      <c r="A800" s="9" t="inlineStr">
        <is>
          <t>Дома и участки</t>
        </is>
      </c>
      <c r="B800" s="9" t="inlineStr">
        <is>
          <t>Продажа таунхаусов</t>
        </is>
      </c>
      <c r="C800" s="9" t="inlineStr">
        <is>
          <t>Красноярский край</t>
        </is>
      </c>
      <c r="D800" s="10" t="n">
        <v>35</v>
      </c>
    </row>
    <row r="801">
      <c r="A801" s="9" t="inlineStr">
        <is>
          <t>Дома и участки</t>
        </is>
      </c>
      <c r="B801" s="9" t="inlineStr">
        <is>
          <t>Продажа таунхаусов</t>
        </is>
      </c>
      <c r="C801" s="9" t="inlineStr">
        <is>
          <t>Курганская область</t>
        </is>
      </c>
      <c r="D801" s="10" t="n">
        <v>2</v>
      </c>
    </row>
    <row r="802">
      <c r="A802" s="9" t="inlineStr">
        <is>
          <t>Дома и участки</t>
        </is>
      </c>
      <c r="B802" s="9" t="inlineStr">
        <is>
          <t>Продажа таунхаусов</t>
        </is>
      </c>
      <c r="C802" s="9" t="inlineStr">
        <is>
          <t>Курская область</t>
        </is>
      </c>
      <c r="D802" s="10" t="n">
        <v>14</v>
      </c>
    </row>
    <row r="803">
      <c r="A803" s="9" t="inlineStr">
        <is>
          <t>Дома и участки</t>
        </is>
      </c>
      <c r="B803" s="9" t="inlineStr">
        <is>
          <t>Продажа таунхаусов</t>
        </is>
      </c>
      <c r="C803" s="9" t="inlineStr">
        <is>
          <t>Ленинградская область</t>
        </is>
      </c>
      <c r="D803" s="10" t="n">
        <v>650</v>
      </c>
    </row>
    <row r="804">
      <c r="A804" s="9" t="inlineStr">
        <is>
          <t>Дома и участки</t>
        </is>
      </c>
      <c r="B804" s="9" t="inlineStr">
        <is>
          <t>Продажа таунхаусов</t>
        </is>
      </c>
      <c r="C804" s="9" t="inlineStr">
        <is>
          <t>Липецкая область</t>
        </is>
      </c>
      <c r="D804" s="10" t="n">
        <v>43</v>
      </c>
    </row>
    <row r="805">
      <c r="A805" s="9" t="inlineStr">
        <is>
          <t>Дома и участки</t>
        </is>
      </c>
      <c r="B805" s="9" t="inlineStr">
        <is>
          <t>Продажа таунхаусов</t>
        </is>
      </c>
      <c r="C805" s="9" t="inlineStr">
        <is>
          <t>Магаданская область</t>
        </is>
      </c>
      <c r="D805" s="10" t="n">
        <v>0</v>
      </c>
    </row>
    <row r="806">
      <c r="A806" s="9" t="inlineStr">
        <is>
          <t>Дома и участки</t>
        </is>
      </c>
      <c r="B806" s="9" t="inlineStr">
        <is>
          <t>Продажа таунхаусов</t>
        </is>
      </c>
      <c r="C806" s="9" t="inlineStr">
        <is>
          <t>Республика Марий Эл</t>
        </is>
      </c>
      <c r="D806" s="10" t="n">
        <v>4</v>
      </c>
    </row>
    <row r="807">
      <c r="A807" s="9" t="inlineStr">
        <is>
          <t>Дома и участки</t>
        </is>
      </c>
      <c r="B807" s="9" t="inlineStr">
        <is>
          <t>Продажа таунхаусов</t>
        </is>
      </c>
      <c r="C807" s="9" t="inlineStr">
        <is>
          <t>Республика Мордовия</t>
        </is>
      </c>
      <c r="D807" s="10" t="n">
        <v>5</v>
      </c>
    </row>
    <row r="808">
      <c r="A808" s="9" t="inlineStr">
        <is>
          <t>Дома и участки</t>
        </is>
      </c>
      <c r="B808" s="9" t="inlineStr">
        <is>
          <t>Продажа таунхаусов</t>
        </is>
      </c>
      <c r="C808" s="9" t="inlineStr">
        <is>
          <t>Московская область</t>
        </is>
      </c>
      <c r="D808" s="10" t="n">
        <v>1771</v>
      </c>
    </row>
    <row r="809">
      <c r="A809" s="9" t="inlineStr">
        <is>
          <t>Дома и участки</t>
        </is>
      </c>
      <c r="B809" s="9" t="inlineStr">
        <is>
          <t>Продажа таунхаусов</t>
        </is>
      </c>
      <c r="C809" s="9" t="inlineStr">
        <is>
          <t>Мурманская область</t>
        </is>
      </c>
      <c r="D809" s="10" t="n">
        <v>0</v>
      </c>
    </row>
    <row r="810">
      <c r="A810" s="9" t="inlineStr">
        <is>
          <t>Дома и участки</t>
        </is>
      </c>
      <c r="B810" s="9" t="inlineStr">
        <is>
          <t>Продажа таунхаусов</t>
        </is>
      </c>
      <c r="C810" s="9" t="inlineStr">
        <is>
          <t>Ненецкий автономный округ</t>
        </is>
      </c>
      <c r="D810" s="10" t="n">
        <v>0</v>
      </c>
    </row>
    <row r="811">
      <c r="A811" s="9" t="inlineStr">
        <is>
          <t>Дома и участки</t>
        </is>
      </c>
      <c r="B811" s="9" t="inlineStr">
        <is>
          <t>Продажа таунхаусов</t>
        </is>
      </c>
      <c r="C811" s="9" t="inlineStr">
        <is>
          <t>Нижегородская область</t>
        </is>
      </c>
      <c r="D811" s="10" t="n">
        <v>177</v>
      </c>
    </row>
    <row r="812">
      <c r="A812" s="9" t="inlineStr">
        <is>
          <t>Дома и участки</t>
        </is>
      </c>
      <c r="B812" s="9" t="inlineStr">
        <is>
          <t>Продажа таунхаусов</t>
        </is>
      </c>
      <c r="C812" s="9" t="inlineStr">
        <is>
          <t>Новгородская область</t>
        </is>
      </c>
      <c r="D812" s="10" t="n">
        <v>6</v>
      </c>
    </row>
    <row r="813">
      <c r="A813" s="9" t="inlineStr">
        <is>
          <t>Дома и участки</t>
        </is>
      </c>
      <c r="B813" s="9" t="inlineStr">
        <is>
          <t>Продажа таунхаусов</t>
        </is>
      </c>
      <c r="C813" s="9" t="inlineStr">
        <is>
          <t>Новосибирская область</t>
        </is>
      </c>
      <c r="D813" s="10" t="n">
        <v>256</v>
      </c>
    </row>
    <row r="814">
      <c r="A814" s="9" t="inlineStr">
        <is>
          <t>Дома и участки</t>
        </is>
      </c>
      <c r="B814" s="9" t="inlineStr">
        <is>
          <t>Продажа таунхаусов</t>
        </is>
      </c>
      <c r="C814" s="9" t="inlineStr">
        <is>
          <t>Омская область</t>
        </is>
      </c>
      <c r="D814" s="10" t="n">
        <v>27</v>
      </c>
    </row>
    <row r="815">
      <c r="A815" s="9" t="inlineStr">
        <is>
          <t>Дома и участки</t>
        </is>
      </c>
      <c r="B815" s="9" t="inlineStr">
        <is>
          <t>Продажа таунхаусов</t>
        </is>
      </c>
      <c r="C815" s="9" t="inlineStr">
        <is>
          <t>Оренбургская область</t>
        </is>
      </c>
      <c r="D815" s="10" t="n">
        <v>149</v>
      </c>
    </row>
    <row r="816">
      <c r="A816" s="9" t="inlineStr">
        <is>
          <t>Дома и участки</t>
        </is>
      </c>
      <c r="B816" s="9" t="inlineStr">
        <is>
          <t>Продажа таунхаусов</t>
        </is>
      </c>
      <c r="C816" s="9" t="inlineStr">
        <is>
          <t>Орловская область</t>
        </is>
      </c>
      <c r="D816" s="10" t="n">
        <v>7</v>
      </c>
    </row>
    <row r="817">
      <c r="A817" s="9" t="inlineStr">
        <is>
          <t>Дома и участки</t>
        </is>
      </c>
      <c r="B817" s="9" t="inlineStr">
        <is>
          <t>Продажа таунхаусов</t>
        </is>
      </c>
      <c r="C817" s="9" t="inlineStr">
        <is>
          <t>Пензенская область</t>
        </is>
      </c>
      <c r="D817" s="10" t="n">
        <v>19</v>
      </c>
    </row>
    <row r="818">
      <c r="A818" s="9" t="inlineStr">
        <is>
          <t>Дома и участки</t>
        </is>
      </c>
      <c r="B818" s="9" t="inlineStr">
        <is>
          <t>Продажа таунхаусов</t>
        </is>
      </c>
      <c r="C818" s="9" t="inlineStr">
        <is>
          <t>Пермский край</t>
        </is>
      </c>
      <c r="D818" s="10" t="n">
        <v>36</v>
      </c>
    </row>
    <row r="819">
      <c r="A819" s="9" t="inlineStr">
        <is>
          <t>Дома и участки</t>
        </is>
      </c>
      <c r="B819" s="9" t="inlineStr">
        <is>
          <t>Продажа таунхаусов</t>
        </is>
      </c>
      <c r="C819" s="9" t="inlineStr">
        <is>
          <t>Приморский край</t>
        </is>
      </c>
      <c r="D819" s="10" t="n">
        <v>8</v>
      </c>
    </row>
    <row r="820">
      <c r="A820" s="9" t="inlineStr">
        <is>
          <t>Дома и участки</t>
        </is>
      </c>
      <c r="B820" s="9" t="inlineStr">
        <is>
          <t>Продажа таунхаусов</t>
        </is>
      </c>
      <c r="C820" s="9" t="inlineStr">
        <is>
          <t>Псковская область</t>
        </is>
      </c>
      <c r="D820" s="10" t="n">
        <v>3</v>
      </c>
    </row>
    <row r="821">
      <c r="A821" s="9" t="inlineStr">
        <is>
          <t>Дома и участки</t>
        </is>
      </c>
      <c r="B821" s="9" t="inlineStr">
        <is>
          <t>Продажа таунхаусов</t>
        </is>
      </c>
      <c r="C821" s="9" t="inlineStr">
        <is>
          <t>Ростовская область</t>
        </is>
      </c>
      <c r="D821" s="10" t="n">
        <v>116</v>
      </c>
    </row>
    <row r="822">
      <c r="A822" s="9" t="inlineStr">
        <is>
          <t>Дома и участки</t>
        </is>
      </c>
      <c r="B822" s="9" t="inlineStr">
        <is>
          <t>Продажа таунхаусов</t>
        </is>
      </c>
      <c r="C822" s="9" t="inlineStr">
        <is>
          <t>Рязанская область</t>
        </is>
      </c>
      <c r="D822" s="10" t="n">
        <v>25</v>
      </c>
    </row>
    <row r="823">
      <c r="A823" s="9" t="inlineStr">
        <is>
          <t>Дома и участки</t>
        </is>
      </c>
      <c r="B823" s="9" t="inlineStr">
        <is>
          <t>Продажа таунхаусов</t>
        </is>
      </c>
      <c r="C823" s="9" t="inlineStr">
        <is>
          <t>Самарская область</t>
        </is>
      </c>
      <c r="D823" s="10" t="n">
        <v>100</v>
      </c>
    </row>
    <row r="824">
      <c r="A824" s="9" t="inlineStr">
        <is>
          <t>Дома и участки</t>
        </is>
      </c>
      <c r="B824" s="9" t="inlineStr">
        <is>
          <t>Продажа таунхаусов</t>
        </is>
      </c>
      <c r="C824" s="9" t="inlineStr">
        <is>
          <t>Саратовская область</t>
        </is>
      </c>
      <c r="D824" s="10" t="n">
        <v>26</v>
      </c>
    </row>
    <row r="825">
      <c r="A825" s="9" t="inlineStr">
        <is>
          <t>Дома и участки</t>
        </is>
      </c>
      <c r="B825" s="9" t="inlineStr">
        <is>
          <t>Продажа таунхаусов</t>
        </is>
      </c>
      <c r="C825" s="9" t="inlineStr">
        <is>
          <t>Республика Саха (Якутия)</t>
        </is>
      </c>
      <c r="D825" s="10" t="n">
        <v>4</v>
      </c>
    </row>
    <row r="826">
      <c r="A826" s="9" t="inlineStr">
        <is>
          <t>Дома и участки</t>
        </is>
      </c>
      <c r="B826" s="9" t="inlineStr">
        <is>
          <t>Продажа таунхаусов</t>
        </is>
      </c>
      <c r="C826" s="9" t="inlineStr">
        <is>
          <t>Сахалинская область</t>
        </is>
      </c>
      <c r="D826" s="10" t="n">
        <v>3</v>
      </c>
    </row>
    <row r="827">
      <c r="A827" s="9" t="inlineStr">
        <is>
          <t>Дома и участки</t>
        </is>
      </c>
      <c r="B827" s="9" t="inlineStr">
        <is>
          <t>Продажа таунхаусов</t>
        </is>
      </c>
      <c r="C827" s="9" t="inlineStr">
        <is>
          <t>Свердловская область</t>
        </is>
      </c>
      <c r="D827" s="10" t="n">
        <v>73</v>
      </c>
    </row>
    <row r="828">
      <c r="A828" s="9" t="inlineStr">
        <is>
          <t>Дома и участки</t>
        </is>
      </c>
      <c r="B828" s="9" t="inlineStr">
        <is>
          <t>Продажа таунхаусов</t>
        </is>
      </c>
      <c r="C828" s="9" t="inlineStr">
        <is>
          <t>Республика Северная Осетия - Алания</t>
        </is>
      </c>
      <c r="D828" s="10" t="n">
        <v>4</v>
      </c>
    </row>
    <row r="829">
      <c r="A829" s="9" t="inlineStr">
        <is>
          <t>Дома и участки</t>
        </is>
      </c>
      <c r="B829" s="9" t="inlineStr">
        <is>
          <t>Продажа таунхаусов</t>
        </is>
      </c>
      <c r="C829" s="9" t="inlineStr">
        <is>
          <t>Смоленская область</t>
        </is>
      </c>
      <c r="D829" s="10" t="n">
        <v>36</v>
      </c>
    </row>
    <row r="830">
      <c r="A830" s="9" t="inlineStr">
        <is>
          <t>Дома и участки</t>
        </is>
      </c>
      <c r="B830" s="9" t="inlineStr">
        <is>
          <t>Продажа таунхаусов</t>
        </is>
      </c>
      <c r="C830" s="9" t="inlineStr">
        <is>
          <t>Ставропольский край</t>
        </is>
      </c>
      <c r="D830" s="10" t="n">
        <v>80</v>
      </c>
    </row>
    <row r="831">
      <c r="A831" s="9" t="inlineStr">
        <is>
          <t>Дома и участки</t>
        </is>
      </c>
      <c r="B831" s="9" t="inlineStr">
        <is>
          <t>Продажа таунхаусов</t>
        </is>
      </c>
      <c r="C831" s="9" t="inlineStr">
        <is>
          <t>Тамбовская область</t>
        </is>
      </c>
      <c r="D831" s="10" t="n">
        <v>16</v>
      </c>
    </row>
    <row r="832">
      <c r="A832" s="9" t="inlineStr">
        <is>
          <t>Дома и участки</t>
        </is>
      </c>
      <c r="B832" s="9" t="inlineStr">
        <is>
          <t>Продажа таунхаусов</t>
        </is>
      </c>
      <c r="C832" s="9" t="inlineStr">
        <is>
          <t>Республика Татарстан</t>
        </is>
      </c>
      <c r="D832" s="10" t="n">
        <v>119</v>
      </c>
    </row>
    <row r="833">
      <c r="A833" s="9" t="inlineStr">
        <is>
          <t>Дома и участки</t>
        </is>
      </c>
      <c r="B833" s="9" t="inlineStr">
        <is>
          <t>Продажа таунхаусов</t>
        </is>
      </c>
      <c r="C833" s="9" t="inlineStr">
        <is>
          <t>Тверская область</t>
        </is>
      </c>
      <c r="D833" s="10" t="n">
        <v>79</v>
      </c>
    </row>
    <row r="834">
      <c r="A834" s="9" t="inlineStr">
        <is>
          <t>Дома и участки</t>
        </is>
      </c>
      <c r="B834" s="9" t="inlineStr">
        <is>
          <t>Продажа таунхаусов</t>
        </is>
      </c>
      <c r="C834" s="9" t="inlineStr">
        <is>
          <t>Томская область</t>
        </is>
      </c>
      <c r="D834" s="10" t="n">
        <v>29</v>
      </c>
    </row>
    <row r="835">
      <c r="A835" s="9" t="inlineStr">
        <is>
          <t>Дома и участки</t>
        </is>
      </c>
      <c r="B835" s="9" t="inlineStr">
        <is>
          <t>Продажа таунхаусов</t>
        </is>
      </c>
      <c r="C835" s="9" t="inlineStr">
        <is>
          <t>Тульская область</t>
        </is>
      </c>
      <c r="D835" s="10" t="n">
        <v>45</v>
      </c>
    </row>
    <row r="836">
      <c r="A836" s="9" t="inlineStr">
        <is>
          <t>Дома и участки</t>
        </is>
      </c>
      <c r="B836" s="9" t="inlineStr">
        <is>
          <t>Продажа таунхаусов</t>
        </is>
      </c>
      <c r="C836" s="9" t="inlineStr">
        <is>
          <t>Республика Тыва</t>
        </is>
      </c>
      <c r="D836" s="10" t="n">
        <v>0</v>
      </c>
    </row>
    <row r="837">
      <c r="A837" s="9" t="inlineStr">
        <is>
          <t>Дома и участки</t>
        </is>
      </c>
      <c r="B837" s="9" t="inlineStr">
        <is>
          <t>Продажа таунхаусов</t>
        </is>
      </c>
      <c r="C837" s="9" t="inlineStr">
        <is>
          <t>Тюменская область</t>
        </is>
      </c>
      <c r="D837" s="10" t="n">
        <v>77</v>
      </c>
    </row>
    <row r="838">
      <c r="A838" s="9" t="inlineStr">
        <is>
          <t>Дома и участки</t>
        </is>
      </c>
      <c r="B838" s="9" t="inlineStr">
        <is>
          <t>Продажа таунхаусов</t>
        </is>
      </c>
      <c r="C838" s="9" t="inlineStr">
        <is>
          <t>Удмуртская Республика</t>
        </is>
      </c>
      <c r="D838" s="10" t="n">
        <v>9</v>
      </c>
    </row>
    <row r="839">
      <c r="A839" s="9" t="inlineStr">
        <is>
          <t>Дома и участки</t>
        </is>
      </c>
      <c r="B839" s="9" t="inlineStr">
        <is>
          <t>Продажа таунхаусов</t>
        </is>
      </c>
      <c r="C839" s="9" t="inlineStr">
        <is>
          <t>Ульяновская область</t>
        </is>
      </c>
      <c r="D839" s="10" t="n">
        <v>17</v>
      </c>
    </row>
    <row r="840">
      <c r="A840" s="9" t="inlineStr">
        <is>
          <t>Дома и участки</t>
        </is>
      </c>
      <c r="B840" s="9" t="inlineStr">
        <is>
          <t>Продажа таунхаусов</t>
        </is>
      </c>
      <c r="C840" s="9" t="inlineStr">
        <is>
          <t>Хабаровский край</t>
        </is>
      </c>
      <c r="D840" s="10" t="n">
        <v>9</v>
      </c>
    </row>
    <row r="841">
      <c r="A841" s="9" t="inlineStr">
        <is>
          <t>Дома и участки</t>
        </is>
      </c>
      <c r="B841" s="9" t="inlineStr">
        <is>
          <t>Продажа таунхаусов</t>
        </is>
      </c>
      <c r="C841" s="9" t="inlineStr">
        <is>
          <t>Республика Хакасия</t>
        </is>
      </c>
      <c r="D841" s="10" t="n">
        <v>16</v>
      </c>
    </row>
    <row r="842">
      <c r="A842" s="9" t="inlineStr">
        <is>
          <t>Дома и участки</t>
        </is>
      </c>
      <c r="B842" s="9" t="inlineStr">
        <is>
          <t>Продажа таунхаусов</t>
        </is>
      </c>
      <c r="C842" s="9" t="inlineStr">
        <is>
          <t>Ханты-Мансийский автономный округ</t>
        </is>
      </c>
      <c r="D842" s="10" t="n">
        <v>8</v>
      </c>
    </row>
    <row r="843">
      <c r="A843" s="9" t="inlineStr">
        <is>
          <t>Дома и участки</t>
        </is>
      </c>
      <c r="B843" s="9" t="inlineStr">
        <is>
          <t>Продажа таунхаусов</t>
        </is>
      </c>
      <c r="C843" s="9" t="inlineStr">
        <is>
          <t>Челябинская область</t>
        </is>
      </c>
      <c r="D843" s="10" t="n">
        <v>119</v>
      </c>
    </row>
    <row r="844">
      <c r="A844" s="9" t="inlineStr">
        <is>
          <t>Дома и участки</t>
        </is>
      </c>
      <c r="B844" s="9" t="inlineStr">
        <is>
          <t>Продажа таунхаусов</t>
        </is>
      </c>
      <c r="C844" s="9" t="inlineStr">
        <is>
          <t>Чеченская Республика</t>
        </is>
      </c>
      <c r="D844" s="10" t="n">
        <v>1</v>
      </c>
    </row>
    <row r="845">
      <c r="A845" s="9" t="inlineStr">
        <is>
          <t>Дома и участки</t>
        </is>
      </c>
      <c r="B845" s="9" t="inlineStr">
        <is>
          <t>Продажа таунхаусов</t>
        </is>
      </c>
      <c r="C845" s="9" t="inlineStr">
        <is>
          <t>Чувашская Республика</t>
        </is>
      </c>
      <c r="D845" s="10" t="n">
        <v>10</v>
      </c>
    </row>
    <row r="846">
      <c r="A846" s="9" t="inlineStr">
        <is>
          <t>Дома и участки</t>
        </is>
      </c>
      <c r="B846" s="9" t="inlineStr">
        <is>
          <t>Продажа таунхаусов</t>
        </is>
      </c>
      <c r="C846" s="9" t="inlineStr">
        <is>
          <t>Чукотский автономный округ</t>
        </is>
      </c>
      <c r="D846" s="10" t="n">
        <v>0</v>
      </c>
    </row>
    <row r="847">
      <c r="A847" s="9" t="inlineStr">
        <is>
          <t>Дома и участки</t>
        </is>
      </c>
      <c r="B847" s="9" t="inlineStr">
        <is>
          <t>Продажа таунхаусов</t>
        </is>
      </c>
      <c r="C847" s="9" t="inlineStr">
        <is>
          <t>Ямало-Ненецкий автономный округ</t>
        </is>
      </c>
      <c r="D847" s="10" t="n">
        <v>2</v>
      </c>
    </row>
    <row r="848">
      <c r="A848" s="9" t="inlineStr">
        <is>
          <t>Дома и участки</t>
        </is>
      </c>
      <c r="B848" s="9" t="inlineStr">
        <is>
          <t>Продажа таунхаусов</t>
        </is>
      </c>
      <c r="C848" s="9" t="inlineStr">
        <is>
          <t>Ярославская область</t>
        </is>
      </c>
      <c r="D848" s="10" t="n">
        <v>78</v>
      </c>
    </row>
    <row r="849">
      <c r="A849" s="9" t="inlineStr">
        <is>
          <t>Дома и участки</t>
        </is>
      </c>
      <c r="B849" s="9" t="inlineStr">
        <is>
          <t>Продажа таунхаусов</t>
        </is>
      </c>
      <c r="C849" s="9" t="inlineStr">
        <is>
          <t>Республика Крым</t>
        </is>
      </c>
      <c r="D849" s="10" t="n">
        <v>194</v>
      </c>
    </row>
    <row r="850">
      <c r="A850" s="9" t="inlineStr">
        <is>
          <t>Дома и участки</t>
        </is>
      </c>
      <c r="B850" s="9" t="inlineStr">
        <is>
          <t>Продажа таунхаусов</t>
        </is>
      </c>
      <c r="C850" s="9" t="inlineStr">
        <is>
          <t>Севастополь</t>
        </is>
      </c>
      <c r="D850" s="10" t="n">
        <v>32</v>
      </c>
    </row>
    <row r="851">
      <c r="A851" s="9" t="inlineStr">
        <is>
          <t>Дома и участки</t>
        </is>
      </c>
      <c r="B851" s="9" t="inlineStr">
        <is>
          <t>Продажа таунхаусов</t>
        </is>
      </c>
      <c r="C851" s="9" t="inlineStr">
        <is>
          <t>Забайкальский край</t>
        </is>
      </c>
      <c r="D851" s="10" t="n">
        <v>2</v>
      </c>
    </row>
    <row r="852">
      <c r="A852" s="11" t="inlineStr">
        <is>
          <t>Коммерческая · Аренда</t>
        </is>
      </c>
      <c r="B852" s="12" t="inlineStr">
        <is>
          <t>Офис</t>
        </is>
      </c>
      <c r="C852" s="13" t="inlineStr">
        <is>
          <t>Москва</t>
        </is>
      </c>
      <c r="D852" s="14" t="n">
        <v>19002</v>
      </c>
    </row>
    <row r="853">
      <c r="A853" s="9" t="inlineStr">
        <is>
          <t>Коммерческая · Аренда</t>
        </is>
      </c>
      <c r="B853" s="9" t="inlineStr">
        <is>
          <t>Офис</t>
        </is>
      </c>
      <c r="C853" s="9" t="inlineStr">
        <is>
          <t>Санкт-Петербург</t>
        </is>
      </c>
      <c r="D853" s="10" t="n">
        <v>3508</v>
      </c>
    </row>
    <row r="854">
      <c r="A854" s="9" t="inlineStr">
        <is>
          <t>Коммерческая · Аренда</t>
        </is>
      </c>
      <c r="B854" s="9" t="inlineStr">
        <is>
          <t>Офис</t>
        </is>
      </c>
      <c r="C854" s="9" t="inlineStr">
        <is>
          <t>Республика Адыгея</t>
        </is>
      </c>
      <c r="D854" s="10" t="n">
        <v>30</v>
      </c>
    </row>
    <row r="855">
      <c r="A855" s="9" t="inlineStr">
        <is>
          <t>Коммерческая · Аренда</t>
        </is>
      </c>
      <c r="B855" s="9" t="inlineStr">
        <is>
          <t>Офис</t>
        </is>
      </c>
      <c r="C855" s="9" t="inlineStr">
        <is>
          <t>Республика Алтай</t>
        </is>
      </c>
      <c r="D855" s="10" t="n">
        <v>11</v>
      </c>
    </row>
    <row r="856">
      <c r="A856" s="9" t="inlineStr">
        <is>
          <t>Коммерческая · Аренда</t>
        </is>
      </c>
      <c r="B856" s="9" t="inlineStr">
        <is>
          <t>Офис</t>
        </is>
      </c>
      <c r="C856" s="9" t="inlineStr">
        <is>
          <t>Алтайский край</t>
        </is>
      </c>
      <c r="D856" s="10" t="n">
        <v>243</v>
      </c>
    </row>
    <row r="857">
      <c r="A857" s="9" t="inlineStr">
        <is>
          <t>Коммерческая · Аренда</t>
        </is>
      </c>
      <c r="B857" s="9" t="inlineStr">
        <is>
          <t>Офис</t>
        </is>
      </c>
      <c r="C857" s="9" t="inlineStr">
        <is>
          <t>Амурская область</t>
        </is>
      </c>
      <c r="D857" s="10" t="n">
        <v>18</v>
      </c>
    </row>
    <row r="858">
      <c r="A858" s="9" t="inlineStr">
        <is>
          <t>Коммерческая · Аренда</t>
        </is>
      </c>
      <c r="B858" s="9" t="inlineStr">
        <is>
          <t>Офис</t>
        </is>
      </c>
      <c r="C858" s="9" t="inlineStr">
        <is>
          <t>Архангельская область</t>
        </is>
      </c>
      <c r="D858" s="10" t="n">
        <v>64</v>
      </c>
    </row>
    <row r="859">
      <c r="A859" s="9" t="inlineStr">
        <is>
          <t>Коммерческая · Аренда</t>
        </is>
      </c>
      <c r="B859" s="9" t="inlineStr">
        <is>
          <t>Офис</t>
        </is>
      </c>
      <c r="C859" s="9" t="inlineStr">
        <is>
          <t>Астраханская область</t>
        </is>
      </c>
      <c r="D859" s="10" t="n">
        <v>97</v>
      </c>
    </row>
    <row r="860">
      <c r="A860" s="9" t="inlineStr">
        <is>
          <t>Коммерческая · Аренда</t>
        </is>
      </c>
      <c r="B860" s="9" t="inlineStr">
        <is>
          <t>Офис</t>
        </is>
      </c>
      <c r="C860" s="9" t="inlineStr">
        <is>
          <t>Республика Башкортостан</t>
        </is>
      </c>
      <c r="D860" s="10" t="n">
        <v>292</v>
      </c>
    </row>
    <row r="861">
      <c r="A861" s="9" t="inlineStr">
        <is>
          <t>Коммерческая · Аренда</t>
        </is>
      </c>
      <c r="B861" s="9" t="inlineStr">
        <is>
          <t>Офис</t>
        </is>
      </c>
      <c r="C861" s="9" t="inlineStr">
        <is>
          <t>Белгородская область</t>
        </is>
      </c>
      <c r="D861" s="10" t="n">
        <v>429</v>
      </c>
    </row>
    <row r="862">
      <c r="A862" s="9" t="inlineStr">
        <is>
          <t>Коммерческая · Аренда</t>
        </is>
      </c>
      <c r="B862" s="9" t="inlineStr">
        <is>
          <t>Офис</t>
        </is>
      </c>
      <c r="C862" s="9" t="inlineStr">
        <is>
          <t>Брянская область</t>
        </is>
      </c>
      <c r="D862" s="10" t="n">
        <v>230</v>
      </c>
    </row>
    <row r="863">
      <c r="A863" s="9" t="inlineStr">
        <is>
          <t>Коммерческая · Аренда</t>
        </is>
      </c>
      <c r="B863" s="9" t="inlineStr">
        <is>
          <t>Офис</t>
        </is>
      </c>
      <c r="C863" s="9" t="inlineStr">
        <is>
          <t>Республика Бурятия</t>
        </is>
      </c>
      <c r="D863" s="10" t="n">
        <v>16</v>
      </c>
    </row>
    <row r="864">
      <c r="A864" s="9" t="inlineStr">
        <is>
          <t>Коммерческая · Аренда</t>
        </is>
      </c>
      <c r="B864" s="9" t="inlineStr">
        <is>
          <t>Офис</t>
        </is>
      </c>
      <c r="C864" s="9" t="inlineStr">
        <is>
          <t>Владимирская область</t>
        </is>
      </c>
      <c r="D864" s="10" t="n">
        <v>150</v>
      </c>
    </row>
    <row r="865">
      <c r="A865" s="9" t="inlineStr">
        <is>
          <t>Коммерческая · Аренда</t>
        </is>
      </c>
      <c r="B865" s="9" t="inlineStr">
        <is>
          <t>Офис</t>
        </is>
      </c>
      <c r="C865" s="9" t="inlineStr">
        <is>
          <t>Волгоградская область</t>
        </is>
      </c>
      <c r="D865" s="10" t="n">
        <v>288</v>
      </c>
    </row>
    <row r="866">
      <c r="A866" s="9" t="inlineStr">
        <is>
          <t>Коммерческая · Аренда</t>
        </is>
      </c>
      <c r="B866" s="9" t="inlineStr">
        <is>
          <t>Офис</t>
        </is>
      </c>
      <c r="C866" s="9" t="inlineStr">
        <is>
          <t>Вологодская область</t>
        </is>
      </c>
      <c r="D866" s="10" t="n">
        <v>60</v>
      </c>
    </row>
    <row r="867">
      <c r="A867" s="9" t="inlineStr">
        <is>
          <t>Коммерческая · Аренда</t>
        </is>
      </c>
      <c r="B867" s="9" t="inlineStr">
        <is>
          <t>Офис</t>
        </is>
      </c>
      <c r="C867" s="9" t="inlineStr">
        <is>
          <t>Воронежская область</t>
        </is>
      </c>
      <c r="D867" s="10" t="n">
        <v>348</v>
      </c>
    </row>
    <row r="868">
      <c r="A868" s="9" t="inlineStr">
        <is>
          <t>Коммерческая · Аренда</t>
        </is>
      </c>
      <c r="B868" s="9" t="inlineStr">
        <is>
          <t>Офис</t>
        </is>
      </c>
      <c r="C868" s="9" t="inlineStr">
        <is>
          <t>Республика Дагестан</t>
        </is>
      </c>
      <c r="D868" s="10" t="n">
        <v>40</v>
      </c>
    </row>
    <row r="869">
      <c r="A869" s="9" t="inlineStr">
        <is>
          <t>Коммерческая · Аренда</t>
        </is>
      </c>
      <c r="B869" s="9" t="inlineStr">
        <is>
          <t>Офис</t>
        </is>
      </c>
      <c r="C869" s="9" t="inlineStr">
        <is>
          <t>Еврейская автономная область</t>
        </is>
      </c>
      <c r="D869" s="10" t="n">
        <v>4</v>
      </c>
    </row>
    <row r="870">
      <c r="A870" s="9" t="inlineStr">
        <is>
          <t>Коммерческая · Аренда</t>
        </is>
      </c>
      <c r="B870" s="9" t="inlineStr">
        <is>
          <t>Офис</t>
        </is>
      </c>
      <c r="C870" s="9" t="inlineStr">
        <is>
          <t>Ивановская область</t>
        </is>
      </c>
      <c r="D870" s="10" t="n">
        <v>95</v>
      </c>
    </row>
    <row r="871">
      <c r="A871" s="9" t="inlineStr">
        <is>
          <t>Коммерческая · Аренда</t>
        </is>
      </c>
      <c r="B871" s="9" t="inlineStr">
        <is>
          <t>Офис</t>
        </is>
      </c>
      <c r="C871" s="9" t="inlineStr">
        <is>
          <t>Республика Ингушетия</t>
        </is>
      </c>
      <c r="D871" s="10" t="n">
        <v>2</v>
      </c>
    </row>
    <row r="872">
      <c r="A872" s="9" t="inlineStr">
        <is>
          <t>Коммерческая · Аренда</t>
        </is>
      </c>
      <c r="B872" s="9" t="inlineStr">
        <is>
          <t>Офис</t>
        </is>
      </c>
      <c r="C872" s="9" t="inlineStr">
        <is>
          <t>Иркутская область</t>
        </is>
      </c>
      <c r="D872" s="10" t="n">
        <v>263</v>
      </c>
    </row>
    <row r="873">
      <c r="A873" s="9" t="inlineStr">
        <is>
          <t>Коммерческая · Аренда</t>
        </is>
      </c>
      <c r="B873" s="9" t="inlineStr">
        <is>
          <t>Офис</t>
        </is>
      </c>
      <c r="C873" s="9" t="inlineStr">
        <is>
          <t>Кабардино-Балкарская Республика</t>
        </is>
      </c>
      <c r="D873" s="10" t="n">
        <v>20</v>
      </c>
    </row>
    <row r="874">
      <c r="A874" s="9" t="inlineStr">
        <is>
          <t>Коммерческая · Аренда</t>
        </is>
      </c>
      <c r="B874" s="9" t="inlineStr">
        <is>
          <t>Офис</t>
        </is>
      </c>
      <c r="C874" s="9" t="inlineStr">
        <is>
          <t>Калининградская область</t>
        </is>
      </c>
      <c r="D874" s="10" t="n">
        <v>140</v>
      </c>
    </row>
    <row r="875">
      <c r="A875" s="9" t="inlineStr">
        <is>
          <t>Коммерческая · Аренда</t>
        </is>
      </c>
      <c r="B875" s="9" t="inlineStr">
        <is>
          <t>Офис</t>
        </is>
      </c>
      <c r="C875" s="9" t="inlineStr">
        <is>
          <t>Республика Калмыкия</t>
        </is>
      </c>
      <c r="D875" s="10" t="n">
        <v>8</v>
      </c>
    </row>
    <row r="876">
      <c r="A876" s="9" t="inlineStr">
        <is>
          <t>Коммерческая · Аренда</t>
        </is>
      </c>
      <c r="B876" s="9" t="inlineStr">
        <is>
          <t>Офис</t>
        </is>
      </c>
      <c r="C876" s="9" t="inlineStr">
        <is>
          <t>Калужская область</t>
        </is>
      </c>
      <c r="D876" s="10" t="n">
        <v>163</v>
      </c>
    </row>
    <row r="877">
      <c r="A877" s="9" t="inlineStr">
        <is>
          <t>Коммерческая · Аренда</t>
        </is>
      </c>
      <c r="B877" s="9" t="inlineStr">
        <is>
          <t>Офис</t>
        </is>
      </c>
      <c r="C877" s="9" t="inlineStr">
        <is>
          <t>Камчатский край</t>
        </is>
      </c>
      <c r="D877" s="10" t="n">
        <v>7</v>
      </c>
    </row>
    <row r="878">
      <c r="A878" s="9" t="inlineStr">
        <is>
          <t>Коммерческая · Аренда</t>
        </is>
      </c>
      <c r="B878" s="9" t="inlineStr">
        <is>
          <t>Офис</t>
        </is>
      </c>
      <c r="C878" s="9" t="inlineStr">
        <is>
          <t>Карачаево-Черкесская Республика</t>
        </is>
      </c>
      <c r="D878" s="10" t="n">
        <v>5</v>
      </c>
    </row>
    <row r="879">
      <c r="A879" s="9" t="inlineStr">
        <is>
          <t>Коммерческая · Аренда</t>
        </is>
      </c>
      <c r="B879" s="9" t="inlineStr">
        <is>
          <t>Офис</t>
        </is>
      </c>
      <c r="C879" s="9" t="inlineStr">
        <is>
          <t>Республика Карелия</t>
        </is>
      </c>
      <c r="D879" s="10" t="n">
        <v>39</v>
      </c>
    </row>
    <row r="880">
      <c r="A880" s="9" t="inlineStr">
        <is>
          <t>Коммерческая · Аренда</t>
        </is>
      </c>
      <c r="B880" s="9" t="inlineStr">
        <is>
          <t>Офис</t>
        </is>
      </c>
      <c r="C880" s="9" t="inlineStr">
        <is>
          <t>Кемеровская область</t>
        </is>
      </c>
      <c r="D880" s="10" t="n">
        <v>273</v>
      </c>
    </row>
    <row r="881">
      <c r="A881" s="9" t="inlineStr">
        <is>
          <t>Коммерческая · Аренда</t>
        </is>
      </c>
      <c r="B881" s="9" t="inlineStr">
        <is>
          <t>Офис</t>
        </is>
      </c>
      <c r="C881" s="9" t="inlineStr">
        <is>
          <t>Кировская область</t>
        </is>
      </c>
      <c r="D881" s="10" t="n">
        <v>108</v>
      </c>
    </row>
    <row r="882">
      <c r="A882" s="9" t="inlineStr">
        <is>
          <t>Коммерческая · Аренда</t>
        </is>
      </c>
      <c r="B882" s="9" t="inlineStr">
        <is>
          <t>Офис</t>
        </is>
      </c>
      <c r="C882" s="9" t="inlineStr">
        <is>
          <t>Республика Коми</t>
        </is>
      </c>
      <c r="D882" s="10" t="n">
        <v>98</v>
      </c>
    </row>
    <row r="883">
      <c r="A883" s="9" t="inlineStr">
        <is>
          <t>Коммерческая · Аренда</t>
        </is>
      </c>
      <c r="B883" s="9" t="inlineStr">
        <is>
          <t>Офис</t>
        </is>
      </c>
      <c r="C883" s="9" t="inlineStr">
        <is>
          <t>Костромская область</t>
        </is>
      </c>
      <c r="D883" s="10" t="n">
        <v>48</v>
      </c>
    </row>
    <row r="884">
      <c r="A884" s="9" t="inlineStr">
        <is>
          <t>Коммерческая · Аренда</t>
        </is>
      </c>
      <c r="B884" s="9" t="inlineStr">
        <is>
          <t>Офис</t>
        </is>
      </c>
      <c r="C884" s="9" t="inlineStr">
        <is>
          <t>Краснодарский край</t>
        </is>
      </c>
      <c r="D884" s="10" t="n">
        <v>1300</v>
      </c>
    </row>
    <row r="885">
      <c r="A885" s="9" t="inlineStr">
        <is>
          <t>Коммерческая · Аренда</t>
        </is>
      </c>
      <c r="B885" s="9" t="inlineStr">
        <is>
          <t>Офис</t>
        </is>
      </c>
      <c r="C885" s="9" t="inlineStr">
        <is>
          <t>Красноярский край</t>
        </is>
      </c>
      <c r="D885" s="10" t="n">
        <v>360</v>
      </c>
    </row>
    <row r="886">
      <c r="A886" s="9" t="inlineStr">
        <is>
          <t>Коммерческая · Аренда</t>
        </is>
      </c>
      <c r="B886" s="9" t="inlineStr">
        <is>
          <t>Офис</t>
        </is>
      </c>
      <c r="C886" s="9" t="inlineStr">
        <is>
          <t>Курганская область</t>
        </is>
      </c>
      <c r="D886" s="10" t="n">
        <v>59</v>
      </c>
    </row>
    <row r="887">
      <c r="A887" s="9" t="inlineStr">
        <is>
          <t>Коммерческая · Аренда</t>
        </is>
      </c>
      <c r="B887" s="9" t="inlineStr">
        <is>
          <t>Офис</t>
        </is>
      </c>
      <c r="C887" s="9" t="inlineStr">
        <is>
          <t>Курская область</t>
        </is>
      </c>
      <c r="D887" s="10" t="n">
        <v>167</v>
      </c>
    </row>
    <row r="888">
      <c r="A888" s="9" t="inlineStr">
        <is>
          <t>Коммерческая · Аренда</t>
        </is>
      </c>
      <c r="B888" s="9" t="inlineStr">
        <is>
          <t>Офис</t>
        </is>
      </c>
      <c r="C888" s="9" t="inlineStr">
        <is>
          <t>Ленинградская область</t>
        </is>
      </c>
      <c r="D888" s="10" t="n">
        <v>167</v>
      </c>
    </row>
    <row r="889">
      <c r="A889" s="9" t="inlineStr">
        <is>
          <t>Коммерческая · Аренда</t>
        </is>
      </c>
      <c r="B889" s="9" t="inlineStr">
        <is>
          <t>Офис</t>
        </is>
      </c>
      <c r="C889" s="9" t="inlineStr">
        <is>
          <t>Липецкая область</t>
        </is>
      </c>
      <c r="D889" s="10" t="n">
        <v>105</v>
      </c>
    </row>
    <row r="890">
      <c r="A890" s="9" t="inlineStr">
        <is>
          <t>Коммерческая · Аренда</t>
        </is>
      </c>
      <c r="B890" s="9" t="inlineStr">
        <is>
          <t>Офис</t>
        </is>
      </c>
      <c r="C890" s="9" t="inlineStr">
        <is>
          <t>Магаданская область</t>
        </is>
      </c>
      <c r="D890" s="10" t="n">
        <v>6</v>
      </c>
    </row>
    <row r="891">
      <c r="A891" s="9" t="inlineStr">
        <is>
          <t>Коммерческая · Аренда</t>
        </is>
      </c>
      <c r="B891" s="9" t="inlineStr">
        <is>
          <t>Офис</t>
        </is>
      </c>
      <c r="C891" s="9" t="inlineStr">
        <is>
          <t>Республика Марий Эл</t>
        </is>
      </c>
      <c r="D891" s="10" t="n">
        <v>41</v>
      </c>
    </row>
    <row r="892">
      <c r="A892" s="9" t="inlineStr">
        <is>
          <t>Коммерческая · Аренда</t>
        </is>
      </c>
      <c r="B892" s="9" t="inlineStr">
        <is>
          <t>Офис</t>
        </is>
      </c>
      <c r="C892" s="9" t="inlineStr">
        <is>
          <t>Республика Мордовия</t>
        </is>
      </c>
      <c r="D892" s="10" t="n">
        <v>29</v>
      </c>
    </row>
    <row r="893">
      <c r="A893" s="9" t="inlineStr">
        <is>
          <t>Коммерческая · Аренда</t>
        </is>
      </c>
      <c r="B893" s="9" t="inlineStr">
        <is>
          <t>Офис</t>
        </is>
      </c>
      <c r="C893" s="9" t="inlineStr">
        <is>
          <t>Московская область</t>
        </is>
      </c>
      <c r="D893" s="10" t="n">
        <v>2602</v>
      </c>
    </row>
    <row r="894">
      <c r="A894" s="9" t="inlineStr">
        <is>
          <t>Коммерческая · Аренда</t>
        </is>
      </c>
      <c r="B894" s="9" t="inlineStr">
        <is>
          <t>Офис</t>
        </is>
      </c>
      <c r="C894" s="9" t="inlineStr">
        <is>
          <t>Мурманская область</t>
        </is>
      </c>
      <c r="D894" s="10" t="n">
        <v>35</v>
      </c>
    </row>
    <row r="895">
      <c r="A895" s="9" t="inlineStr">
        <is>
          <t>Коммерческая · Аренда</t>
        </is>
      </c>
      <c r="B895" s="9" t="inlineStr">
        <is>
          <t>Офис</t>
        </is>
      </c>
      <c r="C895" s="9" t="inlineStr">
        <is>
          <t>Ненецкий автономный округ</t>
        </is>
      </c>
      <c r="D895" s="10" t="n">
        <v>2</v>
      </c>
    </row>
    <row r="896">
      <c r="A896" s="9" t="inlineStr">
        <is>
          <t>Коммерческая · Аренда</t>
        </is>
      </c>
      <c r="B896" s="9" t="inlineStr">
        <is>
          <t>Офис</t>
        </is>
      </c>
      <c r="C896" s="9" t="inlineStr">
        <is>
          <t>Нижегородская область</t>
        </is>
      </c>
      <c r="D896" s="10" t="n">
        <v>566</v>
      </c>
    </row>
    <row r="897">
      <c r="A897" s="9" t="inlineStr">
        <is>
          <t>Коммерческая · Аренда</t>
        </is>
      </c>
      <c r="B897" s="9" t="inlineStr">
        <is>
          <t>Офис</t>
        </is>
      </c>
      <c r="C897" s="9" t="inlineStr">
        <is>
          <t>Новгородская область</t>
        </is>
      </c>
      <c r="D897" s="10" t="n">
        <v>72</v>
      </c>
    </row>
    <row r="898">
      <c r="A898" s="9" t="inlineStr">
        <is>
          <t>Коммерческая · Аренда</t>
        </is>
      </c>
      <c r="B898" s="9" t="inlineStr">
        <is>
          <t>Офис</t>
        </is>
      </c>
      <c r="C898" s="9" t="inlineStr">
        <is>
          <t>Новосибирская область</t>
        </is>
      </c>
      <c r="D898" s="10" t="n">
        <v>1196</v>
      </c>
    </row>
    <row r="899">
      <c r="A899" s="9" t="inlineStr">
        <is>
          <t>Коммерческая · Аренда</t>
        </is>
      </c>
      <c r="B899" s="9" t="inlineStr">
        <is>
          <t>Офис</t>
        </is>
      </c>
      <c r="C899" s="9" t="inlineStr">
        <is>
          <t>Омская область</t>
        </is>
      </c>
      <c r="D899" s="10" t="n">
        <v>357</v>
      </c>
    </row>
    <row r="900">
      <c r="A900" s="9" t="inlineStr">
        <is>
          <t>Коммерческая · Аренда</t>
        </is>
      </c>
      <c r="B900" s="9" t="inlineStr">
        <is>
          <t>Офис</t>
        </is>
      </c>
      <c r="C900" s="9" t="inlineStr">
        <is>
          <t>Оренбургская область</t>
        </is>
      </c>
      <c r="D900" s="10" t="n">
        <v>120</v>
      </c>
    </row>
    <row r="901">
      <c r="A901" s="9" t="inlineStr">
        <is>
          <t>Коммерческая · Аренда</t>
        </is>
      </c>
      <c r="B901" s="9" t="inlineStr">
        <is>
          <t>Офис</t>
        </is>
      </c>
      <c r="C901" s="9" t="inlineStr">
        <is>
          <t>Орловская область</t>
        </is>
      </c>
      <c r="D901" s="10" t="n">
        <v>45</v>
      </c>
    </row>
    <row r="902">
      <c r="A902" s="9" t="inlineStr">
        <is>
          <t>Коммерческая · Аренда</t>
        </is>
      </c>
      <c r="B902" s="9" t="inlineStr">
        <is>
          <t>Офис</t>
        </is>
      </c>
      <c r="C902" s="9" t="inlineStr">
        <is>
          <t>Пензенская область</t>
        </is>
      </c>
      <c r="D902" s="10" t="n">
        <v>240</v>
      </c>
    </row>
    <row r="903">
      <c r="A903" s="9" t="inlineStr">
        <is>
          <t>Коммерческая · Аренда</t>
        </is>
      </c>
      <c r="B903" s="9" t="inlineStr">
        <is>
          <t>Офис</t>
        </is>
      </c>
      <c r="C903" s="9" t="inlineStr">
        <is>
          <t>Пермский край</t>
        </is>
      </c>
      <c r="D903" s="10" t="n">
        <v>330</v>
      </c>
    </row>
    <row r="904">
      <c r="A904" s="9" t="inlineStr">
        <is>
          <t>Коммерческая · Аренда</t>
        </is>
      </c>
      <c r="B904" s="9" t="inlineStr">
        <is>
          <t>Офис</t>
        </is>
      </c>
      <c r="C904" s="9" t="inlineStr">
        <is>
          <t>Приморский край</t>
        </is>
      </c>
      <c r="D904" s="10" t="n">
        <v>55</v>
      </c>
    </row>
    <row r="905">
      <c r="A905" s="9" t="inlineStr">
        <is>
          <t>Коммерческая · Аренда</t>
        </is>
      </c>
      <c r="B905" s="9" t="inlineStr">
        <is>
          <t>Офис</t>
        </is>
      </c>
      <c r="C905" s="9" t="inlineStr">
        <is>
          <t>Псковская область</t>
        </is>
      </c>
      <c r="D905" s="10" t="n">
        <v>30</v>
      </c>
    </row>
    <row r="906">
      <c r="A906" s="9" t="inlineStr">
        <is>
          <t>Коммерческая · Аренда</t>
        </is>
      </c>
      <c r="B906" s="9" t="inlineStr">
        <is>
          <t>Офис</t>
        </is>
      </c>
      <c r="C906" s="9" t="inlineStr">
        <is>
          <t>Ростовская область</t>
        </is>
      </c>
      <c r="D906" s="10" t="n">
        <v>603</v>
      </c>
    </row>
    <row r="907">
      <c r="A907" s="9" t="inlineStr">
        <is>
          <t>Коммерческая · Аренда</t>
        </is>
      </c>
      <c r="B907" s="9" t="inlineStr">
        <is>
          <t>Офис</t>
        </is>
      </c>
      <c r="C907" s="9" t="inlineStr">
        <is>
          <t>Рязанская область</t>
        </is>
      </c>
      <c r="D907" s="10" t="n">
        <v>102</v>
      </c>
    </row>
    <row r="908">
      <c r="A908" s="9" t="inlineStr">
        <is>
          <t>Коммерческая · Аренда</t>
        </is>
      </c>
      <c r="B908" s="9" t="inlineStr">
        <is>
          <t>Офис</t>
        </is>
      </c>
      <c r="C908" s="9" t="inlineStr">
        <is>
          <t>Самарская область</t>
        </is>
      </c>
      <c r="D908" s="10" t="n">
        <v>622</v>
      </c>
    </row>
    <row r="909">
      <c r="A909" s="9" t="inlineStr">
        <is>
          <t>Коммерческая · Аренда</t>
        </is>
      </c>
      <c r="B909" s="9" t="inlineStr">
        <is>
          <t>Офис</t>
        </is>
      </c>
      <c r="C909" s="9" t="inlineStr">
        <is>
          <t>Саратовская область</t>
        </is>
      </c>
      <c r="D909" s="10" t="n">
        <v>316</v>
      </c>
    </row>
    <row r="910">
      <c r="A910" s="9" t="inlineStr">
        <is>
          <t>Коммерческая · Аренда</t>
        </is>
      </c>
      <c r="B910" s="9" t="inlineStr">
        <is>
          <t>Офис</t>
        </is>
      </c>
      <c r="C910" s="9" t="inlineStr">
        <is>
          <t>Республика Саха (Якутия)</t>
        </is>
      </c>
      <c r="D910" s="10" t="n">
        <v>12</v>
      </c>
    </row>
    <row r="911">
      <c r="A911" s="9" t="inlineStr">
        <is>
          <t>Коммерческая · Аренда</t>
        </is>
      </c>
      <c r="B911" s="9" t="inlineStr">
        <is>
          <t>Офис</t>
        </is>
      </c>
      <c r="C911" s="9" t="inlineStr">
        <is>
          <t>Сахалинская область</t>
        </is>
      </c>
      <c r="D911" s="10" t="n">
        <v>46</v>
      </c>
    </row>
    <row r="912">
      <c r="A912" s="9" t="inlineStr">
        <is>
          <t>Коммерческая · Аренда</t>
        </is>
      </c>
      <c r="B912" s="9" t="inlineStr">
        <is>
          <t>Офис</t>
        </is>
      </c>
      <c r="C912" s="9" t="inlineStr">
        <is>
          <t>Свердловская область</t>
        </is>
      </c>
      <c r="D912" s="10" t="n">
        <v>1297</v>
      </c>
    </row>
    <row r="913">
      <c r="A913" s="9" t="inlineStr">
        <is>
          <t>Коммерческая · Аренда</t>
        </is>
      </c>
      <c r="B913" s="9" t="inlineStr">
        <is>
          <t>Офис</t>
        </is>
      </c>
      <c r="C913" s="9" t="inlineStr">
        <is>
          <t>Республика Северная Осетия - Алания</t>
        </is>
      </c>
      <c r="D913" s="10" t="n">
        <v>58</v>
      </c>
    </row>
    <row r="914">
      <c r="A914" s="9" t="inlineStr">
        <is>
          <t>Коммерческая · Аренда</t>
        </is>
      </c>
      <c r="B914" s="9" t="inlineStr">
        <is>
          <t>Офис</t>
        </is>
      </c>
      <c r="C914" s="9" t="inlineStr">
        <is>
          <t>Смоленская область</t>
        </is>
      </c>
      <c r="D914" s="10" t="n">
        <v>99</v>
      </c>
    </row>
    <row r="915">
      <c r="A915" s="9" t="inlineStr">
        <is>
          <t>Коммерческая · Аренда</t>
        </is>
      </c>
      <c r="B915" s="9" t="inlineStr">
        <is>
          <t>Офис</t>
        </is>
      </c>
      <c r="C915" s="9" t="inlineStr">
        <is>
          <t>Ставропольский край</t>
        </is>
      </c>
      <c r="D915" s="10" t="n">
        <v>179</v>
      </c>
    </row>
    <row r="916">
      <c r="A916" s="9" t="inlineStr">
        <is>
          <t>Коммерческая · Аренда</t>
        </is>
      </c>
      <c r="B916" s="9" t="inlineStr">
        <is>
          <t>Офис</t>
        </is>
      </c>
      <c r="C916" s="9" t="inlineStr">
        <is>
          <t>Тамбовская область</t>
        </is>
      </c>
      <c r="D916" s="10" t="n">
        <v>57</v>
      </c>
    </row>
    <row r="917">
      <c r="A917" s="9" t="inlineStr">
        <is>
          <t>Коммерческая · Аренда</t>
        </is>
      </c>
      <c r="B917" s="9" t="inlineStr">
        <is>
          <t>Офис</t>
        </is>
      </c>
      <c r="C917" s="9" t="inlineStr">
        <is>
          <t>Республика Татарстан</t>
        </is>
      </c>
      <c r="D917" s="10" t="n">
        <v>575</v>
      </c>
    </row>
    <row r="918">
      <c r="A918" s="9" t="inlineStr">
        <is>
          <t>Коммерческая · Аренда</t>
        </is>
      </c>
      <c r="B918" s="9" t="inlineStr">
        <is>
          <t>Офис</t>
        </is>
      </c>
      <c r="C918" s="9" t="inlineStr">
        <is>
          <t>Тверская область</t>
        </is>
      </c>
      <c r="D918" s="10" t="n">
        <v>206</v>
      </c>
    </row>
    <row r="919">
      <c r="A919" s="9" t="inlineStr">
        <is>
          <t>Коммерческая · Аренда</t>
        </is>
      </c>
      <c r="B919" s="9" t="inlineStr">
        <is>
          <t>Офис</t>
        </is>
      </c>
      <c r="C919" s="9" t="inlineStr">
        <is>
          <t>Томская область</t>
        </is>
      </c>
      <c r="D919" s="10" t="n">
        <v>237</v>
      </c>
    </row>
    <row r="920">
      <c r="A920" s="9" t="inlineStr">
        <is>
          <t>Коммерческая · Аренда</t>
        </is>
      </c>
      <c r="B920" s="9" t="inlineStr">
        <is>
          <t>Офис</t>
        </is>
      </c>
      <c r="C920" s="9" t="inlineStr">
        <is>
          <t>Тульская область</t>
        </is>
      </c>
      <c r="D920" s="10" t="n">
        <v>189</v>
      </c>
    </row>
    <row r="921">
      <c r="A921" s="9" t="inlineStr">
        <is>
          <t>Коммерческая · Аренда</t>
        </is>
      </c>
      <c r="B921" s="9" t="inlineStr">
        <is>
          <t>Офис</t>
        </is>
      </c>
      <c r="C921" s="9" t="inlineStr">
        <is>
          <t>Республика Тыва</t>
        </is>
      </c>
      <c r="D921" s="10" t="n">
        <v>3</v>
      </c>
    </row>
    <row r="922">
      <c r="A922" s="9" t="inlineStr">
        <is>
          <t>Коммерческая · Аренда</t>
        </is>
      </c>
      <c r="B922" s="9" t="inlineStr">
        <is>
          <t>Офис</t>
        </is>
      </c>
      <c r="C922" s="9" t="inlineStr">
        <is>
          <t>Тюменская область</t>
        </is>
      </c>
      <c r="D922" s="10" t="n">
        <v>336</v>
      </c>
    </row>
    <row r="923">
      <c r="A923" s="9" t="inlineStr">
        <is>
          <t>Коммерческая · Аренда</t>
        </is>
      </c>
      <c r="B923" s="9" t="inlineStr">
        <is>
          <t>Офис</t>
        </is>
      </c>
      <c r="C923" s="9" t="inlineStr">
        <is>
          <t>Удмуртская Республика</t>
        </is>
      </c>
      <c r="D923" s="10" t="n">
        <v>107</v>
      </c>
    </row>
    <row r="924">
      <c r="A924" s="9" t="inlineStr">
        <is>
          <t>Коммерческая · Аренда</t>
        </is>
      </c>
      <c r="B924" s="9" t="inlineStr">
        <is>
          <t>Офис</t>
        </is>
      </c>
      <c r="C924" s="9" t="inlineStr">
        <is>
          <t>Ульяновская область</t>
        </is>
      </c>
      <c r="D924" s="10" t="n">
        <v>162</v>
      </c>
    </row>
    <row r="925">
      <c r="A925" s="9" t="inlineStr">
        <is>
          <t>Коммерческая · Аренда</t>
        </is>
      </c>
      <c r="B925" s="9" t="inlineStr">
        <is>
          <t>Офис</t>
        </is>
      </c>
      <c r="C925" s="9" t="inlineStr">
        <is>
          <t>Хабаровский край</t>
        </is>
      </c>
      <c r="D925" s="10" t="n">
        <v>127</v>
      </c>
    </row>
    <row r="926">
      <c r="A926" s="9" t="inlineStr">
        <is>
          <t>Коммерческая · Аренда</t>
        </is>
      </c>
      <c r="B926" s="9" t="inlineStr">
        <is>
          <t>Офис</t>
        </is>
      </c>
      <c r="C926" s="9" t="inlineStr">
        <is>
          <t>Республика Хакасия</t>
        </is>
      </c>
      <c r="D926" s="10" t="n">
        <v>26</v>
      </c>
    </row>
    <row r="927">
      <c r="A927" s="9" t="inlineStr">
        <is>
          <t>Коммерческая · Аренда</t>
        </is>
      </c>
      <c r="B927" s="9" t="inlineStr">
        <is>
          <t>Офис</t>
        </is>
      </c>
      <c r="C927" s="9" t="inlineStr">
        <is>
          <t>Ханты-Мансийский автономный округ</t>
        </is>
      </c>
      <c r="D927" s="10" t="n">
        <v>144</v>
      </c>
    </row>
    <row r="928">
      <c r="A928" s="9" t="inlineStr">
        <is>
          <t>Коммерческая · Аренда</t>
        </is>
      </c>
      <c r="B928" s="9" t="inlineStr">
        <is>
          <t>Офис</t>
        </is>
      </c>
      <c r="C928" s="9" t="inlineStr">
        <is>
          <t>Челябинская область</t>
        </is>
      </c>
      <c r="D928" s="10" t="n">
        <v>316</v>
      </c>
    </row>
    <row r="929">
      <c r="A929" s="9" t="inlineStr">
        <is>
          <t>Коммерческая · Аренда</t>
        </is>
      </c>
      <c r="B929" s="9" t="inlineStr">
        <is>
          <t>Офис</t>
        </is>
      </c>
      <c r="C929" s="9" t="inlineStr">
        <is>
          <t>Чеченская Республика</t>
        </is>
      </c>
      <c r="D929" s="10" t="n">
        <v>6</v>
      </c>
    </row>
    <row r="930">
      <c r="A930" s="9" t="inlineStr">
        <is>
          <t>Коммерческая · Аренда</t>
        </is>
      </c>
      <c r="B930" s="9" t="inlineStr">
        <is>
          <t>Офис</t>
        </is>
      </c>
      <c r="C930" s="9" t="inlineStr">
        <is>
          <t>Чувашская Республика</t>
        </is>
      </c>
      <c r="D930" s="10" t="n">
        <v>96</v>
      </c>
    </row>
    <row r="931">
      <c r="A931" s="9" t="inlineStr">
        <is>
          <t>Коммерческая · Аренда</t>
        </is>
      </c>
      <c r="B931" s="9" t="inlineStr">
        <is>
          <t>Офис</t>
        </is>
      </c>
      <c r="C931" s="9" t="inlineStr">
        <is>
          <t>Чукотский автономный округ</t>
        </is>
      </c>
      <c r="D931" s="10" t="n">
        <v>0</v>
      </c>
    </row>
    <row r="932">
      <c r="A932" s="9" t="inlineStr">
        <is>
          <t>Коммерческая · Аренда</t>
        </is>
      </c>
      <c r="B932" s="9" t="inlineStr">
        <is>
          <t>Офис</t>
        </is>
      </c>
      <c r="C932" s="9" t="inlineStr">
        <is>
          <t>Ямало-Ненецкий автономный округ</t>
        </is>
      </c>
      <c r="D932" s="10" t="n">
        <v>37</v>
      </c>
    </row>
    <row r="933">
      <c r="A933" s="9" t="inlineStr">
        <is>
          <t>Коммерческая · Аренда</t>
        </is>
      </c>
      <c r="B933" s="9" t="inlineStr">
        <is>
          <t>Офис</t>
        </is>
      </c>
      <c r="C933" s="9" t="inlineStr">
        <is>
          <t>Ярославская область</t>
        </is>
      </c>
      <c r="D933" s="10" t="n">
        <v>270</v>
      </c>
    </row>
    <row r="934">
      <c r="A934" s="9" t="inlineStr">
        <is>
          <t>Коммерческая · Аренда</t>
        </is>
      </c>
      <c r="B934" s="9" t="inlineStr">
        <is>
          <t>Офис</t>
        </is>
      </c>
      <c r="C934" s="9" t="inlineStr">
        <is>
          <t>Республика Крым</t>
        </is>
      </c>
      <c r="D934" s="10" t="n">
        <v>182</v>
      </c>
    </row>
    <row r="935">
      <c r="A935" s="9" t="inlineStr">
        <is>
          <t>Коммерческая · Аренда</t>
        </is>
      </c>
      <c r="B935" s="9" t="inlineStr">
        <is>
          <t>Офис</t>
        </is>
      </c>
      <c r="C935" s="9" t="inlineStr">
        <is>
          <t>Севастополь</t>
        </is>
      </c>
      <c r="D935" s="10" t="n">
        <v>117</v>
      </c>
    </row>
    <row r="936">
      <c r="A936" s="9" t="inlineStr">
        <is>
          <t>Коммерческая · Аренда</t>
        </is>
      </c>
      <c r="B936" s="9" t="inlineStr">
        <is>
          <t>Офис</t>
        </is>
      </c>
      <c r="C936" s="9" t="inlineStr">
        <is>
          <t>Забайкальский край</t>
        </is>
      </c>
      <c r="D936" s="10" t="n">
        <v>22</v>
      </c>
    </row>
    <row r="937">
      <c r="A937" s="11" t="inlineStr">
        <is>
          <t>Коммерческая · Аренда</t>
        </is>
      </c>
      <c r="B937" s="12" t="inlineStr">
        <is>
          <t>Коворкинг</t>
        </is>
      </c>
      <c r="C937" s="13" t="inlineStr">
        <is>
          <t>Москва</t>
        </is>
      </c>
      <c r="D937" s="14" t="n">
        <v>507</v>
      </c>
    </row>
    <row r="938">
      <c r="A938" s="9" t="inlineStr">
        <is>
          <t>Коммерческая · Аренда</t>
        </is>
      </c>
      <c r="B938" s="9" t="inlineStr">
        <is>
          <t>Коворкинг</t>
        </is>
      </c>
      <c r="C938" s="9" t="inlineStr">
        <is>
          <t>Санкт-Петербург</t>
        </is>
      </c>
      <c r="D938" s="10" t="n">
        <v>81</v>
      </c>
    </row>
    <row r="939">
      <c r="A939" s="9" t="inlineStr">
        <is>
          <t>Коммерческая · Аренда</t>
        </is>
      </c>
      <c r="B939" s="9" t="inlineStr">
        <is>
          <t>Коворкинг</t>
        </is>
      </c>
      <c r="C939" s="9" t="inlineStr">
        <is>
          <t>Республика Адыгея</t>
        </is>
      </c>
      <c r="D939" s="10" t="n">
        <v>10</v>
      </c>
    </row>
    <row r="940">
      <c r="A940" s="9" t="inlineStr">
        <is>
          <t>Коммерческая · Аренда</t>
        </is>
      </c>
      <c r="B940" s="9" t="inlineStr">
        <is>
          <t>Коворкинг</t>
        </is>
      </c>
      <c r="C940" s="9" t="inlineStr">
        <is>
          <t>Республика Алтай</t>
        </is>
      </c>
      <c r="D940" s="10" t="n">
        <v>1</v>
      </c>
    </row>
    <row r="941">
      <c r="A941" s="9" t="inlineStr">
        <is>
          <t>Коммерческая · Аренда</t>
        </is>
      </c>
      <c r="B941" s="9" t="inlineStr">
        <is>
          <t>Коворкинг</t>
        </is>
      </c>
      <c r="C941" s="9" t="inlineStr">
        <is>
          <t>Алтайский край</t>
        </is>
      </c>
      <c r="D941" s="10" t="n">
        <v>22</v>
      </c>
    </row>
    <row r="942">
      <c r="A942" s="9" t="inlineStr">
        <is>
          <t>Коммерческая · Аренда</t>
        </is>
      </c>
      <c r="B942" s="9" t="inlineStr">
        <is>
          <t>Коворкинг</t>
        </is>
      </c>
      <c r="C942" s="9" t="inlineStr">
        <is>
          <t>Амурская область</t>
        </is>
      </c>
      <c r="D942" s="10" t="n">
        <v>6</v>
      </c>
    </row>
    <row r="943">
      <c r="A943" s="9" t="inlineStr">
        <is>
          <t>Коммерческая · Аренда</t>
        </is>
      </c>
      <c r="B943" s="9" t="inlineStr">
        <is>
          <t>Коворкинг</t>
        </is>
      </c>
      <c r="C943" s="9" t="inlineStr">
        <is>
          <t>Архангельская область</t>
        </is>
      </c>
      <c r="D943" s="10" t="n">
        <v>4</v>
      </c>
    </row>
    <row r="944">
      <c r="A944" s="9" t="inlineStr">
        <is>
          <t>Коммерческая · Аренда</t>
        </is>
      </c>
      <c r="B944" s="9" t="inlineStr">
        <is>
          <t>Коворкинг</t>
        </is>
      </c>
      <c r="C944" s="9" t="inlineStr">
        <is>
          <t>Астраханская область</t>
        </is>
      </c>
      <c r="D944" s="10" t="n">
        <v>12</v>
      </c>
    </row>
    <row r="945">
      <c r="A945" s="9" t="inlineStr">
        <is>
          <t>Коммерческая · Аренда</t>
        </is>
      </c>
      <c r="B945" s="9" t="inlineStr">
        <is>
          <t>Коворкинг</t>
        </is>
      </c>
      <c r="C945" s="9" t="inlineStr">
        <is>
          <t>Республика Башкортостан</t>
        </is>
      </c>
      <c r="D945" s="10" t="n">
        <v>35</v>
      </c>
    </row>
    <row r="946">
      <c r="A946" s="9" t="inlineStr">
        <is>
          <t>Коммерческая · Аренда</t>
        </is>
      </c>
      <c r="B946" s="9" t="inlineStr">
        <is>
          <t>Коворкинг</t>
        </is>
      </c>
      <c r="C946" s="9" t="inlineStr">
        <is>
          <t>Белгородская область</t>
        </is>
      </c>
      <c r="D946" s="10" t="n">
        <v>27</v>
      </c>
    </row>
    <row r="947">
      <c r="A947" s="9" t="inlineStr">
        <is>
          <t>Коммерческая · Аренда</t>
        </is>
      </c>
      <c r="B947" s="9" t="inlineStr">
        <is>
          <t>Коворкинг</t>
        </is>
      </c>
      <c r="C947" s="9" t="inlineStr">
        <is>
          <t>Брянская область</t>
        </is>
      </c>
      <c r="D947" s="10" t="n">
        <v>41</v>
      </c>
    </row>
    <row r="948">
      <c r="A948" s="9" t="inlineStr">
        <is>
          <t>Коммерческая · Аренда</t>
        </is>
      </c>
      <c r="B948" s="9" t="inlineStr">
        <is>
          <t>Коворкинг</t>
        </is>
      </c>
      <c r="C948" s="9" t="inlineStr">
        <is>
          <t>Республика Бурятия</t>
        </is>
      </c>
      <c r="D948" s="10" t="n">
        <v>2</v>
      </c>
    </row>
    <row r="949">
      <c r="A949" s="9" t="inlineStr">
        <is>
          <t>Коммерческая · Аренда</t>
        </is>
      </c>
      <c r="B949" s="9" t="inlineStr">
        <is>
          <t>Коворкинг</t>
        </is>
      </c>
      <c r="C949" s="9" t="inlineStr">
        <is>
          <t>Владимирская область</t>
        </is>
      </c>
      <c r="D949" s="10" t="n">
        <v>34</v>
      </c>
    </row>
    <row r="950">
      <c r="A950" s="9" t="inlineStr">
        <is>
          <t>Коммерческая · Аренда</t>
        </is>
      </c>
      <c r="B950" s="9" t="inlineStr">
        <is>
          <t>Коворкинг</t>
        </is>
      </c>
      <c r="C950" s="9" t="inlineStr">
        <is>
          <t>Волгоградская область</t>
        </is>
      </c>
      <c r="D950" s="10" t="n">
        <v>26</v>
      </c>
    </row>
    <row r="951">
      <c r="A951" s="9" t="inlineStr">
        <is>
          <t>Коммерческая · Аренда</t>
        </is>
      </c>
      <c r="B951" s="9" t="inlineStr">
        <is>
          <t>Коворкинг</t>
        </is>
      </c>
      <c r="C951" s="9" t="inlineStr">
        <is>
          <t>Вологодская область</t>
        </is>
      </c>
      <c r="D951" s="10" t="n">
        <v>6</v>
      </c>
    </row>
    <row r="952">
      <c r="A952" s="9" t="inlineStr">
        <is>
          <t>Коммерческая · Аренда</t>
        </is>
      </c>
      <c r="B952" s="9" t="inlineStr">
        <is>
          <t>Коворкинг</t>
        </is>
      </c>
      <c r="C952" s="9" t="inlineStr">
        <is>
          <t>Воронежская область</t>
        </is>
      </c>
      <c r="D952" s="10" t="n">
        <v>25</v>
      </c>
    </row>
    <row r="953">
      <c r="A953" s="9" t="inlineStr">
        <is>
          <t>Коммерческая · Аренда</t>
        </is>
      </c>
      <c r="B953" s="9" t="inlineStr">
        <is>
          <t>Коворкинг</t>
        </is>
      </c>
      <c r="C953" s="9" t="inlineStr">
        <is>
          <t>Республика Дагестан</t>
        </is>
      </c>
      <c r="D953" s="10" t="n">
        <v>9</v>
      </c>
    </row>
    <row r="954">
      <c r="A954" s="9" t="inlineStr">
        <is>
          <t>Коммерческая · Аренда</t>
        </is>
      </c>
      <c r="B954" s="9" t="inlineStr">
        <is>
          <t>Коворкинг</t>
        </is>
      </c>
      <c r="C954" s="9" t="inlineStr">
        <is>
          <t>Еврейская автономная область</t>
        </is>
      </c>
      <c r="D954" s="10" t="n">
        <v>2</v>
      </c>
    </row>
    <row r="955">
      <c r="A955" s="9" t="inlineStr">
        <is>
          <t>Коммерческая · Аренда</t>
        </is>
      </c>
      <c r="B955" s="9" t="inlineStr">
        <is>
          <t>Коворкинг</t>
        </is>
      </c>
      <c r="C955" s="9" t="inlineStr">
        <is>
          <t>Ивановская область</t>
        </is>
      </c>
      <c r="D955" s="10" t="n">
        <v>17</v>
      </c>
    </row>
    <row r="956">
      <c r="A956" s="9" t="inlineStr">
        <is>
          <t>Коммерческая · Аренда</t>
        </is>
      </c>
      <c r="B956" s="9" t="inlineStr">
        <is>
          <t>Коворкинг</t>
        </is>
      </c>
      <c r="C956" s="9" t="inlineStr">
        <is>
          <t>Республика Ингушетия</t>
        </is>
      </c>
      <c r="D956" s="10" t="n">
        <v>1</v>
      </c>
    </row>
    <row r="957">
      <c r="A957" s="9" t="inlineStr">
        <is>
          <t>Коммерческая · Аренда</t>
        </is>
      </c>
      <c r="B957" s="9" t="inlineStr">
        <is>
          <t>Коворкинг</t>
        </is>
      </c>
      <c r="C957" s="9" t="inlineStr">
        <is>
          <t>Иркутская область</t>
        </is>
      </c>
      <c r="D957" s="10" t="n">
        <v>24</v>
      </c>
    </row>
    <row r="958">
      <c r="A958" s="9" t="inlineStr">
        <is>
          <t>Коммерческая · Аренда</t>
        </is>
      </c>
      <c r="B958" s="9" t="inlineStr">
        <is>
          <t>Коворкинг</t>
        </is>
      </c>
      <c r="C958" s="9" t="inlineStr">
        <is>
          <t>Кабардино-Балкарская Республика</t>
        </is>
      </c>
      <c r="D958" s="10" t="n">
        <v>4</v>
      </c>
    </row>
    <row r="959">
      <c r="A959" s="9" t="inlineStr">
        <is>
          <t>Коммерческая · Аренда</t>
        </is>
      </c>
      <c r="B959" s="9" t="inlineStr">
        <is>
          <t>Коворкинг</t>
        </is>
      </c>
      <c r="C959" s="9" t="inlineStr">
        <is>
          <t>Калининградская область</t>
        </is>
      </c>
      <c r="D959" s="10" t="n">
        <v>21</v>
      </c>
    </row>
    <row r="960">
      <c r="A960" s="9" t="inlineStr">
        <is>
          <t>Коммерческая · Аренда</t>
        </is>
      </c>
      <c r="B960" s="9" t="inlineStr">
        <is>
          <t>Коворкинг</t>
        </is>
      </c>
      <c r="C960" s="9" t="inlineStr">
        <is>
          <t>Республика Калмыкия</t>
        </is>
      </c>
      <c r="D960" s="10" t="n">
        <v>1</v>
      </c>
    </row>
    <row r="961">
      <c r="A961" s="9" t="inlineStr">
        <is>
          <t>Коммерческая · Аренда</t>
        </is>
      </c>
      <c r="B961" s="9" t="inlineStr">
        <is>
          <t>Коворкинг</t>
        </is>
      </c>
      <c r="C961" s="9" t="inlineStr">
        <is>
          <t>Калужская область</t>
        </is>
      </c>
      <c r="D961" s="10" t="n">
        <v>28</v>
      </c>
    </row>
    <row r="962">
      <c r="A962" s="9" t="inlineStr">
        <is>
          <t>Коммерческая · Аренда</t>
        </is>
      </c>
      <c r="B962" s="9" t="inlineStr">
        <is>
          <t>Коворкинг</t>
        </is>
      </c>
      <c r="C962" s="9" t="inlineStr">
        <is>
          <t>Камчатский край</t>
        </is>
      </c>
      <c r="D962" s="10" t="n">
        <v>1</v>
      </c>
    </row>
    <row r="963">
      <c r="A963" s="9" t="inlineStr">
        <is>
          <t>Коммерческая · Аренда</t>
        </is>
      </c>
      <c r="B963" s="9" t="inlineStr">
        <is>
          <t>Коворкинг</t>
        </is>
      </c>
      <c r="C963" s="9" t="inlineStr">
        <is>
          <t>Карачаево-Черкесская Республика</t>
        </is>
      </c>
      <c r="D963" s="10" t="n">
        <v>3</v>
      </c>
    </row>
    <row r="964">
      <c r="A964" s="9" t="inlineStr">
        <is>
          <t>Коммерческая · Аренда</t>
        </is>
      </c>
      <c r="B964" s="9" t="inlineStr">
        <is>
          <t>Коворкинг</t>
        </is>
      </c>
      <c r="C964" s="9" t="inlineStr">
        <is>
          <t>Республика Карелия</t>
        </is>
      </c>
      <c r="D964" s="10" t="n">
        <v>8</v>
      </c>
    </row>
    <row r="965">
      <c r="A965" s="9" t="inlineStr">
        <is>
          <t>Коммерческая · Аренда</t>
        </is>
      </c>
      <c r="B965" s="9" t="inlineStr">
        <is>
          <t>Коворкинг</t>
        </is>
      </c>
      <c r="C965" s="9" t="inlineStr">
        <is>
          <t>Кемеровская область</t>
        </is>
      </c>
      <c r="D965" s="10" t="n">
        <v>28</v>
      </c>
    </row>
    <row r="966">
      <c r="A966" s="9" t="inlineStr">
        <is>
          <t>Коммерческая · Аренда</t>
        </is>
      </c>
      <c r="B966" s="9" t="inlineStr">
        <is>
          <t>Коворкинг</t>
        </is>
      </c>
      <c r="C966" s="9" t="inlineStr">
        <is>
          <t>Кировская область</t>
        </is>
      </c>
      <c r="D966" s="10" t="n">
        <v>23</v>
      </c>
    </row>
    <row r="967">
      <c r="A967" s="9" t="inlineStr">
        <is>
          <t>Коммерческая · Аренда</t>
        </is>
      </c>
      <c r="B967" s="9" t="inlineStr">
        <is>
          <t>Коворкинг</t>
        </is>
      </c>
      <c r="C967" s="9" t="inlineStr">
        <is>
          <t>Республика Коми</t>
        </is>
      </c>
      <c r="D967" s="10" t="n">
        <v>10</v>
      </c>
    </row>
    <row r="968">
      <c r="A968" s="9" t="inlineStr">
        <is>
          <t>Коммерческая · Аренда</t>
        </is>
      </c>
      <c r="B968" s="9" t="inlineStr">
        <is>
          <t>Коворкинг</t>
        </is>
      </c>
      <c r="C968" s="9" t="inlineStr">
        <is>
          <t>Костромская область</t>
        </is>
      </c>
      <c r="D968" s="10" t="n">
        <v>5</v>
      </c>
    </row>
    <row r="969">
      <c r="A969" s="9" t="inlineStr">
        <is>
          <t>Коммерческая · Аренда</t>
        </is>
      </c>
      <c r="B969" s="9" t="inlineStr">
        <is>
          <t>Коворкинг</t>
        </is>
      </c>
      <c r="C969" s="9" t="inlineStr">
        <is>
          <t>Краснодарский край</t>
        </is>
      </c>
      <c r="D969" s="10" t="n">
        <v>151</v>
      </c>
    </row>
    <row r="970">
      <c r="A970" s="9" t="inlineStr">
        <is>
          <t>Коммерческая · Аренда</t>
        </is>
      </c>
      <c r="B970" s="9" t="inlineStr">
        <is>
          <t>Коворкинг</t>
        </is>
      </c>
      <c r="C970" s="9" t="inlineStr">
        <is>
          <t>Красноярский край</t>
        </is>
      </c>
      <c r="D970" s="10" t="n">
        <v>32</v>
      </c>
    </row>
    <row r="971">
      <c r="A971" s="9" t="inlineStr">
        <is>
          <t>Коммерческая · Аренда</t>
        </is>
      </c>
      <c r="B971" s="9" t="inlineStr">
        <is>
          <t>Коворкинг</t>
        </is>
      </c>
      <c r="C971" s="9" t="inlineStr">
        <is>
          <t>Курганская область</t>
        </is>
      </c>
      <c r="D971" s="10" t="n">
        <v>12</v>
      </c>
    </row>
    <row r="972">
      <c r="A972" s="9" t="inlineStr">
        <is>
          <t>Коммерческая · Аренда</t>
        </is>
      </c>
      <c r="B972" s="9" t="inlineStr">
        <is>
          <t>Коворкинг</t>
        </is>
      </c>
      <c r="C972" s="9" t="inlineStr">
        <is>
          <t>Курская область</t>
        </is>
      </c>
      <c r="D972" s="10" t="n">
        <v>24</v>
      </c>
    </row>
    <row r="973">
      <c r="A973" s="9" t="inlineStr">
        <is>
          <t>Коммерческая · Аренда</t>
        </is>
      </c>
      <c r="B973" s="9" t="inlineStr">
        <is>
          <t>Коворкинг</t>
        </is>
      </c>
      <c r="C973" s="9" t="inlineStr">
        <is>
          <t>Ленинградская область</t>
        </is>
      </c>
      <c r="D973" s="10" t="n">
        <v>52</v>
      </c>
    </row>
    <row r="974">
      <c r="A974" s="9" t="inlineStr">
        <is>
          <t>Коммерческая · Аренда</t>
        </is>
      </c>
      <c r="B974" s="9" t="inlineStr">
        <is>
          <t>Коворкинг</t>
        </is>
      </c>
      <c r="C974" s="9" t="inlineStr">
        <is>
          <t>Липецкая область</t>
        </is>
      </c>
      <c r="D974" s="10" t="n">
        <v>24</v>
      </c>
    </row>
    <row r="975">
      <c r="A975" s="9" t="inlineStr">
        <is>
          <t>Коммерческая · Аренда</t>
        </is>
      </c>
      <c r="B975" s="9" t="inlineStr">
        <is>
          <t>Коворкинг</t>
        </is>
      </c>
      <c r="C975" s="9" t="inlineStr">
        <is>
          <t>Магаданская область</t>
        </is>
      </c>
      <c r="D975" s="10" t="n">
        <v>1</v>
      </c>
    </row>
    <row r="976">
      <c r="A976" s="9" t="inlineStr">
        <is>
          <t>Коммерческая · Аренда</t>
        </is>
      </c>
      <c r="B976" s="9" t="inlineStr">
        <is>
          <t>Коворкинг</t>
        </is>
      </c>
      <c r="C976" s="9" t="inlineStr">
        <is>
          <t>Республика Марий Эл</t>
        </is>
      </c>
      <c r="D976" s="10" t="n">
        <v>6</v>
      </c>
    </row>
    <row r="977">
      <c r="A977" s="9" t="inlineStr">
        <is>
          <t>Коммерческая · Аренда</t>
        </is>
      </c>
      <c r="B977" s="9" t="inlineStr">
        <is>
          <t>Коворкинг</t>
        </is>
      </c>
      <c r="C977" s="9" t="inlineStr">
        <is>
          <t>Республика Мордовия</t>
        </is>
      </c>
      <c r="D977" s="10" t="n">
        <v>5</v>
      </c>
    </row>
    <row r="978">
      <c r="A978" s="9" t="inlineStr">
        <is>
          <t>Коммерческая · Аренда</t>
        </is>
      </c>
      <c r="B978" s="9" t="inlineStr">
        <is>
          <t>Коворкинг</t>
        </is>
      </c>
      <c r="C978" s="9" t="inlineStr">
        <is>
          <t>Московская область</t>
        </is>
      </c>
      <c r="D978" s="10" t="n">
        <v>248</v>
      </c>
    </row>
    <row r="979">
      <c r="A979" s="9" t="inlineStr">
        <is>
          <t>Коммерческая · Аренда</t>
        </is>
      </c>
      <c r="B979" s="9" t="inlineStr">
        <is>
          <t>Коворкинг</t>
        </is>
      </c>
      <c r="C979" s="9" t="inlineStr">
        <is>
          <t>Мурманская область</t>
        </is>
      </c>
      <c r="D979" s="10" t="n">
        <v>11</v>
      </c>
    </row>
    <row r="980">
      <c r="A980" s="9" t="inlineStr">
        <is>
          <t>Коммерческая · Аренда</t>
        </is>
      </c>
      <c r="B980" s="9" t="inlineStr">
        <is>
          <t>Коворкинг</t>
        </is>
      </c>
      <c r="C980" s="9" t="inlineStr">
        <is>
          <t>Ненецкий автономный округ</t>
        </is>
      </c>
      <c r="D980" s="10" t="n">
        <v>0</v>
      </c>
    </row>
    <row r="981">
      <c r="A981" s="9" t="inlineStr">
        <is>
          <t>Коммерческая · Аренда</t>
        </is>
      </c>
      <c r="B981" s="9" t="inlineStr">
        <is>
          <t>Коворкинг</t>
        </is>
      </c>
      <c r="C981" s="9" t="inlineStr">
        <is>
          <t>Нижегородская область</t>
        </is>
      </c>
      <c r="D981" s="10" t="n">
        <v>48</v>
      </c>
    </row>
    <row r="982">
      <c r="A982" s="9" t="inlineStr">
        <is>
          <t>Коммерческая · Аренда</t>
        </is>
      </c>
      <c r="B982" s="9" t="inlineStr">
        <is>
          <t>Коворкинг</t>
        </is>
      </c>
      <c r="C982" s="9" t="inlineStr">
        <is>
          <t>Новгородская область</t>
        </is>
      </c>
      <c r="D982" s="10" t="n">
        <v>10</v>
      </c>
    </row>
    <row r="983">
      <c r="A983" s="9" t="inlineStr">
        <is>
          <t>Коммерческая · Аренда</t>
        </is>
      </c>
      <c r="B983" s="9" t="inlineStr">
        <is>
          <t>Коворкинг</t>
        </is>
      </c>
      <c r="C983" s="9" t="inlineStr">
        <is>
          <t>Новосибирская область</t>
        </is>
      </c>
      <c r="D983" s="10" t="n">
        <v>64</v>
      </c>
    </row>
    <row r="984">
      <c r="A984" s="9" t="inlineStr">
        <is>
          <t>Коммерческая · Аренда</t>
        </is>
      </c>
      <c r="B984" s="9" t="inlineStr">
        <is>
          <t>Коворкинг</t>
        </is>
      </c>
      <c r="C984" s="9" t="inlineStr">
        <is>
          <t>Омская область</t>
        </is>
      </c>
      <c r="D984" s="10" t="n">
        <v>28</v>
      </c>
    </row>
    <row r="985">
      <c r="A985" s="9" t="inlineStr">
        <is>
          <t>Коммерческая · Аренда</t>
        </is>
      </c>
      <c r="B985" s="9" t="inlineStr">
        <is>
          <t>Коворкинг</t>
        </is>
      </c>
      <c r="C985" s="9" t="inlineStr">
        <is>
          <t>Оренбургская область</t>
        </is>
      </c>
      <c r="D985" s="10" t="n">
        <v>17</v>
      </c>
    </row>
    <row r="986">
      <c r="A986" s="9" t="inlineStr">
        <is>
          <t>Коммерческая · Аренда</t>
        </is>
      </c>
      <c r="B986" s="9" t="inlineStr">
        <is>
          <t>Коворкинг</t>
        </is>
      </c>
      <c r="C986" s="9" t="inlineStr">
        <is>
          <t>Орловская область</t>
        </is>
      </c>
      <c r="D986" s="10" t="n">
        <v>14</v>
      </c>
    </row>
    <row r="987">
      <c r="A987" s="9" t="inlineStr">
        <is>
          <t>Коммерческая · Аренда</t>
        </is>
      </c>
      <c r="B987" s="9" t="inlineStr">
        <is>
          <t>Коворкинг</t>
        </is>
      </c>
      <c r="C987" s="9" t="inlineStr">
        <is>
          <t>Пензенская область</t>
        </is>
      </c>
      <c r="D987" s="10" t="n">
        <v>10</v>
      </c>
    </row>
    <row r="988">
      <c r="A988" s="9" t="inlineStr">
        <is>
          <t>Коммерческая · Аренда</t>
        </is>
      </c>
      <c r="B988" s="9" t="inlineStr">
        <is>
          <t>Коворкинг</t>
        </is>
      </c>
      <c r="C988" s="9" t="inlineStr">
        <is>
          <t>Пермский край</t>
        </is>
      </c>
      <c r="D988" s="10" t="n">
        <v>32</v>
      </c>
    </row>
    <row r="989">
      <c r="A989" s="9" t="inlineStr">
        <is>
          <t>Коммерческая · Аренда</t>
        </is>
      </c>
      <c r="B989" s="9" t="inlineStr">
        <is>
          <t>Коворкинг</t>
        </is>
      </c>
      <c r="C989" s="9" t="inlineStr">
        <is>
          <t>Приморский край</t>
        </is>
      </c>
      <c r="D989" s="10" t="n">
        <v>15</v>
      </c>
    </row>
    <row r="990">
      <c r="A990" s="9" t="inlineStr">
        <is>
          <t>Коммерческая · Аренда</t>
        </is>
      </c>
      <c r="B990" s="9" t="inlineStr">
        <is>
          <t>Коворкинг</t>
        </is>
      </c>
      <c r="C990" s="9" t="inlineStr">
        <is>
          <t>Псковская область</t>
        </is>
      </c>
      <c r="D990" s="10" t="n">
        <v>4</v>
      </c>
    </row>
    <row r="991">
      <c r="A991" s="9" t="inlineStr">
        <is>
          <t>Коммерческая · Аренда</t>
        </is>
      </c>
      <c r="B991" s="9" t="inlineStr">
        <is>
          <t>Коворкинг</t>
        </is>
      </c>
      <c r="C991" s="9" t="inlineStr">
        <is>
          <t>Ростовская область</t>
        </is>
      </c>
      <c r="D991" s="10" t="n">
        <v>80</v>
      </c>
    </row>
    <row r="992">
      <c r="A992" s="9" t="inlineStr">
        <is>
          <t>Коммерческая · Аренда</t>
        </is>
      </c>
      <c r="B992" s="9" t="inlineStr">
        <is>
          <t>Коворкинг</t>
        </is>
      </c>
      <c r="C992" s="9" t="inlineStr">
        <is>
          <t>Рязанская область</t>
        </is>
      </c>
      <c r="D992" s="10" t="n">
        <v>27</v>
      </c>
    </row>
    <row r="993">
      <c r="A993" s="9" t="inlineStr">
        <is>
          <t>Коммерческая · Аренда</t>
        </is>
      </c>
      <c r="B993" s="9" t="inlineStr">
        <is>
          <t>Коворкинг</t>
        </is>
      </c>
      <c r="C993" s="9" t="inlineStr">
        <is>
          <t>Самарская область</t>
        </is>
      </c>
      <c r="D993" s="10" t="n">
        <v>62</v>
      </c>
    </row>
    <row r="994">
      <c r="A994" s="9" t="inlineStr">
        <is>
          <t>Коммерческая · Аренда</t>
        </is>
      </c>
      <c r="B994" s="9" t="inlineStr">
        <is>
          <t>Коворкинг</t>
        </is>
      </c>
      <c r="C994" s="9" t="inlineStr">
        <is>
          <t>Саратовская область</t>
        </is>
      </c>
      <c r="D994" s="10" t="n">
        <v>34</v>
      </c>
    </row>
    <row r="995">
      <c r="A995" s="9" t="inlineStr">
        <is>
          <t>Коммерческая · Аренда</t>
        </is>
      </c>
      <c r="B995" s="9" t="inlineStr">
        <is>
          <t>Коворкинг</t>
        </is>
      </c>
      <c r="C995" s="9" t="inlineStr">
        <is>
          <t>Республика Саха (Якутия)</t>
        </is>
      </c>
      <c r="D995" s="10" t="n">
        <v>4</v>
      </c>
    </row>
    <row r="996">
      <c r="A996" s="9" t="inlineStr">
        <is>
          <t>Коммерческая · Аренда</t>
        </is>
      </c>
      <c r="B996" s="9" t="inlineStr">
        <is>
          <t>Коворкинг</t>
        </is>
      </c>
      <c r="C996" s="9" t="inlineStr">
        <is>
          <t>Сахалинская область</t>
        </is>
      </c>
      <c r="D996" s="10" t="n">
        <v>7</v>
      </c>
    </row>
    <row r="997">
      <c r="A997" s="9" t="inlineStr">
        <is>
          <t>Коммерческая · Аренда</t>
        </is>
      </c>
      <c r="B997" s="9" t="inlineStr">
        <is>
          <t>Коворкинг</t>
        </is>
      </c>
      <c r="C997" s="9" t="inlineStr">
        <is>
          <t>Свердловская область</t>
        </is>
      </c>
      <c r="D997" s="10" t="n">
        <v>62</v>
      </c>
    </row>
    <row r="998">
      <c r="A998" s="9" t="inlineStr">
        <is>
          <t>Коммерческая · Аренда</t>
        </is>
      </c>
      <c r="B998" s="9" t="inlineStr">
        <is>
          <t>Коворкинг</t>
        </is>
      </c>
      <c r="C998" s="9" t="inlineStr">
        <is>
          <t>Республика Северная Осетия - Алания</t>
        </is>
      </c>
      <c r="D998" s="10" t="n">
        <v>4</v>
      </c>
    </row>
    <row r="999">
      <c r="A999" s="9" t="inlineStr">
        <is>
          <t>Коммерческая · Аренда</t>
        </is>
      </c>
      <c r="B999" s="9" t="inlineStr">
        <is>
          <t>Коворкинг</t>
        </is>
      </c>
      <c r="C999" s="9" t="inlineStr">
        <is>
          <t>Смоленская область</t>
        </is>
      </c>
      <c r="D999" s="10" t="n">
        <v>8</v>
      </c>
    </row>
    <row r="1000">
      <c r="A1000" s="9" t="inlineStr">
        <is>
          <t>Коммерческая · Аренда</t>
        </is>
      </c>
      <c r="B1000" s="9" t="inlineStr">
        <is>
          <t>Коворкинг</t>
        </is>
      </c>
      <c r="C1000" s="9" t="inlineStr">
        <is>
          <t>Ставропольский край</t>
        </is>
      </c>
      <c r="D1000" s="10" t="n">
        <v>32</v>
      </c>
    </row>
    <row r="1001">
      <c r="A1001" s="9" t="inlineStr">
        <is>
          <t>Коммерческая · Аренда</t>
        </is>
      </c>
      <c r="B1001" s="9" t="inlineStr">
        <is>
          <t>Коворкинг</t>
        </is>
      </c>
      <c r="C1001" s="9" t="inlineStr">
        <is>
          <t>Тамбовская область</t>
        </is>
      </c>
      <c r="D1001" s="10" t="n">
        <v>13</v>
      </c>
    </row>
    <row r="1002">
      <c r="A1002" s="9" t="inlineStr">
        <is>
          <t>Коммерческая · Аренда</t>
        </is>
      </c>
      <c r="B1002" s="9" t="inlineStr">
        <is>
          <t>Коворкинг</t>
        </is>
      </c>
      <c r="C1002" s="9" t="inlineStr">
        <is>
          <t>Республика Татарстан</t>
        </is>
      </c>
      <c r="D1002" s="10" t="n">
        <v>53</v>
      </c>
    </row>
    <row r="1003">
      <c r="A1003" s="9" t="inlineStr">
        <is>
          <t>Коммерческая · Аренда</t>
        </is>
      </c>
      <c r="B1003" s="9" t="inlineStr">
        <is>
          <t>Коворкинг</t>
        </is>
      </c>
      <c r="C1003" s="9" t="inlineStr">
        <is>
          <t>Тверская область</t>
        </is>
      </c>
      <c r="D1003" s="10" t="n">
        <v>34</v>
      </c>
    </row>
    <row r="1004">
      <c r="A1004" s="9" t="inlineStr">
        <is>
          <t>Коммерческая · Аренда</t>
        </is>
      </c>
      <c r="B1004" s="9" t="inlineStr">
        <is>
          <t>Коворкинг</t>
        </is>
      </c>
      <c r="C1004" s="9" t="inlineStr">
        <is>
          <t>Томская область</t>
        </is>
      </c>
      <c r="D1004" s="10" t="n">
        <v>34</v>
      </c>
    </row>
    <row r="1005">
      <c r="A1005" s="9" t="inlineStr">
        <is>
          <t>Коммерческая · Аренда</t>
        </is>
      </c>
      <c r="B1005" s="9" t="inlineStr">
        <is>
          <t>Коворкинг</t>
        </is>
      </c>
      <c r="C1005" s="9" t="inlineStr">
        <is>
          <t>Тульская область</t>
        </is>
      </c>
      <c r="D1005" s="10" t="n">
        <v>45</v>
      </c>
    </row>
    <row r="1006">
      <c r="A1006" s="9" t="inlineStr">
        <is>
          <t>Коммерческая · Аренда</t>
        </is>
      </c>
      <c r="B1006" s="9" t="inlineStr">
        <is>
          <t>Коворкинг</t>
        </is>
      </c>
      <c r="C1006" s="9" t="inlineStr">
        <is>
          <t>Республика Тыва</t>
        </is>
      </c>
      <c r="D1006" s="10" t="n">
        <v>1</v>
      </c>
    </row>
    <row r="1007">
      <c r="A1007" s="9" t="inlineStr">
        <is>
          <t>Коммерческая · Аренда</t>
        </is>
      </c>
      <c r="B1007" s="9" t="inlineStr">
        <is>
          <t>Коворкинг</t>
        </is>
      </c>
      <c r="C1007" s="9" t="inlineStr">
        <is>
          <t>Тюменская область</t>
        </is>
      </c>
      <c r="D1007" s="10" t="n">
        <v>21</v>
      </c>
    </row>
    <row r="1008">
      <c r="A1008" s="9" t="inlineStr">
        <is>
          <t>Коммерческая · Аренда</t>
        </is>
      </c>
      <c r="B1008" s="9" t="inlineStr">
        <is>
          <t>Коворкинг</t>
        </is>
      </c>
      <c r="C1008" s="9" t="inlineStr">
        <is>
          <t>Удмуртская Республика</t>
        </is>
      </c>
      <c r="D1008" s="10" t="n">
        <v>3</v>
      </c>
    </row>
    <row r="1009">
      <c r="A1009" s="9" t="inlineStr">
        <is>
          <t>Коммерческая · Аренда</t>
        </is>
      </c>
      <c r="B1009" s="9" t="inlineStr">
        <is>
          <t>Коворкинг</t>
        </is>
      </c>
      <c r="C1009" s="9" t="inlineStr">
        <is>
          <t>Ульяновская область</t>
        </is>
      </c>
      <c r="D1009" s="10" t="n">
        <v>17</v>
      </c>
    </row>
    <row r="1010">
      <c r="A1010" s="9" t="inlineStr">
        <is>
          <t>Коммерческая · Аренда</t>
        </is>
      </c>
      <c r="B1010" s="9" t="inlineStr">
        <is>
          <t>Коворкинг</t>
        </is>
      </c>
      <c r="C1010" s="9" t="inlineStr">
        <is>
          <t>Хабаровский край</t>
        </is>
      </c>
      <c r="D1010" s="10" t="n">
        <v>9</v>
      </c>
    </row>
    <row r="1011">
      <c r="A1011" s="9" t="inlineStr">
        <is>
          <t>Коммерческая · Аренда</t>
        </is>
      </c>
      <c r="B1011" s="9" t="inlineStr">
        <is>
          <t>Коворкинг</t>
        </is>
      </c>
      <c r="C1011" s="9" t="inlineStr">
        <is>
          <t>Республика Хакасия</t>
        </is>
      </c>
      <c r="D1011" s="10" t="n">
        <v>6</v>
      </c>
    </row>
    <row r="1012">
      <c r="A1012" s="9" t="inlineStr">
        <is>
          <t>Коммерческая · Аренда</t>
        </is>
      </c>
      <c r="B1012" s="9" t="inlineStr">
        <is>
          <t>Коворкинг</t>
        </is>
      </c>
      <c r="C1012" s="9" t="inlineStr">
        <is>
          <t>Ханты-Мансийский автономный округ</t>
        </is>
      </c>
      <c r="D1012" s="10" t="n">
        <v>19</v>
      </c>
    </row>
    <row r="1013">
      <c r="A1013" s="9" t="inlineStr">
        <is>
          <t>Коммерческая · Аренда</t>
        </is>
      </c>
      <c r="B1013" s="9" t="inlineStr">
        <is>
          <t>Коворкинг</t>
        </is>
      </c>
      <c r="C1013" s="9" t="inlineStr">
        <is>
          <t>Челябинская область</t>
        </is>
      </c>
      <c r="D1013" s="10" t="n">
        <v>54</v>
      </c>
    </row>
    <row r="1014">
      <c r="A1014" s="9" t="inlineStr">
        <is>
          <t>Коммерческая · Аренда</t>
        </is>
      </c>
      <c r="B1014" s="9" t="inlineStr">
        <is>
          <t>Коворкинг</t>
        </is>
      </c>
      <c r="C1014" s="9" t="inlineStr">
        <is>
          <t>Чеченская Республика</t>
        </is>
      </c>
      <c r="D1014" s="10" t="n">
        <v>3</v>
      </c>
    </row>
    <row r="1015">
      <c r="A1015" s="9" t="inlineStr">
        <is>
          <t>Коммерческая · Аренда</t>
        </is>
      </c>
      <c r="B1015" s="9" t="inlineStr">
        <is>
          <t>Коворкинг</t>
        </is>
      </c>
      <c r="C1015" s="9" t="inlineStr">
        <is>
          <t>Чувашская Республика</t>
        </is>
      </c>
      <c r="D1015" s="10" t="n">
        <v>8</v>
      </c>
    </row>
    <row r="1016">
      <c r="A1016" s="9" t="inlineStr">
        <is>
          <t>Коммерческая · Аренда</t>
        </is>
      </c>
      <c r="B1016" s="9" t="inlineStr">
        <is>
          <t>Коворкинг</t>
        </is>
      </c>
      <c r="C1016" s="9" t="inlineStr">
        <is>
          <t>Чукотский автономный округ</t>
        </is>
      </c>
      <c r="D1016" s="10" t="n">
        <v>0</v>
      </c>
    </row>
    <row r="1017">
      <c r="A1017" s="9" t="inlineStr">
        <is>
          <t>Коммерческая · Аренда</t>
        </is>
      </c>
      <c r="B1017" s="9" t="inlineStr">
        <is>
          <t>Коворкинг</t>
        </is>
      </c>
      <c r="C1017" s="9" t="inlineStr">
        <is>
          <t>Ямало-Ненецкий автономный округ</t>
        </is>
      </c>
      <c r="D1017" s="10" t="n">
        <v>4</v>
      </c>
    </row>
    <row r="1018">
      <c r="A1018" s="9" t="inlineStr">
        <is>
          <t>Коммерческая · Аренда</t>
        </is>
      </c>
      <c r="B1018" s="9" t="inlineStr">
        <is>
          <t>Коворкинг</t>
        </is>
      </c>
      <c r="C1018" s="9" t="inlineStr">
        <is>
          <t>Ярославская область</t>
        </is>
      </c>
      <c r="D1018" s="10" t="n">
        <v>32</v>
      </c>
    </row>
    <row r="1019">
      <c r="A1019" s="9" t="inlineStr">
        <is>
          <t>Коммерческая · Аренда</t>
        </is>
      </c>
      <c r="B1019" s="9" t="inlineStr">
        <is>
          <t>Коворкинг</t>
        </is>
      </c>
      <c r="C1019" s="9" t="inlineStr">
        <is>
          <t>Республика Крым</t>
        </is>
      </c>
      <c r="D1019" s="10" t="n">
        <v>31</v>
      </c>
    </row>
    <row r="1020">
      <c r="A1020" s="9" t="inlineStr">
        <is>
          <t>Коммерческая · Аренда</t>
        </is>
      </c>
      <c r="B1020" s="9" t="inlineStr">
        <is>
          <t>Коворкинг</t>
        </is>
      </c>
      <c r="C1020" s="9" t="inlineStr">
        <is>
          <t>Севастополь</t>
        </is>
      </c>
      <c r="D1020" s="10" t="n">
        <v>9</v>
      </c>
    </row>
    <row r="1021">
      <c r="A1021" s="9" t="inlineStr">
        <is>
          <t>Коммерческая · Аренда</t>
        </is>
      </c>
      <c r="B1021" s="9" t="inlineStr">
        <is>
          <t>Коворкинг</t>
        </is>
      </c>
      <c r="C1021" s="9" t="inlineStr">
        <is>
          <t>Забайкальский край</t>
        </is>
      </c>
      <c r="D1021" s="10" t="n">
        <v>4</v>
      </c>
    </row>
    <row r="1022">
      <c r="A1022" s="11" t="inlineStr">
        <is>
          <t>Коммерческая · Аренда</t>
        </is>
      </c>
      <c r="B1022" s="12" t="inlineStr">
        <is>
          <t>Торговая площадь</t>
        </is>
      </c>
      <c r="C1022" s="13" t="inlineStr">
        <is>
          <t>Москва</t>
        </is>
      </c>
      <c r="D1022" s="14" t="n">
        <v>6342</v>
      </c>
    </row>
    <row r="1023">
      <c r="A1023" s="9" t="inlineStr">
        <is>
          <t>Коммерческая · Аренда</t>
        </is>
      </c>
      <c r="B1023" s="9" t="inlineStr">
        <is>
          <t>Торговая площадь</t>
        </is>
      </c>
      <c r="C1023" s="9" t="inlineStr">
        <is>
          <t>Санкт-Петербург</t>
        </is>
      </c>
      <c r="D1023" s="10" t="n">
        <v>986</v>
      </c>
    </row>
    <row r="1024">
      <c r="A1024" s="9" t="inlineStr">
        <is>
          <t>Коммерческая · Аренда</t>
        </is>
      </c>
      <c r="B1024" s="9" t="inlineStr">
        <is>
          <t>Торговая площадь</t>
        </is>
      </c>
      <c r="C1024" s="9" t="inlineStr">
        <is>
          <t>Республика Адыгея</t>
        </is>
      </c>
      <c r="D1024" s="10" t="n">
        <v>31</v>
      </c>
    </row>
    <row r="1025">
      <c r="A1025" s="9" t="inlineStr">
        <is>
          <t>Коммерческая · Аренда</t>
        </is>
      </c>
      <c r="B1025" s="9" t="inlineStr">
        <is>
          <t>Торговая площадь</t>
        </is>
      </c>
      <c r="C1025" s="9" t="inlineStr">
        <is>
          <t>Республика Алтай</t>
        </is>
      </c>
      <c r="D1025" s="10" t="n">
        <v>12</v>
      </c>
    </row>
    <row r="1026">
      <c r="A1026" s="9" t="inlineStr">
        <is>
          <t>Коммерческая · Аренда</t>
        </is>
      </c>
      <c r="B1026" s="9" t="inlineStr">
        <is>
          <t>Торговая площадь</t>
        </is>
      </c>
      <c r="C1026" s="9" t="inlineStr">
        <is>
          <t>Алтайский край</t>
        </is>
      </c>
      <c r="D1026" s="10" t="n">
        <v>124</v>
      </c>
    </row>
    <row r="1027">
      <c r="A1027" s="9" t="inlineStr">
        <is>
          <t>Коммерческая · Аренда</t>
        </is>
      </c>
      <c r="B1027" s="9" t="inlineStr">
        <is>
          <t>Торговая площадь</t>
        </is>
      </c>
      <c r="C1027" s="9" t="inlineStr">
        <is>
          <t>Амурская область</t>
        </is>
      </c>
      <c r="D1027" s="10" t="n">
        <v>20</v>
      </c>
    </row>
    <row r="1028">
      <c r="A1028" s="9" t="inlineStr">
        <is>
          <t>Коммерческая · Аренда</t>
        </is>
      </c>
      <c r="B1028" s="9" t="inlineStr">
        <is>
          <t>Торговая площадь</t>
        </is>
      </c>
      <c r="C1028" s="9" t="inlineStr">
        <is>
          <t>Архангельская область</t>
        </is>
      </c>
      <c r="D1028" s="10" t="n">
        <v>64</v>
      </c>
    </row>
    <row r="1029">
      <c r="A1029" s="9" t="inlineStr">
        <is>
          <t>Коммерческая · Аренда</t>
        </is>
      </c>
      <c r="B1029" s="9" t="inlineStr">
        <is>
          <t>Торговая площадь</t>
        </is>
      </c>
      <c r="C1029" s="9" t="inlineStr">
        <is>
          <t>Астраханская область</t>
        </is>
      </c>
      <c r="D1029" s="10" t="n">
        <v>45</v>
      </c>
    </row>
    <row r="1030">
      <c r="A1030" s="9" t="inlineStr">
        <is>
          <t>Коммерческая · Аренда</t>
        </is>
      </c>
      <c r="B1030" s="9" t="inlineStr">
        <is>
          <t>Торговая площадь</t>
        </is>
      </c>
      <c r="C1030" s="9" t="inlineStr">
        <is>
          <t>Республика Башкортостан</t>
        </is>
      </c>
      <c r="D1030" s="10" t="n">
        <v>186</v>
      </c>
    </row>
    <row r="1031">
      <c r="A1031" s="9" t="inlineStr">
        <is>
          <t>Коммерческая · Аренда</t>
        </is>
      </c>
      <c r="B1031" s="9" t="inlineStr">
        <is>
          <t>Торговая площадь</t>
        </is>
      </c>
      <c r="C1031" s="9" t="inlineStr">
        <is>
          <t>Белгородская область</t>
        </is>
      </c>
      <c r="D1031" s="10" t="n">
        <v>327</v>
      </c>
    </row>
    <row r="1032">
      <c r="A1032" s="9" t="inlineStr">
        <is>
          <t>Коммерческая · Аренда</t>
        </is>
      </c>
      <c r="B1032" s="9" t="inlineStr">
        <is>
          <t>Торговая площадь</t>
        </is>
      </c>
      <c r="C1032" s="9" t="inlineStr">
        <is>
          <t>Брянская область</t>
        </is>
      </c>
      <c r="D1032" s="10" t="n">
        <v>216</v>
      </c>
    </row>
    <row r="1033">
      <c r="A1033" s="9" t="inlineStr">
        <is>
          <t>Коммерческая · Аренда</t>
        </is>
      </c>
      <c r="B1033" s="9" t="inlineStr">
        <is>
          <t>Торговая площадь</t>
        </is>
      </c>
      <c r="C1033" s="9" t="inlineStr">
        <is>
          <t>Республика Бурятия</t>
        </is>
      </c>
      <c r="D1033" s="10" t="n">
        <v>20</v>
      </c>
    </row>
    <row r="1034">
      <c r="A1034" s="9" t="inlineStr">
        <is>
          <t>Коммерческая · Аренда</t>
        </is>
      </c>
      <c r="B1034" s="9" t="inlineStr">
        <is>
          <t>Торговая площадь</t>
        </is>
      </c>
      <c r="C1034" s="9" t="inlineStr">
        <is>
          <t>Владимирская область</t>
        </is>
      </c>
      <c r="D1034" s="10" t="n">
        <v>194</v>
      </c>
    </row>
    <row r="1035">
      <c r="A1035" s="9" t="inlineStr">
        <is>
          <t>Коммерческая · Аренда</t>
        </is>
      </c>
      <c r="B1035" s="9" t="inlineStr">
        <is>
          <t>Торговая площадь</t>
        </is>
      </c>
      <c r="C1035" s="9" t="inlineStr">
        <is>
          <t>Волгоградская область</t>
        </is>
      </c>
      <c r="D1035" s="10" t="n">
        <v>186</v>
      </c>
    </row>
    <row r="1036">
      <c r="A1036" s="9" t="inlineStr">
        <is>
          <t>Коммерческая · Аренда</t>
        </is>
      </c>
      <c r="B1036" s="9" t="inlineStr">
        <is>
          <t>Торговая площадь</t>
        </is>
      </c>
      <c r="C1036" s="9" t="inlineStr">
        <is>
          <t>Вологодская область</t>
        </is>
      </c>
      <c r="D1036" s="10" t="n">
        <v>36</v>
      </c>
    </row>
    <row r="1037">
      <c r="A1037" s="9" t="inlineStr">
        <is>
          <t>Коммерческая · Аренда</t>
        </is>
      </c>
      <c r="B1037" s="9" t="inlineStr">
        <is>
          <t>Торговая площадь</t>
        </is>
      </c>
      <c r="C1037" s="9" t="inlineStr">
        <is>
          <t>Воронежская область</t>
        </is>
      </c>
      <c r="D1037" s="10" t="n">
        <v>190</v>
      </c>
    </row>
    <row r="1038">
      <c r="A1038" s="9" t="inlineStr">
        <is>
          <t>Коммерческая · Аренда</t>
        </is>
      </c>
      <c r="B1038" s="9" t="inlineStr">
        <is>
          <t>Торговая площадь</t>
        </is>
      </c>
      <c r="C1038" s="9" t="inlineStr">
        <is>
          <t>Республика Дагестан</t>
        </is>
      </c>
      <c r="D1038" s="10" t="n">
        <v>14</v>
      </c>
    </row>
    <row r="1039">
      <c r="A1039" s="9" t="inlineStr">
        <is>
          <t>Коммерческая · Аренда</t>
        </is>
      </c>
      <c r="B1039" s="9" t="inlineStr">
        <is>
          <t>Торговая площадь</t>
        </is>
      </c>
      <c r="C1039" s="9" t="inlineStr">
        <is>
          <t>Еврейская автономная область</t>
        </is>
      </c>
      <c r="D1039" s="10" t="n">
        <v>2</v>
      </c>
    </row>
    <row r="1040">
      <c r="A1040" s="9" t="inlineStr">
        <is>
          <t>Коммерческая · Аренда</t>
        </is>
      </c>
      <c r="B1040" s="9" t="inlineStr">
        <is>
          <t>Торговая площадь</t>
        </is>
      </c>
      <c r="C1040" s="9" t="inlineStr">
        <is>
          <t>Ивановская область</t>
        </is>
      </c>
      <c r="D1040" s="10" t="n">
        <v>53</v>
      </c>
    </row>
    <row r="1041">
      <c r="A1041" s="9" t="inlineStr">
        <is>
          <t>Коммерческая · Аренда</t>
        </is>
      </c>
      <c r="B1041" s="9" t="inlineStr">
        <is>
          <t>Торговая площадь</t>
        </is>
      </c>
      <c r="C1041" s="9" t="inlineStr">
        <is>
          <t>Республика Ингушетия</t>
        </is>
      </c>
      <c r="D1041" s="10" t="n">
        <v>0</v>
      </c>
    </row>
    <row r="1042">
      <c r="A1042" s="9" t="inlineStr">
        <is>
          <t>Коммерческая · Аренда</t>
        </is>
      </c>
      <c r="B1042" s="9" t="inlineStr">
        <is>
          <t>Торговая площадь</t>
        </is>
      </c>
      <c r="C1042" s="9" t="inlineStr">
        <is>
          <t>Иркутская область</t>
        </is>
      </c>
      <c r="D1042" s="10" t="n">
        <v>116</v>
      </c>
    </row>
    <row r="1043">
      <c r="A1043" s="9" t="inlineStr">
        <is>
          <t>Коммерческая · Аренда</t>
        </is>
      </c>
      <c r="B1043" s="9" t="inlineStr">
        <is>
          <t>Торговая площадь</t>
        </is>
      </c>
      <c r="C1043" s="9" t="inlineStr">
        <is>
          <t>Кабардино-Балкарская Республика</t>
        </is>
      </c>
      <c r="D1043" s="10" t="n">
        <v>28</v>
      </c>
    </row>
    <row r="1044">
      <c r="A1044" s="9" t="inlineStr">
        <is>
          <t>Коммерческая · Аренда</t>
        </is>
      </c>
      <c r="B1044" s="9" t="inlineStr">
        <is>
          <t>Торговая площадь</t>
        </is>
      </c>
      <c r="C1044" s="9" t="inlineStr">
        <is>
          <t>Калининградская область</t>
        </is>
      </c>
      <c r="D1044" s="10" t="n">
        <v>103</v>
      </c>
    </row>
    <row r="1045">
      <c r="A1045" s="9" t="inlineStr">
        <is>
          <t>Коммерческая · Аренда</t>
        </is>
      </c>
      <c r="B1045" s="9" t="inlineStr">
        <is>
          <t>Торговая площадь</t>
        </is>
      </c>
      <c r="C1045" s="9" t="inlineStr">
        <is>
          <t>Республика Калмыкия</t>
        </is>
      </c>
      <c r="D1045" s="10" t="n">
        <v>4</v>
      </c>
    </row>
    <row r="1046">
      <c r="A1046" s="9" t="inlineStr">
        <is>
          <t>Коммерческая · Аренда</t>
        </is>
      </c>
      <c r="B1046" s="9" t="inlineStr">
        <is>
          <t>Торговая площадь</t>
        </is>
      </c>
      <c r="C1046" s="9" t="inlineStr">
        <is>
          <t>Калужская область</t>
        </is>
      </c>
      <c r="D1046" s="10" t="n">
        <v>140</v>
      </c>
    </row>
    <row r="1047">
      <c r="A1047" s="9" t="inlineStr">
        <is>
          <t>Коммерческая · Аренда</t>
        </is>
      </c>
      <c r="B1047" s="9" t="inlineStr">
        <is>
          <t>Торговая площадь</t>
        </is>
      </c>
      <c r="C1047" s="9" t="inlineStr">
        <is>
          <t>Камчатский край</t>
        </is>
      </c>
      <c r="D1047" s="10" t="n">
        <v>4</v>
      </c>
    </row>
    <row r="1048">
      <c r="A1048" s="9" t="inlineStr">
        <is>
          <t>Коммерческая · Аренда</t>
        </is>
      </c>
      <c r="B1048" s="9" t="inlineStr">
        <is>
          <t>Торговая площадь</t>
        </is>
      </c>
      <c r="C1048" s="9" t="inlineStr">
        <is>
          <t>Карачаево-Черкесская Республика</t>
        </is>
      </c>
      <c r="D1048" s="10" t="n">
        <v>10</v>
      </c>
    </row>
    <row r="1049">
      <c r="A1049" s="9" t="inlineStr">
        <is>
          <t>Коммерческая · Аренда</t>
        </is>
      </c>
      <c r="B1049" s="9" t="inlineStr">
        <is>
          <t>Торговая площадь</t>
        </is>
      </c>
      <c r="C1049" s="9" t="inlineStr">
        <is>
          <t>Республика Карелия</t>
        </is>
      </c>
      <c r="D1049" s="10" t="n">
        <v>30</v>
      </c>
    </row>
    <row r="1050">
      <c r="A1050" s="9" t="inlineStr">
        <is>
          <t>Коммерческая · Аренда</t>
        </is>
      </c>
      <c r="B1050" s="9" t="inlineStr">
        <is>
          <t>Торговая площадь</t>
        </is>
      </c>
      <c r="C1050" s="9" t="inlineStr">
        <is>
          <t>Кемеровская область</t>
        </is>
      </c>
      <c r="D1050" s="10" t="n">
        <v>169</v>
      </c>
    </row>
    <row r="1051">
      <c r="A1051" s="9" t="inlineStr">
        <is>
          <t>Коммерческая · Аренда</t>
        </is>
      </c>
      <c r="B1051" s="9" t="inlineStr">
        <is>
          <t>Торговая площадь</t>
        </is>
      </c>
      <c r="C1051" s="9" t="inlineStr">
        <is>
          <t>Кировская область</t>
        </is>
      </c>
      <c r="D1051" s="10" t="n">
        <v>80</v>
      </c>
    </row>
    <row r="1052">
      <c r="A1052" s="9" t="inlineStr">
        <is>
          <t>Коммерческая · Аренда</t>
        </is>
      </c>
      <c r="B1052" s="9" t="inlineStr">
        <is>
          <t>Торговая площадь</t>
        </is>
      </c>
      <c r="C1052" s="9" t="inlineStr">
        <is>
          <t>Республика Коми</t>
        </is>
      </c>
      <c r="D1052" s="10" t="n">
        <v>60</v>
      </c>
    </row>
    <row r="1053">
      <c r="A1053" s="9" t="inlineStr">
        <is>
          <t>Коммерческая · Аренда</t>
        </is>
      </c>
      <c r="B1053" s="9" t="inlineStr">
        <is>
          <t>Торговая площадь</t>
        </is>
      </c>
      <c r="C1053" s="9" t="inlineStr">
        <is>
          <t>Костромская область</t>
        </is>
      </c>
      <c r="D1053" s="10" t="n">
        <v>21</v>
      </c>
    </row>
    <row r="1054">
      <c r="A1054" s="9" t="inlineStr">
        <is>
          <t>Коммерческая · Аренда</t>
        </is>
      </c>
      <c r="B1054" s="9" t="inlineStr">
        <is>
          <t>Торговая площадь</t>
        </is>
      </c>
      <c r="C1054" s="9" t="inlineStr">
        <is>
          <t>Краснодарский край</t>
        </is>
      </c>
      <c r="D1054" s="10" t="n">
        <v>848</v>
      </c>
    </row>
    <row r="1055">
      <c r="A1055" s="9" t="inlineStr">
        <is>
          <t>Коммерческая · Аренда</t>
        </is>
      </c>
      <c r="B1055" s="9" t="inlineStr">
        <is>
          <t>Торговая площадь</t>
        </is>
      </c>
      <c r="C1055" s="9" t="inlineStr">
        <is>
          <t>Красноярский край</t>
        </is>
      </c>
      <c r="D1055" s="10" t="n">
        <v>211</v>
      </c>
    </row>
    <row r="1056">
      <c r="A1056" s="9" t="inlineStr">
        <is>
          <t>Коммерческая · Аренда</t>
        </is>
      </c>
      <c r="B1056" s="9" t="inlineStr">
        <is>
          <t>Торговая площадь</t>
        </is>
      </c>
      <c r="C1056" s="9" t="inlineStr">
        <is>
          <t>Курганская область</t>
        </is>
      </c>
      <c r="D1056" s="10" t="n">
        <v>66</v>
      </c>
    </row>
    <row r="1057">
      <c r="A1057" s="9" t="inlineStr">
        <is>
          <t>Коммерческая · Аренда</t>
        </is>
      </c>
      <c r="B1057" s="9" t="inlineStr">
        <is>
          <t>Торговая площадь</t>
        </is>
      </c>
      <c r="C1057" s="9" t="inlineStr">
        <is>
          <t>Курская область</t>
        </is>
      </c>
      <c r="D1057" s="10" t="n">
        <v>107</v>
      </c>
    </row>
    <row r="1058">
      <c r="A1058" s="9" t="inlineStr">
        <is>
          <t>Коммерческая · Аренда</t>
        </is>
      </c>
      <c r="B1058" s="9" t="inlineStr">
        <is>
          <t>Торговая площадь</t>
        </is>
      </c>
      <c r="C1058" s="9" t="inlineStr">
        <is>
          <t>Ленинградская область</t>
        </is>
      </c>
      <c r="D1058" s="10" t="n">
        <v>193</v>
      </c>
    </row>
    <row r="1059">
      <c r="A1059" s="9" t="inlineStr">
        <is>
          <t>Коммерческая · Аренда</t>
        </is>
      </c>
      <c r="B1059" s="9" t="inlineStr">
        <is>
          <t>Торговая площадь</t>
        </is>
      </c>
      <c r="C1059" s="9" t="inlineStr">
        <is>
          <t>Липецкая область</t>
        </is>
      </c>
      <c r="D1059" s="10" t="n">
        <v>101</v>
      </c>
    </row>
    <row r="1060">
      <c r="A1060" s="9" t="inlineStr">
        <is>
          <t>Коммерческая · Аренда</t>
        </is>
      </c>
      <c r="B1060" s="9" t="inlineStr">
        <is>
          <t>Торговая площадь</t>
        </is>
      </c>
      <c r="C1060" s="9" t="inlineStr">
        <is>
          <t>Магаданская область</t>
        </is>
      </c>
      <c r="D1060" s="10" t="n">
        <v>4</v>
      </c>
    </row>
    <row r="1061">
      <c r="A1061" s="9" t="inlineStr">
        <is>
          <t>Коммерческая · Аренда</t>
        </is>
      </c>
      <c r="B1061" s="9" t="inlineStr">
        <is>
          <t>Торговая площадь</t>
        </is>
      </c>
      <c r="C1061" s="9" t="inlineStr">
        <is>
          <t>Республика Марий Эл</t>
        </is>
      </c>
      <c r="D1061" s="10" t="n">
        <v>49</v>
      </c>
    </row>
    <row r="1062">
      <c r="A1062" s="9" t="inlineStr">
        <is>
          <t>Коммерческая · Аренда</t>
        </is>
      </c>
      <c r="B1062" s="9" t="inlineStr">
        <is>
          <t>Торговая площадь</t>
        </is>
      </c>
      <c r="C1062" s="9" t="inlineStr">
        <is>
          <t>Республика Мордовия</t>
        </is>
      </c>
      <c r="D1062" s="10" t="n">
        <v>38</v>
      </c>
    </row>
    <row r="1063">
      <c r="A1063" s="9" t="inlineStr">
        <is>
          <t>Коммерческая · Аренда</t>
        </is>
      </c>
      <c r="B1063" s="9" t="inlineStr">
        <is>
          <t>Торговая площадь</t>
        </is>
      </c>
      <c r="C1063" s="9" t="inlineStr">
        <is>
          <t>Московская область</t>
        </is>
      </c>
      <c r="D1063" s="10" t="n">
        <v>2064</v>
      </c>
    </row>
    <row r="1064">
      <c r="A1064" s="9" t="inlineStr">
        <is>
          <t>Коммерческая · Аренда</t>
        </is>
      </c>
      <c r="B1064" s="9" t="inlineStr">
        <is>
          <t>Торговая площадь</t>
        </is>
      </c>
      <c r="C1064" s="9" t="inlineStr">
        <is>
          <t>Мурманская область</t>
        </is>
      </c>
      <c r="D1064" s="10" t="n">
        <v>34</v>
      </c>
    </row>
    <row r="1065">
      <c r="A1065" s="9" t="inlineStr">
        <is>
          <t>Коммерческая · Аренда</t>
        </is>
      </c>
      <c r="B1065" s="9" t="inlineStr">
        <is>
          <t>Торговая площадь</t>
        </is>
      </c>
      <c r="C1065" s="9" t="inlineStr">
        <is>
          <t>Ненецкий автономный округ</t>
        </is>
      </c>
      <c r="D1065" s="10" t="n">
        <v>1</v>
      </c>
    </row>
    <row r="1066">
      <c r="A1066" s="9" t="inlineStr">
        <is>
          <t>Коммерческая · Аренда</t>
        </is>
      </c>
      <c r="B1066" s="9" t="inlineStr">
        <is>
          <t>Торговая площадь</t>
        </is>
      </c>
      <c r="C1066" s="9" t="inlineStr">
        <is>
          <t>Нижегородская область</t>
        </is>
      </c>
      <c r="D1066" s="10" t="n">
        <v>356</v>
      </c>
    </row>
    <row r="1067">
      <c r="A1067" s="9" t="inlineStr">
        <is>
          <t>Коммерческая · Аренда</t>
        </is>
      </c>
      <c r="B1067" s="9" t="inlineStr">
        <is>
          <t>Торговая площадь</t>
        </is>
      </c>
      <c r="C1067" s="9" t="inlineStr">
        <is>
          <t>Новгородская область</t>
        </is>
      </c>
      <c r="D1067" s="10" t="n">
        <v>100</v>
      </c>
    </row>
    <row r="1068">
      <c r="A1068" s="9" t="inlineStr">
        <is>
          <t>Коммерческая · Аренда</t>
        </is>
      </c>
      <c r="B1068" s="9" t="inlineStr">
        <is>
          <t>Торговая площадь</t>
        </is>
      </c>
      <c r="C1068" s="9" t="inlineStr">
        <is>
          <t>Новосибирская область</t>
        </is>
      </c>
      <c r="D1068" s="10" t="n">
        <v>499</v>
      </c>
    </row>
    <row r="1069">
      <c r="A1069" s="9" t="inlineStr">
        <is>
          <t>Коммерческая · Аренда</t>
        </is>
      </c>
      <c r="B1069" s="9" t="inlineStr">
        <is>
          <t>Торговая площадь</t>
        </is>
      </c>
      <c r="C1069" s="9" t="inlineStr">
        <is>
          <t>Омская область</t>
        </is>
      </c>
      <c r="D1069" s="10" t="n">
        <v>206</v>
      </c>
    </row>
    <row r="1070">
      <c r="A1070" s="9" t="inlineStr">
        <is>
          <t>Коммерческая · Аренда</t>
        </is>
      </c>
      <c r="B1070" s="9" t="inlineStr">
        <is>
          <t>Торговая площадь</t>
        </is>
      </c>
      <c r="C1070" s="9" t="inlineStr">
        <is>
          <t>Оренбургская область</t>
        </is>
      </c>
      <c r="D1070" s="10" t="n">
        <v>113</v>
      </c>
    </row>
    <row r="1071">
      <c r="A1071" s="9" t="inlineStr">
        <is>
          <t>Коммерческая · Аренда</t>
        </is>
      </c>
      <c r="B1071" s="9" t="inlineStr">
        <is>
          <t>Торговая площадь</t>
        </is>
      </c>
      <c r="C1071" s="9" t="inlineStr">
        <is>
          <t>Орловская область</t>
        </is>
      </c>
      <c r="D1071" s="10" t="n">
        <v>60</v>
      </c>
    </row>
    <row r="1072">
      <c r="A1072" s="9" t="inlineStr">
        <is>
          <t>Коммерческая · Аренда</t>
        </is>
      </c>
      <c r="B1072" s="9" t="inlineStr">
        <is>
          <t>Торговая площадь</t>
        </is>
      </c>
      <c r="C1072" s="9" t="inlineStr">
        <is>
          <t>Пензенская область</t>
        </is>
      </c>
      <c r="D1072" s="10" t="n">
        <v>223</v>
      </c>
    </row>
    <row r="1073">
      <c r="A1073" s="9" t="inlineStr">
        <is>
          <t>Коммерческая · Аренда</t>
        </is>
      </c>
      <c r="B1073" s="9" t="inlineStr">
        <is>
          <t>Торговая площадь</t>
        </is>
      </c>
      <c r="C1073" s="9" t="inlineStr">
        <is>
          <t>Пермский край</t>
        </is>
      </c>
      <c r="D1073" s="10" t="n">
        <v>229</v>
      </c>
    </row>
    <row r="1074">
      <c r="A1074" s="9" t="inlineStr">
        <is>
          <t>Коммерческая · Аренда</t>
        </is>
      </c>
      <c r="B1074" s="9" t="inlineStr">
        <is>
          <t>Торговая площадь</t>
        </is>
      </c>
      <c r="C1074" s="9" t="inlineStr">
        <is>
          <t>Приморский край</t>
        </is>
      </c>
      <c r="D1074" s="10" t="n">
        <v>21</v>
      </c>
    </row>
    <row r="1075">
      <c r="A1075" s="9" t="inlineStr">
        <is>
          <t>Коммерческая · Аренда</t>
        </is>
      </c>
      <c r="B1075" s="9" t="inlineStr">
        <is>
          <t>Торговая площадь</t>
        </is>
      </c>
      <c r="C1075" s="9" t="inlineStr">
        <is>
          <t>Псковская область</t>
        </is>
      </c>
      <c r="D1075" s="10" t="n">
        <v>41</v>
      </c>
    </row>
    <row r="1076">
      <c r="A1076" s="9" t="inlineStr">
        <is>
          <t>Коммерческая · Аренда</t>
        </is>
      </c>
      <c r="B1076" s="9" t="inlineStr">
        <is>
          <t>Торговая площадь</t>
        </is>
      </c>
      <c r="C1076" s="9" t="inlineStr">
        <is>
          <t>Ростовская область</t>
        </is>
      </c>
      <c r="D1076" s="10" t="n">
        <v>496</v>
      </c>
    </row>
    <row r="1077">
      <c r="A1077" s="9" t="inlineStr">
        <is>
          <t>Коммерческая · Аренда</t>
        </is>
      </c>
      <c r="B1077" s="9" t="inlineStr">
        <is>
          <t>Торговая площадь</t>
        </is>
      </c>
      <c r="C1077" s="9" t="inlineStr">
        <is>
          <t>Рязанская область</t>
        </is>
      </c>
      <c r="D1077" s="10" t="n">
        <v>75</v>
      </c>
    </row>
    <row r="1078">
      <c r="A1078" s="9" t="inlineStr">
        <is>
          <t>Коммерческая · Аренда</t>
        </is>
      </c>
      <c r="B1078" s="9" t="inlineStr">
        <is>
          <t>Торговая площадь</t>
        </is>
      </c>
      <c r="C1078" s="9" t="inlineStr">
        <is>
          <t>Самарская область</t>
        </is>
      </c>
      <c r="D1078" s="10" t="n">
        <v>598</v>
      </c>
    </row>
    <row r="1079">
      <c r="A1079" s="9" t="inlineStr">
        <is>
          <t>Коммерческая · Аренда</t>
        </is>
      </c>
      <c r="B1079" s="9" t="inlineStr">
        <is>
          <t>Торговая площадь</t>
        </is>
      </c>
      <c r="C1079" s="9" t="inlineStr">
        <is>
          <t>Саратовская область</t>
        </is>
      </c>
      <c r="D1079" s="10" t="n">
        <v>271</v>
      </c>
    </row>
    <row r="1080">
      <c r="A1080" s="9" t="inlineStr">
        <is>
          <t>Коммерческая · Аренда</t>
        </is>
      </c>
      <c r="B1080" s="9" t="inlineStr">
        <is>
          <t>Торговая площадь</t>
        </is>
      </c>
      <c r="C1080" s="9" t="inlineStr">
        <is>
          <t>Республика Саха (Якутия)</t>
        </is>
      </c>
      <c r="D1080" s="10" t="n">
        <v>15</v>
      </c>
    </row>
    <row r="1081">
      <c r="A1081" s="9" t="inlineStr">
        <is>
          <t>Коммерческая · Аренда</t>
        </is>
      </c>
      <c r="B1081" s="9" t="inlineStr">
        <is>
          <t>Торговая площадь</t>
        </is>
      </c>
      <c r="C1081" s="9" t="inlineStr">
        <is>
          <t>Сахалинская область</t>
        </is>
      </c>
      <c r="D1081" s="10" t="n">
        <v>20</v>
      </c>
    </row>
    <row r="1082">
      <c r="A1082" s="9" t="inlineStr">
        <is>
          <t>Коммерческая · Аренда</t>
        </is>
      </c>
      <c r="B1082" s="9" t="inlineStr">
        <is>
          <t>Торговая площадь</t>
        </is>
      </c>
      <c r="C1082" s="9" t="inlineStr">
        <is>
          <t>Свердловская область</t>
        </is>
      </c>
      <c r="D1082" s="10" t="n">
        <v>866</v>
      </c>
    </row>
    <row r="1083">
      <c r="A1083" s="9" t="inlineStr">
        <is>
          <t>Коммерческая · Аренда</t>
        </is>
      </c>
      <c r="B1083" s="9" t="inlineStr">
        <is>
          <t>Торговая площадь</t>
        </is>
      </c>
      <c r="C1083" s="9" t="inlineStr">
        <is>
          <t>Республика Северная Осетия - Алания</t>
        </is>
      </c>
      <c r="D1083" s="10" t="n">
        <v>37</v>
      </c>
    </row>
    <row r="1084">
      <c r="A1084" s="9" t="inlineStr">
        <is>
          <t>Коммерческая · Аренда</t>
        </is>
      </c>
      <c r="B1084" s="9" t="inlineStr">
        <is>
          <t>Торговая площадь</t>
        </is>
      </c>
      <c r="C1084" s="9" t="inlineStr">
        <is>
          <t>Смоленская область</t>
        </is>
      </c>
      <c r="D1084" s="10" t="n">
        <v>82</v>
      </c>
    </row>
    <row r="1085">
      <c r="A1085" s="9" t="inlineStr">
        <is>
          <t>Коммерческая · Аренда</t>
        </is>
      </c>
      <c r="B1085" s="9" t="inlineStr">
        <is>
          <t>Торговая площадь</t>
        </is>
      </c>
      <c r="C1085" s="9" t="inlineStr">
        <is>
          <t>Ставропольский край</t>
        </is>
      </c>
      <c r="D1085" s="10" t="n">
        <v>173</v>
      </c>
    </row>
    <row r="1086">
      <c r="A1086" s="9" t="inlineStr">
        <is>
          <t>Коммерческая · Аренда</t>
        </is>
      </c>
      <c r="B1086" s="9" t="inlineStr">
        <is>
          <t>Торговая площадь</t>
        </is>
      </c>
      <c r="C1086" s="9" t="inlineStr">
        <is>
          <t>Тамбовская область</t>
        </is>
      </c>
      <c r="D1086" s="10" t="n">
        <v>67</v>
      </c>
    </row>
    <row r="1087">
      <c r="A1087" s="9" t="inlineStr">
        <is>
          <t>Коммерческая · Аренда</t>
        </is>
      </c>
      <c r="B1087" s="9" t="inlineStr">
        <is>
          <t>Торговая площадь</t>
        </is>
      </c>
      <c r="C1087" s="9" t="inlineStr">
        <is>
          <t>Республика Татарстан</t>
        </is>
      </c>
      <c r="D1087" s="10" t="n">
        <v>239</v>
      </c>
    </row>
    <row r="1088">
      <c r="A1088" s="9" t="inlineStr">
        <is>
          <t>Коммерческая · Аренда</t>
        </is>
      </c>
      <c r="B1088" s="9" t="inlineStr">
        <is>
          <t>Торговая площадь</t>
        </is>
      </c>
      <c r="C1088" s="9" t="inlineStr">
        <is>
          <t>Тверская область</t>
        </is>
      </c>
      <c r="D1088" s="10" t="n">
        <v>181</v>
      </c>
    </row>
    <row r="1089">
      <c r="A1089" s="9" t="inlineStr">
        <is>
          <t>Коммерческая · Аренда</t>
        </is>
      </c>
      <c r="B1089" s="9" t="inlineStr">
        <is>
          <t>Торговая площадь</t>
        </is>
      </c>
      <c r="C1089" s="9" t="inlineStr">
        <is>
          <t>Томская область</t>
        </is>
      </c>
      <c r="D1089" s="10" t="n">
        <v>141</v>
      </c>
    </row>
    <row r="1090">
      <c r="A1090" s="9" t="inlineStr">
        <is>
          <t>Коммерческая · Аренда</t>
        </is>
      </c>
      <c r="B1090" s="9" t="inlineStr">
        <is>
          <t>Торговая площадь</t>
        </is>
      </c>
      <c r="C1090" s="9" t="inlineStr">
        <is>
          <t>Тульская область</t>
        </is>
      </c>
      <c r="D1090" s="10" t="n">
        <v>181</v>
      </c>
    </row>
    <row r="1091">
      <c r="A1091" s="9" t="inlineStr">
        <is>
          <t>Коммерческая · Аренда</t>
        </is>
      </c>
      <c r="B1091" s="9" t="inlineStr">
        <is>
          <t>Торговая площадь</t>
        </is>
      </c>
      <c r="C1091" s="9" t="inlineStr">
        <is>
          <t>Республика Тыва</t>
        </is>
      </c>
      <c r="D1091" s="10" t="n">
        <v>3</v>
      </c>
    </row>
    <row r="1092">
      <c r="A1092" s="9" t="inlineStr">
        <is>
          <t>Коммерческая · Аренда</t>
        </is>
      </c>
      <c r="B1092" s="9" t="inlineStr">
        <is>
          <t>Торговая площадь</t>
        </is>
      </c>
      <c r="C1092" s="9" t="inlineStr">
        <is>
          <t>Тюменская область</t>
        </is>
      </c>
      <c r="D1092" s="10" t="n">
        <v>243</v>
      </c>
    </row>
    <row r="1093">
      <c r="A1093" s="9" t="inlineStr">
        <is>
          <t>Коммерческая · Аренда</t>
        </is>
      </c>
      <c r="B1093" s="9" t="inlineStr">
        <is>
          <t>Торговая площадь</t>
        </is>
      </c>
      <c r="C1093" s="9" t="inlineStr">
        <is>
          <t>Удмуртская Республика</t>
        </is>
      </c>
      <c r="D1093" s="10" t="n">
        <v>83</v>
      </c>
    </row>
    <row r="1094">
      <c r="A1094" s="9" t="inlineStr">
        <is>
          <t>Коммерческая · Аренда</t>
        </is>
      </c>
      <c r="B1094" s="9" t="inlineStr">
        <is>
          <t>Торговая площадь</t>
        </is>
      </c>
      <c r="C1094" s="9" t="inlineStr">
        <is>
          <t>Ульяновская область</t>
        </is>
      </c>
      <c r="D1094" s="10" t="n">
        <v>124</v>
      </c>
    </row>
    <row r="1095">
      <c r="A1095" s="9" t="inlineStr">
        <is>
          <t>Коммерческая · Аренда</t>
        </is>
      </c>
      <c r="B1095" s="9" t="inlineStr">
        <is>
          <t>Торговая площадь</t>
        </is>
      </c>
      <c r="C1095" s="9" t="inlineStr">
        <is>
          <t>Хабаровский край</t>
        </is>
      </c>
      <c r="D1095" s="10" t="n">
        <v>104</v>
      </c>
    </row>
    <row r="1096">
      <c r="A1096" s="9" t="inlineStr">
        <is>
          <t>Коммерческая · Аренда</t>
        </is>
      </c>
      <c r="B1096" s="9" t="inlineStr">
        <is>
          <t>Торговая площадь</t>
        </is>
      </c>
      <c r="C1096" s="9" t="inlineStr">
        <is>
          <t>Республика Хакасия</t>
        </is>
      </c>
      <c r="D1096" s="10" t="n">
        <v>33</v>
      </c>
    </row>
    <row r="1097">
      <c r="A1097" s="9" t="inlineStr">
        <is>
          <t>Коммерческая · Аренда</t>
        </is>
      </c>
      <c r="B1097" s="9" t="inlineStr">
        <is>
          <t>Торговая площадь</t>
        </is>
      </c>
      <c r="C1097" s="9" t="inlineStr">
        <is>
          <t>Ханты-Мансийский автономный округ</t>
        </is>
      </c>
      <c r="D1097" s="10" t="n">
        <v>116</v>
      </c>
    </row>
    <row r="1098">
      <c r="A1098" s="9" t="inlineStr">
        <is>
          <t>Коммерческая · Аренда</t>
        </is>
      </c>
      <c r="B1098" s="9" t="inlineStr">
        <is>
          <t>Торговая площадь</t>
        </is>
      </c>
      <c r="C1098" s="9" t="inlineStr">
        <is>
          <t>Челябинская область</t>
        </is>
      </c>
      <c r="D1098" s="10" t="n">
        <v>347</v>
      </c>
    </row>
    <row r="1099">
      <c r="A1099" s="9" t="inlineStr">
        <is>
          <t>Коммерческая · Аренда</t>
        </is>
      </c>
      <c r="B1099" s="9" t="inlineStr">
        <is>
          <t>Торговая площадь</t>
        </is>
      </c>
      <c r="C1099" s="9" t="inlineStr">
        <is>
          <t>Чеченская Республика</t>
        </is>
      </c>
      <c r="D1099" s="10" t="n">
        <v>4</v>
      </c>
    </row>
    <row r="1100">
      <c r="A1100" s="9" t="inlineStr">
        <is>
          <t>Коммерческая · Аренда</t>
        </is>
      </c>
      <c r="B1100" s="9" t="inlineStr">
        <is>
          <t>Торговая площадь</t>
        </is>
      </c>
      <c r="C1100" s="9" t="inlineStr">
        <is>
          <t>Чувашская Республика</t>
        </is>
      </c>
      <c r="D1100" s="10" t="n">
        <v>59</v>
      </c>
    </row>
    <row r="1101">
      <c r="A1101" s="9" t="inlineStr">
        <is>
          <t>Коммерческая · Аренда</t>
        </is>
      </c>
      <c r="B1101" s="9" t="inlineStr">
        <is>
          <t>Торговая площадь</t>
        </is>
      </c>
      <c r="C1101" s="9" t="inlineStr">
        <is>
          <t>Чукотский автономный округ</t>
        </is>
      </c>
      <c r="D1101" s="10" t="n">
        <v>0</v>
      </c>
    </row>
    <row r="1102">
      <c r="A1102" s="9" t="inlineStr">
        <is>
          <t>Коммерческая · Аренда</t>
        </is>
      </c>
      <c r="B1102" s="9" t="inlineStr">
        <is>
          <t>Торговая площадь</t>
        </is>
      </c>
      <c r="C1102" s="9" t="inlineStr">
        <is>
          <t>Ямало-Ненецкий автономный округ</t>
        </is>
      </c>
      <c r="D1102" s="10" t="n">
        <v>20</v>
      </c>
    </row>
    <row r="1103">
      <c r="A1103" s="9" t="inlineStr">
        <is>
          <t>Коммерческая · Аренда</t>
        </is>
      </c>
      <c r="B1103" s="9" t="inlineStr">
        <is>
          <t>Торговая площадь</t>
        </is>
      </c>
      <c r="C1103" s="9" t="inlineStr">
        <is>
          <t>Ярославская область</t>
        </is>
      </c>
      <c r="D1103" s="10" t="n">
        <v>231</v>
      </c>
    </row>
    <row r="1104">
      <c r="A1104" s="9" t="inlineStr">
        <is>
          <t>Коммерческая · Аренда</t>
        </is>
      </c>
      <c r="B1104" s="9" t="inlineStr">
        <is>
          <t>Торговая площадь</t>
        </is>
      </c>
      <c r="C1104" s="9" t="inlineStr">
        <is>
          <t>Республика Крым</t>
        </is>
      </c>
      <c r="D1104" s="10" t="n">
        <v>130</v>
      </c>
    </row>
    <row r="1105">
      <c r="A1105" s="9" t="inlineStr">
        <is>
          <t>Коммерческая · Аренда</t>
        </is>
      </c>
      <c r="B1105" s="9" t="inlineStr">
        <is>
          <t>Торговая площадь</t>
        </is>
      </c>
      <c r="C1105" s="9" t="inlineStr">
        <is>
          <t>Севастополь</t>
        </is>
      </c>
      <c r="D1105" s="10" t="n">
        <v>108</v>
      </c>
    </row>
    <row r="1106">
      <c r="A1106" s="9" t="inlineStr">
        <is>
          <t>Коммерческая · Аренда</t>
        </is>
      </c>
      <c r="B1106" s="9" t="inlineStr">
        <is>
          <t>Торговая площадь</t>
        </is>
      </c>
      <c r="C1106" s="9" t="inlineStr">
        <is>
          <t>Забайкальский край</t>
        </is>
      </c>
      <c r="D1106" s="10" t="n">
        <v>36</v>
      </c>
    </row>
    <row r="1107">
      <c r="A1107" s="11" t="inlineStr">
        <is>
          <t>Коммерческая · Аренда</t>
        </is>
      </c>
      <c r="B1107" s="12" t="inlineStr">
        <is>
          <t>Складское помещение</t>
        </is>
      </c>
      <c r="C1107" s="13" t="inlineStr">
        <is>
          <t>Москва</t>
        </is>
      </c>
      <c r="D1107" s="14" t="n">
        <v>3310</v>
      </c>
    </row>
    <row r="1108">
      <c r="A1108" s="9" t="inlineStr">
        <is>
          <t>Коммерческая · Аренда</t>
        </is>
      </c>
      <c r="B1108" s="9" t="inlineStr">
        <is>
          <t>Складское помещение</t>
        </is>
      </c>
      <c r="C1108" s="9" t="inlineStr">
        <is>
          <t>Санкт-Петербург</t>
        </is>
      </c>
      <c r="D1108" s="10" t="n">
        <v>773</v>
      </c>
    </row>
    <row r="1109">
      <c r="A1109" s="9" t="inlineStr">
        <is>
          <t>Коммерческая · Аренда</t>
        </is>
      </c>
      <c r="B1109" s="9" t="inlineStr">
        <is>
          <t>Складское помещение</t>
        </is>
      </c>
      <c r="C1109" s="9" t="inlineStr">
        <is>
          <t>Республика Адыгея</t>
        </is>
      </c>
      <c r="D1109" s="10" t="n">
        <v>56</v>
      </c>
    </row>
    <row r="1110">
      <c r="A1110" s="9" t="inlineStr">
        <is>
          <t>Коммерческая · Аренда</t>
        </is>
      </c>
      <c r="B1110" s="9" t="inlineStr">
        <is>
          <t>Складское помещение</t>
        </is>
      </c>
      <c r="C1110" s="9" t="inlineStr">
        <is>
          <t>Республика Алтай</t>
        </is>
      </c>
      <c r="D1110" s="10" t="n">
        <v>3</v>
      </c>
    </row>
    <row r="1111">
      <c r="A1111" s="9" t="inlineStr">
        <is>
          <t>Коммерческая · Аренда</t>
        </is>
      </c>
      <c r="B1111" s="9" t="inlineStr">
        <is>
          <t>Складское помещение</t>
        </is>
      </c>
      <c r="C1111" s="9" t="inlineStr">
        <is>
          <t>Алтайский край</t>
        </is>
      </c>
      <c r="D1111" s="10" t="n">
        <v>85</v>
      </c>
    </row>
    <row r="1112">
      <c r="A1112" s="9" t="inlineStr">
        <is>
          <t>Коммерческая · Аренда</t>
        </is>
      </c>
      <c r="B1112" s="9" t="inlineStr">
        <is>
          <t>Складское помещение</t>
        </is>
      </c>
      <c r="C1112" s="9" t="inlineStr">
        <is>
          <t>Амурская область</t>
        </is>
      </c>
      <c r="D1112" s="10" t="n">
        <v>12</v>
      </c>
    </row>
    <row r="1113">
      <c r="A1113" s="9" t="inlineStr">
        <is>
          <t>Коммерческая · Аренда</t>
        </is>
      </c>
      <c r="B1113" s="9" t="inlineStr">
        <is>
          <t>Складское помещение</t>
        </is>
      </c>
      <c r="C1113" s="9" t="inlineStr">
        <is>
          <t>Архангельская область</t>
        </is>
      </c>
      <c r="D1113" s="10" t="n">
        <v>26</v>
      </c>
    </row>
    <row r="1114">
      <c r="A1114" s="9" t="inlineStr">
        <is>
          <t>Коммерческая · Аренда</t>
        </is>
      </c>
      <c r="B1114" s="9" t="inlineStr">
        <is>
          <t>Складское помещение</t>
        </is>
      </c>
      <c r="C1114" s="9" t="inlineStr">
        <is>
          <t>Астраханская область</t>
        </is>
      </c>
      <c r="D1114" s="10" t="n">
        <v>35</v>
      </c>
    </row>
    <row r="1115">
      <c r="A1115" s="9" t="inlineStr">
        <is>
          <t>Коммерческая · Аренда</t>
        </is>
      </c>
      <c r="B1115" s="9" t="inlineStr">
        <is>
          <t>Складское помещение</t>
        </is>
      </c>
      <c r="C1115" s="9" t="inlineStr">
        <is>
          <t>Республика Башкортостан</t>
        </is>
      </c>
      <c r="D1115" s="10" t="n">
        <v>151</v>
      </c>
    </row>
    <row r="1116">
      <c r="A1116" s="9" t="inlineStr">
        <is>
          <t>Коммерческая · Аренда</t>
        </is>
      </c>
      <c r="B1116" s="9" t="inlineStr">
        <is>
          <t>Складское помещение</t>
        </is>
      </c>
      <c r="C1116" s="9" t="inlineStr">
        <is>
          <t>Белгородская область</t>
        </is>
      </c>
      <c r="D1116" s="10" t="n">
        <v>208</v>
      </c>
    </row>
    <row r="1117">
      <c r="A1117" s="9" t="inlineStr">
        <is>
          <t>Коммерческая · Аренда</t>
        </is>
      </c>
      <c r="B1117" s="9" t="inlineStr">
        <is>
          <t>Складское помещение</t>
        </is>
      </c>
      <c r="C1117" s="9" t="inlineStr">
        <is>
          <t>Брянская область</t>
        </is>
      </c>
      <c r="D1117" s="10" t="n">
        <v>117</v>
      </c>
    </row>
    <row r="1118">
      <c r="A1118" s="9" t="inlineStr">
        <is>
          <t>Коммерческая · Аренда</t>
        </is>
      </c>
      <c r="B1118" s="9" t="inlineStr">
        <is>
          <t>Складское помещение</t>
        </is>
      </c>
      <c r="C1118" s="9" t="inlineStr">
        <is>
          <t>Республика Бурятия</t>
        </is>
      </c>
      <c r="D1118" s="10" t="n">
        <v>15</v>
      </c>
    </row>
    <row r="1119">
      <c r="A1119" s="9" t="inlineStr">
        <is>
          <t>Коммерческая · Аренда</t>
        </is>
      </c>
      <c r="B1119" s="9" t="inlineStr">
        <is>
          <t>Складское помещение</t>
        </is>
      </c>
      <c r="C1119" s="9" t="inlineStr">
        <is>
          <t>Владимирская область</t>
        </is>
      </c>
      <c r="D1119" s="10" t="n">
        <v>110</v>
      </c>
    </row>
    <row r="1120">
      <c r="A1120" s="9" t="inlineStr">
        <is>
          <t>Коммерческая · Аренда</t>
        </is>
      </c>
      <c r="B1120" s="9" t="inlineStr">
        <is>
          <t>Складское помещение</t>
        </is>
      </c>
      <c r="C1120" s="9" t="inlineStr">
        <is>
          <t>Волгоградская область</t>
        </is>
      </c>
      <c r="D1120" s="10" t="n">
        <v>97</v>
      </c>
    </row>
    <row r="1121">
      <c r="A1121" s="9" t="inlineStr">
        <is>
          <t>Коммерческая · Аренда</t>
        </is>
      </c>
      <c r="B1121" s="9" t="inlineStr">
        <is>
          <t>Складское помещение</t>
        </is>
      </c>
      <c r="C1121" s="9" t="inlineStr">
        <is>
          <t>Вологодская область</t>
        </is>
      </c>
      <c r="D1121" s="10" t="n">
        <v>25</v>
      </c>
    </row>
    <row r="1122">
      <c r="A1122" s="9" t="inlineStr">
        <is>
          <t>Коммерческая · Аренда</t>
        </is>
      </c>
      <c r="B1122" s="9" t="inlineStr">
        <is>
          <t>Складское помещение</t>
        </is>
      </c>
      <c r="C1122" s="9" t="inlineStr">
        <is>
          <t>Воронежская область</t>
        </is>
      </c>
      <c r="D1122" s="10" t="n">
        <v>132</v>
      </c>
    </row>
    <row r="1123">
      <c r="A1123" s="9" t="inlineStr">
        <is>
          <t>Коммерческая · Аренда</t>
        </is>
      </c>
      <c r="B1123" s="9" t="inlineStr">
        <is>
          <t>Складское помещение</t>
        </is>
      </c>
      <c r="C1123" s="9" t="inlineStr">
        <is>
          <t>Республика Дагестан</t>
        </is>
      </c>
      <c r="D1123" s="10" t="n">
        <v>24</v>
      </c>
    </row>
    <row r="1124">
      <c r="A1124" s="9" t="inlineStr">
        <is>
          <t>Коммерческая · Аренда</t>
        </is>
      </c>
      <c r="B1124" s="9" t="inlineStr">
        <is>
          <t>Складское помещение</t>
        </is>
      </c>
      <c r="C1124" s="9" t="inlineStr">
        <is>
          <t>Еврейская автономная область</t>
        </is>
      </c>
      <c r="D1124" s="10" t="n">
        <v>2</v>
      </c>
    </row>
    <row r="1125">
      <c r="A1125" s="9" t="inlineStr">
        <is>
          <t>Коммерческая · Аренда</t>
        </is>
      </c>
      <c r="B1125" s="9" t="inlineStr">
        <is>
          <t>Складское помещение</t>
        </is>
      </c>
      <c r="C1125" s="9" t="inlineStr">
        <is>
          <t>Ивановская область</t>
        </is>
      </c>
      <c r="D1125" s="10" t="n">
        <v>59</v>
      </c>
    </row>
    <row r="1126">
      <c r="A1126" s="9" t="inlineStr">
        <is>
          <t>Коммерческая · Аренда</t>
        </is>
      </c>
      <c r="B1126" s="9" t="inlineStr">
        <is>
          <t>Складское помещение</t>
        </is>
      </c>
      <c r="C1126" s="9" t="inlineStr">
        <is>
          <t>Республика Ингушетия</t>
        </is>
      </c>
      <c r="D1126" s="10" t="n">
        <v>1</v>
      </c>
    </row>
    <row r="1127">
      <c r="A1127" s="9" t="inlineStr">
        <is>
          <t>Коммерческая · Аренда</t>
        </is>
      </c>
      <c r="B1127" s="9" t="inlineStr">
        <is>
          <t>Складское помещение</t>
        </is>
      </c>
      <c r="C1127" s="9" t="inlineStr">
        <is>
          <t>Иркутская область</t>
        </is>
      </c>
      <c r="D1127" s="10" t="n">
        <v>113</v>
      </c>
    </row>
    <row r="1128">
      <c r="A1128" s="9" t="inlineStr">
        <is>
          <t>Коммерческая · Аренда</t>
        </is>
      </c>
      <c r="B1128" s="9" t="inlineStr">
        <is>
          <t>Складское помещение</t>
        </is>
      </c>
      <c r="C1128" s="9" t="inlineStr">
        <is>
          <t>Кабардино-Балкарская Республика</t>
        </is>
      </c>
      <c r="D1128" s="10" t="n">
        <v>8</v>
      </c>
    </row>
    <row r="1129">
      <c r="A1129" s="9" t="inlineStr">
        <is>
          <t>Коммерческая · Аренда</t>
        </is>
      </c>
      <c r="B1129" s="9" t="inlineStr">
        <is>
          <t>Складское помещение</t>
        </is>
      </c>
      <c r="C1129" s="9" t="inlineStr">
        <is>
          <t>Калининградская область</t>
        </is>
      </c>
      <c r="D1129" s="10" t="n">
        <v>53</v>
      </c>
    </row>
    <row r="1130">
      <c r="A1130" s="9" t="inlineStr">
        <is>
          <t>Коммерческая · Аренда</t>
        </is>
      </c>
      <c r="B1130" s="9" t="inlineStr">
        <is>
          <t>Складское помещение</t>
        </is>
      </c>
      <c r="C1130" s="9" t="inlineStr">
        <is>
          <t>Республика Калмыкия</t>
        </is>
      </c>
      <c r="D1130" s="10" t="n">
        <v>1</v>
      </c>
    </row>
    <row r="1131">
      <c r="A1131" s="9" t="inlineStr">
        <is>
          <t>Коммерческая · Аренда</t>
        </is>
      </c>
      <c r="B1131" s="9" t="inlineStr">
        <is>
          <t>Складское помещение</t>
        </is>
      </c>
      <c r="C1131" s="9" t="inlineStr">
        <is>
          <t>Калужская область</t>
        </is>
      </c>
      <c r="D1131" s="10" t="n">
        <v>110</v>
      </c>
    </row>
    <row r="1132">
      <c r="A1132" s="9" t="inlineStr">
        <is>
          <t>Коммерческая · Аренда</t>
        </is>
      </c>
      <c r="B1132" s="9" t="inlineStr">
        <is>
          <t>Складское помещение</t>
        </is>
      </c>
      <c r="C1132" s="9" t="inlineStr">
        <is>
          <t>Камчатский край</t>
        </is>
      </c>
      <c r="D1132" s="10" t="n">
        <v>3</v>
      </c>
    </row>
    <row r="1133">
      <c r="A1133" s="9" t="inlineStr">
        <is>
          <t>Коммерческая · Аренда</t>
        </is>
      </c>
      <c r="B1133" s="9" t="inlineStr">
        <is>
          <t>Складское помещение</t>
        </is>
      </c>
      <c r="C1133" s="9" t="inlineStr">
        <is>
          <t>Карачаево-Черкесская Республика</t>
        </is>
      </c>
      <c r="D1133" s="10" t="n">
        <v>7</v>
      </c>
    </row>
    <row r="1134">
      <c r="A1134" s="9" t="inlineStr">
        <is>
          <t>Коммерческая · Аренда</t>
        </is>
      </c>
      <c r="B1134" s="9" t="inlineStr">
        <is>
          <t>Складское помещение</t>
        </is>
      </c>
      <c r="C1134" s="9" t="inlineStr">
        <is>
          <t>Республика Карелия</t>
        </is>
      </c>
      <c r="D1134" s="10" t="n">
        <v>14</v>
      </c>
    </row>
    <row r="1135">
      <c r="A1135" s="9" t="inlineStr">
        <is>
          <t>Коммерческая · Аренда</t>
        </is>
      </c>
      <c r="B1135" s="9" t="inlineStr">
        <is>
          <t>Складское помещение</t>
        </is>
      </c>
      <c r="C1135" s="9" t="inlineStr">
        <is>
          <t>Кемеровская область</t>
        </is>
      </c>
      <c r="D1135" s="10" t="n">
        <v>86</v>
      </c>
    </row>
    <row r="1136">
      <c r="A1136" s="9" t="inlineStr">
        <is>
          <t>Коммерческая · Аренда</t>
        </is>
      </c>
      <c r="B1136" s="9" t="inlineStr">
        <is>
          <t>Складское помещение</t>
        </is>
      </c>
      <c r="C1136" s="9" t="inlineStr">
        <is>
          <t>Кировская область</t>
        </is>
      </c>
      <c r="D1136" s="10" t="n">
        <v>51</v>
      </c>
    </row>
    <row r="1137">
      <c r="A1137" s="9" t="inlineStr">
        <is>
          <t>Коммерческая · Аренда</t>
        </is>
      </c>
      <c r="B1137" s="9" t="inlineStr">
        <is>
          <t>Складское помещение</t>
        </is>
      </c>
      <c r="C1137" s="9" t="inlineStr">
        <is>
          <t>Республика Коми</t>
        </is>
      </c>
      <c r="D1137" s="10" t="n">
        <v>40</v>
      </c>
    </row>
    <row r="1138">
      <c r="A1138" s="9" t="inlineStr">
        <is>
          <t>Коммерческая · Аренда</t>
        </is>
      </c>
      <c r="B1138" s="9" t="inlineStr">
        <is>
          <t>Складское помещение</t>
        </is>
      </c>
      <c r="C1138" s="9" t="inlineStr">
        <is>
          <t>Костромская область</t>
        </is>
      </c>
      <c r="D1138" s="10" t="n">
        <v>11</v>
      </c>
    </row>
    <row r="1139">
      <c r="A1139" s="9" t="inlineStr">
        <is>
          <t>Коммерческая · Аренда</t>
        </is>
      </c>
      <c r="B1139" s="9" t="inlineStr">
        <is>
          <t>Складское помещение</t>
        </is>
      </c>
      <c r="C1139" s="9" t="inlineStr">
        <is>
          <t>Краснодарский край</t>
        </is>
      </c>
      <c r="D1139" s="10" t="n">
        <v>677</v>
      </c>
    </row>
    <row r="1140">
      <c r="A1140" s="9" t="inlineStr">
        <is>
          <t>Коммерческая · Аренда</t>
        </is>
      </c>
      <c r="B1140" s="9" t="inlineStr">
        <is>
          <t>Складское помещение</t>
        </is>
      </c>
      <c r="C1140" s="9" t="inlineStr">
        <is>
          <t>Красноярский край</t>
        </is>
      </c>
      <c r="D1140" s="10" t="n">
        <v>150</v>
      </c>
    </row>
    <row r="1141">
      <c r="A1141" s="9" t="inlineStr">
        <is>
          <t>Коммерческая · Аренда</t>
        </is>
      </c>
      <c r="B1141" s="9" t="inlineStr">
        <is>
          <t>Складское помещение</t>
        </is>
      </c>
      <c r="C1141" s="9" t="inlineStr">
        <is>
          <t>Курганская область</t>
        </is>
      </c>
      <c r="D1141" s="10" t="n">
        <v>23</v>
      </c>
    </row>
    <row r="1142">
      <c r="A1142" s="9" t="inlineStr">
        <is>
          <t>Коммерческая · Аренда</t>
        </is>
      </c>
      <c r="B1142" s="9" t="inlineStr">
        <is>
          <t>Складское помещение</t>
        </is>
      </c>
      <c r="C1142" s="9" t="inlineStr">
        <is>
          <t>Курская область</t>
        </is>
      </c>
      <c r="D1142" s="10" t="n">
        <v>82</v>
      </c>
    </row>
    <row r="1143">
      <c r="A1143" s="9" t="inlineStr">
        <is>
          <t>Коммерческая · Аренда</t>
        </is>
      </c>
      <c r="B1143" s="9" t="inlineStr">
        <is>
          <t>Складское помещение</t>
        </is>
      </c>
      <c r="C1143" s="9" t="inlineStr">
        <is>
          <t>Ленинградская область</t>
        </is>
      </c>
      <c r="D1143" s="10" t="n">
        <v>227</v>
      </c>
    </row>
    <row r="1144">
      <c r="A1144" s="9" t="inlineStr">
        <is>
          <t>Коммерческая · Аренда</t>
        </is>
      </c>
      <c r="B1144" s="9" t="inlineStr">
        <is>
          <t>Складское помещение</t>
        </is>
      </c>
      <c r="C1144" s="9" t="inlineStr">
        <is>
          <t>Липецкая область</t>
        </is>
      </c>
      <c r="D1144" s="10" t="n">
        <v>35</v>
      </c>
    </row>
    <row r="1145">
      <c r="A1145" s="9" t="inlineStr">
        <is>
          <t>Коммерческая · Аренда</t>
        </is>
      </c>
      <c r="B1145" s="9" t="inlineStr">
        <is>
          <t>Складское помещение</t>
        </is>
      </c>
      <c r="C1145" s="9" t="inlineStr">
        <is>
          <t>Магаданская область</t>
        </is>
      </c>
      <c r="D1145" s="10" t="n">
        <v>7</v>
      </c>
    </row>
    <row r="1146">
      <c r="A1146" s="9" t="inlineStr">
        <is>
          <t>Коммерческая · Аренда</t>
        </is>
      </c>
      <c r="B1146" s="9" t="inlineStr">
        <is>
          <t>Складское помещение</t>
        </is>
      </c>
      <c r="C1146" s="9" t="inlineStr">
        <is>
          <t>Республика Марий Эл</t>
        </is>
      </c>
      <c r="D1146" s="10" t="n">
        <v>23</v>
      </c>
    </row>
    <row r="1147">
      <c r="A1147" s="9" t="inlineStr">
        <is>
          <t>Коммерческая · Аренда</t>
        </is>
      </c>
      <c r="B1147" s="9" t="inlineStr">
        <is>
          <t>Складское помещение</t>
        </is>
      </c>
      <c r="C1147" s="9" t="inlineStr">
        <is>
          <t>Республика Мордовия</t>
        </is>
      </c>
      <c r="D1147" s="10" t="n">
        <v>11</v>
      </c>
    </row>
    <row r="1148">
      <c r="A1148" s="9" t="inlineStr">
        <is>
          <t>Коммерческая · Аренда</t>
        </is>
      </c>
      <c r="B1148" s="9" t="inlineStr">
        <is>
          <t>Складское помещение</t>
        </is>
      </c>
      <c r="C1148" s="9" t="inlineStr">
        <is>
          <t>Московская область</t>
        </is>
      </c>
      <c r="D1148" s="10" t="n">
        <v>5219</v>
      </c>
    </row>
    <row r="1149">
      <c r="A1149" s="9" t="inlineStr">
        <is>
          <t>Коммерческая · Аренда</t>
        </is>
      </c>
      <c r="B1149" s="9" t="inlineStr">
        <is>
          <t>Складское помещение</t>
        </is>
      </c>
      <c r="C1149" s="9" t="inlineStr">
        <is>
          <t>Мурманская область</t>
        </is>
      </c>
      <c r="D1149" s="10" t="n">
        <v>23</v>
      </c>
    </row>
    <row r="1150">
      <c r="A1150" s="9" t="inlineStr">
        <is>
          <t>Коммерческая · Аренда</t>
        </is>
      </c>
      <c r="B1150" s="9" t="inlineStr">
        <is>
          <t>Складское помещение</t>
        </is>
      </c>
      <c r="C1150" s="9" t="inlineStr">
        <is>
          <t>Ненецкий автономный округ</t>
        </is>
      </c>
      <c r="D1150" s="10" t="n">
        <v>1</v>
      </c>
    </row>
    <row r="1151">
      <c r="A1151" s="9" t="inlineStr">
        <is>
          <t>Коммерческая · Аренда</t>
        </is>
      </c>
      <c r="B1151" s="9" t="inlineStr">
        <is>
          <t>Складское помещение</t>
        </is>
      </c>
      <c r="C1151" s="9" t="inlineStr">
        <is>
          <t>Нижегородская область</t>
        </is>
      </c>
      <c r="D1151" s="10" t="n">
        <v>321</v>
      </c>
    </row>
    <row r="1152">
      <c r="A1152" s="9" t="inlineStr">
        <is>
          <t>Коммерческая · Аренда</t>
        </is>
      </c>
      <c r="B1152" s="9" t="inlineStr">
        <is>
          <t>Складское помещение</t>
        </is>
      </c>
      <c r="C1152" s="9" t="inlineStr">
        <is>
          <t>Новгородская область</t>
        </is>
      </c>
      <c r="D1152" s="10" t="n">
        <v>28</v>
      </c>
    </row>
    <row r="1153">
      <c r="A1153" s="9" t="inlineStr">
        <is>
          <t>Коммерческая · Аренда</t>
        </is>
      </c>
      <c r="B1153" s="9" t="inlineStr">
        <is>
          <t>Складское помещение</t>
        </is>
      </c>
      <c r="C1153" s="9" t="inlineStr">
        <is>
          <t>Новосибирская область</t>
        </is>
      </c>
      <c r="D1153" s="10" t="n">
        <v>654</v>
      </c>
    </row>
    <row r="1154">
      <c r="A1154" s="9" t="inlineStr">
        <is>
          <t>Коммерческая · Аренда</t>
        </is>
      </c>
      <c r="B1154" s="9" t="inlineStr">
        <is>
          <t>Складское помещение</t>
        </is>
      </c>
      <c r="C1154" s="9" t="inlineStr">
        <is>
          <t>Омская область</t>
        </is>
      </c>
      <c r="D1154" s="10" t="n">
        <v>130</v>
      </c>
    </row>
    <row r="1155">
      <c r="A1155" s="9" t="inlineStr">
        <is>
          <t>Коммерческая · Аренда</t>
        </is>
      </c>
      <c r="B1155" s="9" t="inlineStr">
        <is>
          <t>Складское помещение</t>
        </is>
      </c>
      <c r="C1155" s="9" t="inlineStr">
        <is>
          <t>Оренбургская область</t>
        </is>
      </c>
      <c r="D1155" s="10" t="n">
        <v>51</v>
      </c>
    </row>
    <row r="1156">
      <c r="A1156" s="9" t="inlineStr">
        <is>
          <t>Коммерческая · Аренда</t>
        </is>
      </c>
      <c r="B1156" s="9" t="inlineStr">
        <is>
          <t>Складское помещение</t>
        </is>
      </c>
      <c r="C1156" s="9" t="inlineStr">
        <is>
          <t>Орловская область</t>
        </is>
      </c>
      <c r="D1156" s="10" t="n">
        <v>30</v>
      </c>
    </row>
    <row r="1157">
      <c r="A1157" s="9" t="inlineStr">
        <is>
          <t>Коммерческая · Аренда</t>
        </is>
      </c>
      <c r="B1157" s="9" t="inlineStr">
        <is>
          <t>Складское помещение</t>
        </is>
      </c>
      <c r="C1157" s="9" t="inlineStr">
        <is>
          <t>Пензенская область</t>
        </is>
      </c>
      <c r="D1157" s="10" t="n">
        <v>80</v>
      </c>
    </row>
    <row r="1158">
      <c r="A1158" s="9" t="inlineStr">
        <is>
          <t>Коммерческая · Аренда</t>
        </is>
      </c>
      <c r="B1158" s="9" t="inlineStr">
        <is>
          <t>Складское помещение</t>
        </is>
      </c>
      <c r="C1158" s="9" t="inlineStr">
        <is>
          <t>Пермский край</t>
        </is>
      </c>
      <c r="D1158" s="10" t="n">
        <v>112</v>
      </c>
    </row>
    <row r="1159">
      <c r="A1159" s="9" t="inlineStr">
        <is>
          <t>Коммерческая · Аренда</t>
        </is>
      </c>
      <c r="B1159" s="9" t="inlineStr">
        <is>
          <t>Складское помещение</t>
        </is>
      </c>
      <c r="C1159" s="9" t="inlineStr">
        <is>
          <t>Приморский край</t>
        </is>
      </c>
      <c r="D1159" s="10" t="n">
        <v>31</v>
      </c>
    </row>
    <row r="1160">
      <c r="A1160" s="9" t="inlineStr">
        <is>
          <t>Коммерческая · Аренда</t>
        </is>
      </c>
      <c r="B1160" s="9" t="inlineStr">
        <is>
          <t>Складское помещение</t>
        </is>
      </c>
      <c r="C1160" s="9" t="inlineStr">
        <is>
          <t>Псковская область</t>
        </is>
      </c>
      <c r="D1160" s="10" t="n">
        <v>20</v>
      </c>
    </row>
    <row r="1161">
      <c r="A1161" s="9" t="inlineStr">
        <is>
          <t>Коммерческая · Аренда</t>
        </is>
      </c>
      <c r="B1161" s="9" t="inlineStr">
        <is>
          <t>Складское помещение</t>
        </is>
      </c>
      <c r="C1161" s="9" t="inlineStr">
        <is>
          <t>Ростовская область</t>
        </is>
      </c>
      <c r="D1161" s="10" t="n">
        <v>323</v>
      </c>
    </row>
    <row r="1162">
      <c r="A1162" s="9" t="inlineStr">
        <is>
          <t>Коммерческая · Аренда</t>
        </is>
      </c>
      <c r="B1162" s="9" t="inlineStr">
        <is>
          <t>Складское помещение</t>
        </is>
      </c>
      <c r="C1162" s="9" t="inlineStr">
        <is>
          <t>Рязанская область</t>
        </is>
      </c>
      <c r="D1162" s="10" t="n">
        <v>38</v>
      </c>
    </row>
    <row r="1163">
      <c r="A1163" s="9" t="inlineStr">
        <is>
          <t>Коммерческая · Аренда</t>
        </is>
      </c>
      <c r="B1163" s="9" t="inlineStr">
        <is>
          <t>Складское помещение</t>
        </is>
      </c>
      <c r="C1163" s="9" t="inlineStr">
        <is>
          <t>Самарская область</t>
        </is>
      </c>
      <c r="D1163" s="10" t="n">
        <v>224</v>
      </c>
    </row>
    <row r="1164">
      <c r="A1164" s="9" t="inlineStr">
        <is>
          <t>Коммерческая · Аренда</t>
        </is>
      </c>
      <c r="B1164" s="9" t="inlineStr">
        <is>
          <t>Складское помещение</t>
        </is>
      </c>
      <c r="C1164" s="9" t="inlineStr">
        <is>
          <t>Саратовская область</t>
        </is>
      </c>
      <c r="D1164" s="10" t="n">
        <v>157</v>
      </c>
    </row>
    <row r="1165">
      <c r="A1165" s="9" t="inlineStr">
        <is>
          <t>Коммерческая · Аренда</t>
        </is>
      </c>
      <c r="B1165" s="9" t="inlineStr">
        <is>
          <t>Складское помещение</t>
        </is>
      </c>
      <c r="C1165" s="9" t="inlineStr">
        <is>
          <t>Республика Саха (Якутия)</t>
        </is>
      </c>
      <c r="D1165" s="10" t="n">
        <v>11</v>
      </c>
    </row>
    <row r="1166">
      <c r="A1166" s="9" t="inlineStr">
        <is>
          <t>Коммерческая · Аренда</t>
        </is>
      </c>
      <c r="B1166" s="9" t="inlineStr">
        <is>
          <t>Складское помещение</t>
        </is>
      </c>
      <c r="C1166" s="9" t="inlineStr">
        <is>
          <t>Сахалинская область</t>
        </is>
      </c>
      <c r="D1166" s="10" t="n">
        <v>20</v>
      </c>
    </row>
    <row r="1167">
      <c r="A1167" s="9" t="inlineStr">
        <is>
          <t>Коммерческая · Аренда</t>
        </is>
      </c>
      <c r="B1167" s="9" t="inlineStr">
        <is>
          <t>Складское помещение</t>
        </is>
      </c>
      <c r="C1167" s="9" t="inlineStr">
        <is>
          <t>Свердловская область</t>
        </is>
      </c>
      <c r="D1167" s="10" t="n">
        <v>657</v>
      </c>
    </row>
    <row r="1168">
      <c r="A1168" s="9" t="inlineStr">
        <is>
          <t>Коммерческая · Аренда</t>
        </is>
      </c>
      <c r="B1168" s="9" t="inlineStr">
        <is>
          <t>Складское помещение</t>
        </is>
      </c>
      <c r="C1168" s="9" t="inlineStr">
        <is>
          <t>Республика Северная Осетия - Алания</t>
        </is>
      </c>
      <c r="D1168" s="10" t="n">
        <v>14</v>
      </c>
    </row>
    <row r="1169">
      <c r="A1169" s="9" t="inlineStr">
        <is>
          <t>Коммерческая · Аренда</t>
        </is>
      </c>
      <c r="B1169" s="9" t="inlineStr">
        <is>
          <t>Складское помещение</t>
        </is>
      </c>
      <c r="C1169" s="9" t="inlineStr">
        <is>
          <t>Смоленская область</t>
        </is>
      </c>
      <c r="D1169" s="10" t="n">
        <v>48</v>
      </c>
    </row>
    <row r="1170">
      <c r="A1170" s="9" t="inlineStr">
        <is>
          <t>Коммерческая · Аренда</t>
        </is>
      </c>
      <c r="B1170" s="9" t="inlineStr">
        <is>
          <t>Складское помещение</t>
        </is>
      </c>
      <c r="C1170" s="9" t="inlineStr">
        <is>
          <t>Ставропольский край</t>
        </is>
      </c>
      <c r="D1170" s="10" t="n">
        <v>69</v>
      </c>
    </row>
    <row r="1171">
      <c r="A1171" s="9" t="inlineStr">
        <is>
          <t>Коммерческая · Аренда</t>
        </is>
      </c>
      <c r="B1171" s="9" t="inlineStr">
        <is>
          <t>Складское помещение</t>
        </is>
      </c>
      <c r="C1171" s="9" t="inlineStr">
        <is>
          <t>Тамбовская область</t>
        </is>
      </c>
      <c r="D1171" s="10" t="n">
        <v>29</v>
      </c>
    </row>
    <row r="1172">
      <c r="A1172" s="9" t="inlineStr">
        <is>
          <t>Коммерческая · Аренда</t>
        </is>
      </c>
      <c r="B1172" s="9" t="inlineStr">
        <is>
          <t>Складское помещение</t>
        </is>
      </c>
      <c r="C1172" s="9" t="inlineStr">
        <is>
          <t>Республика Татарстан</t>
        </is>
      </c>
      <c r="D1172" s="10" t="n">
        <v>361</v>
      </c>
    </row>
    <row r="1173">
      <c r="A1173" s="9" t="inlineStr">
        <is>
          <t>Коммерческая · Аренда</t>
        </is>
      </c>
      <c r="B1173" s="9" t="inlineStr">
        <is>
          <t>Складское помещение</t>
        </is>
      </c>
      <c r="C1173" s="9" t="inlineStr">
        <is>
          <t>Тверская область</t>
        </is>
      </c>
      <c r="D1173" s="10" t="n">
        <v>109</v>
      </c>
    </row>
    <row r="1174">
      <c r="A1174" s="9" t="inlineStr">
        <is>
          <t>Коммерческая · Аренда</t>
        </is>
      </c>
      <c r="B1174" s="9" t="inlineStr">
        <is>
          <t>Складское помещение</t>
        </is>
      </c>
      <c r="C1174" s="9" t="inlineStr">
        <is>
          <t>Томская область</t>
        </is>
      </c>
      <c r="D1174" s="10" t="n">
        <v>65</v>
      </c>
    </row>
    <row r="1175">
      <c r="A1175" s="9" t="inlineStr">
        <is>
          <t>Коммерческая · Аренда</t>
        </is>
      </c>
      <c r="B1175" s="9" t="inlineStr">
        <is>
          <t>Складское помещение</t>
        </is>
      </c>
      <c r="C1175" s="9" t="inlineStr">
        <is>
          <t>Тульская область</t>
        </is>
      </c>
      <c r="D1175" s="10" t="n">
        <v>90</v>
      </c>
    </row>
    <row r="1176">
      <c r="A1176" s="9" t="inlineStr">
        <is>
          <t>Коммерческая · Аренда</t>
        </is>
      </c>
      <c r="B1176" s="9" t="inlineStr">
        <is>
          <t>Складское помещение</t>
        </is>
      </c>
      <c r="C1176" s="9" t="inlineStr">
        <is>
          <t>Республика Тыва</t>
        </is>
      </c>
      <c r="D1176" s="10" t="n">
        <v>4</v>
      </c>
    </row>
    <row r="1177">
      <c r="A1177" s="9" t="inlineStr">
        <is>
          <t>Коммерческая · Аренда</t>
        </is>
      </c>
      <c r="B1177" s="9" t="inlineStr">
        <is>
          <t>Складское помещение</t>
        </is>
      </c>
      <c r="C1177" s="9" t="inlineStr">
        <is>
          <t>Тюменская область</t>
        </is>
      </c>
      <c r="D1177" s="10" t="n">
        <v>133</v>
      </c>
    </row>
    <row r="1178">
      <c r="A1178" s="9" t="inlineStr">
        <is>
          <t>Коммерческая · Аренда</t>
        </is>
      </c>
      <c r="B1178" s="9" t="inlineStr">
        <is>
          <t>Складское помещение</t>
        </is>
      </c>
      <c r="C1178" s="9" t="inlineStr">
        <is>
          <t>Удмуртская Республика</t>
        </is>
      </c>
      <c r="D1178" s="10" t="n">
        <v>49</v>
      </c>
    </row>
    <row r="1179">
      <c r="A1179" s="9" t="inlineStr">
        <is>
          <t>Коммерческая · Аренда</t>
        </is>
      </c>
      <c r="B1179" s="9" t="inlineStr">
        <is>
          <t>Складское помещение</t>
        </is>
      </c>
      <c r="C1179" s="9" t="inlineStr">
        <is>
          <t>Ульяновская область</t>
        </is>
      </c>
      <c r="D1179" s="10" t="n">
        <v>79</v>
      </c>
    </row>
    <row r="1180">
      <c r="A1180" s="9" t="inlineStr">
        <is>
          <t>Коммерческая · Аренда</t>
        </is>
      </c>
      <c r="B1180" s="9" t="inlineStr">
        <is>
          <t>Складское помещение</t>
        </is>
      </c>
      <c r="C1180" s="9" t="inlineStr">
        <is>
          <t>Хабаровский край</t>
        </is>
      </c>
      <c r="D1180" s="10" t="n">
        <v>84</v>
      </c>
    </row>
    <row r="1181">
      <c r="A1181" s="9" t="inlineStr">
        <is>
          <t>Коммерческая · Аренда</t>
        </is>
      </c>
      <c r="B1181" s="9" t="inlineStr">
        <is>
          <t>Складское помещение</t>
        </is>
      </c>
      <c r="C1181" s="9" t="inlineStr">
        <is>
          <t>Республика Хакасия</t>
        </is>
      </c>
      <c r="D1181" s="10" t="n">
        <v>12</v>
      </c>
    </row>
    <row r="1182">
      <c r="A1182" s="9" t="inlineStr">
        <is>
          <t>Коммерческая · Аренда</t>
        </is>
      </c>
      <c r="B1182" s="9" t="inlineStr">
        <is>
          <t>Складское помещение</t>
        </is>
      </c>
      <c r="C1182" s="9" t="inlineStr">
        <is>
          <t>Ханты-Мансийский автономный округ</t>
        </is>
      </c>
      <c r="D1182" s="10" t="n">
        <v>70</v>
      </c>
    </row>
    <row r="1183">
      <c r="A1183" s="9" t="inlineStr">
        <is>
          <t>Коммерческая · Аренда</t>
        </is>
      </c>
      <c r="B1183" s="9" t="inlineStr">
        <is>
          <t>Складское помещение</t>
        </is>
      </c>
      <c r="C1183" s="9" t="inlineStr">
        <is>
          <t>Челябинская область</t>
        </is>
      </c>
      <c r="D1183" s="10" t="n">
        <v>180</v>
      </c>
    </row>
    <row r="1184">
      <c r="A1184" s="9" t="inlineStr">
        <is>
          <t>Коммерческая · Аренда</t>
        </is>
      </c>
      <c r="B1184" s="9" t="inlineStr">
        <is>
          <t>Складское помещение</t>
        </is>
      </c>
      <c r="C1184" s="9" t="inlineStr">
        <is>
          <t>Чеченская Республика</t>
        </is>
      </c>
      <c r="D1184" s="10" t="n">
        <v>2</v>
      </c>
    </row>
    <row r="1185">
      <c r="A1185" s="9" t="inlineStr">
        <is>
          <t>Коммерческая · Аренда</t>
        </is>
      </c>
      <c r="B1185" s="9" t="inlineStr">
        <is>
          <t>Складское помещение</t>
        </is>
      </c>
      <c r="C1185" s="9" t="inlineStr">
        <is>
          <t>Чувашская Республика</t>
        </is>
      </c>
      <c r="D1185" s="10" t="n">
        <v>48</v>
      </c>
    </row>
    <row r="1186">
      <c r="A1186" s="9" t="inlineStr">
        <is>
          <t>Коммерческая · Аренда</t>
        </is>
      </c>
      <c r="B1186" s="9" t="inlineStr">
        <is>
          <t>Складское помещение</t>
        </is>
      </c>
      <c r="C1186" s="9" t="inlineStr">
        <is>
          <t>Чукотский автономный округ</t>
        </is>
      </c>
      <c r="D1186" s="10" t="n">
        <v>0</v>
      </c>
    </row>
    <row r="1187">
      <c r="A1187" s="9" t="inlineStr">
        <is>
          <t>Коммерческая · Аренда</t>
        </is>
      </c>
      <c r="B1187" s="9" t="inlineStr">
        <is>
          <t>Складское помещение</t>
        </is>
      </c>
      <c r="C1187" s="9" t="inlineStr">
        <is>
          <t>Ямало-Ненецкий автономный округ</t>
        </is>
      </c>
      <c r="D1187" s="10" t="n">
        <v>20</v>
      </c>
    </row>
    <row r="1188">
      <c r="A1188" s="9" t="inlineStr">
        <is>
          <t>Коммерческая · Аренда</t>
        </is>
      </c>
      <c r="B1188" s="9" t="inlineStr">
        <is>
          <t>Складское помещение</t>
        </is>
      </c>
      <c r="C1188" s="9" t="inlineStr">
        <is>
          <t>Ярославская область</t>
        </is>
      </c>
      <c r="D1188" s="10" t="n">
        <v>177</v>
      </c>
    </row>
    <row r="1189">
      <c r="A1189" s="9" t="inlineStr">
        <is>
          <t>Коммерческая · Аренда</t>
        </is>
      </c>
      <c r="B1189" s="9" t="inlineStr">
        <is>
          <t>Складское помещение</t>
        </is>
      </c>
      <c r="C1189" s="9" t="inlineStr">
        <is>
          <t>Республика Крым</t>
        </is>
      </c>
      <c r="D1189" s="10" t="n">
        <v>73</v>
      </c>
    </row>
    <row r="1190">
      <c r="A1190" s="9" t="inlineStr">
        <is>
          <t>Коммерческая · Аренда</t>
        </is>
      </c>
      <c r="B1190" s="9" t="inlineStr">
        <is>
          <t>Складское помещение</t>
        </is>
      </c>
      <c r="C1190" s="9" t="inlineStr">
        <is>
          <t>Севастополь</t>
        </is>
      </c>
      <c r="D1190" s="10" t="n">
        <v>45</v>
      </c>
    </row>
    <row r="1191">
      <c r="A1191" s="9" t="inlineStr">
        <is>
          <t>Коммерческая · Аренда</t>
        </is>
      </c>
      <c r="B1191" s="9" t="inlineStr">
        <is>
          <t>Складское помещение</t>
        </is>
      </c>
      <c r="C1191" s="9" t="inlineStr">
        <is>
          <t>Забайкальский край</t>
        </is>
      </c>
      <c r="D1191" s="10" t="n">
        <v>15</v>
      </c>
    </row>
    <row r="1192">
      <c r="A1192" s="11" t="inlineStr">
        <is>
          <t>Коммерческая · Продажа</t>
        </is>
      </c>
      <c r="B1192" s="12" t="inlineStr">
        <is>
          <t>Офис</t>
        </is>
      </c>
      <c r="C1192" s="13" t="inlineStr">
        <is>
          <t>Москва</t>
        </is>
      </c>
      <c r="D1192" s="14" t="n">
        <v>7935</v>
      </c>
    </row>
    <row r="1193">
      <c r="A1193" s="9" t="inlineStr">
        <is>
          <t>Коммерческая · Продажа</t>
        </is>
      </c>
      <c r="B1193" s="9" t="inlineStr">
        <is>
          <t>Офис</t>
        </is>
      </c>
      <c r="C1193" s="9" t="inlineStr">
        <is>
          <t>Санкт-Петербург</t>
        </is>
      </c>
      <c r="D1193" s="10" t="n">
        <v>923</v>
      </c>
    </row>
    <row r="1194">
      <c r="A1194" s="9" t="inlineStr">
        <is>
          <t>Коммерческая · Продажа</t>
        </is>
      </c>
      <c r="B1194" s="9" t="inlineStr">
        <is>
          <t>Офис</t>
        </is>
      </c>
      <c r="C1194" s="9" t="inlineStr">
        <is>
          <t>Республика Адыгея</t>
        </is>
      </c>
      <c r="D1194" s="10" t="n">
        <v>26</v>
      </c>
    </row>
    <row r="1195">
      <c r="A1195" s="9" t="inlineStr">
        <is>
          <t>Коммерческая · Продажа</t>
        </is>
      </c>
      <c r="B1195" s="9" t="inlineStr">
        <is>
          <t>Офис</t>
        </is>
      </c>
      <c r="C1195" s="9" t="inlineStr">
        <is>
          <t>Республика Алтай</t>
        </is>
      </c>
      <c r="D1195" s="10" t="n">
        <v>12</v>
      </c>
    </row>
    <row r="1196">
      <c r="A1196" s="9" t="inlineStr">
        <is>
          <t>Коммерческая · Продажа</t>
        </is>
      </c>
      <c r="B1196" s="9" t="inlineStr">
        <is>
          <t>Офис</t>
        </is>
      </c>
      <c r="C1196" s="9" t="inlineStr">
        <is>
          <t>Алтайский край</t>
        </is>
      </c>
      <c r="D1196" s="10" t="n">
        <v>124</v>
      </c>
    </row>
    <row r="1197">
      <c r="A1197" s="9" t="inlineStr">
        <is>
          <t>Коммерческая · Продажа</t>
        </is>
      </c>
      <c r="B1197" s="9" t="inlineStr">
        <is>
          <t>Офис</t>
        </is>
      </c>
      <c r="C1197" s="9" t="inlineStr">
        <is>
          <t>Амурская область</t>
        </is>
      </c>
      <c r="D1197" s="10" t="n">
        <v>27</v>
      </c>
    </row>
    <row r="1198">
      <c r="A1198" s="9" t="inlineStr">
        <is>
          <t>Коммерческая · Продажа</t>
        </is>
      </c>
      <c r="B1198" s="9" t="inlineStr">
        <is>
          <t>Офис</t>
        </is>
      </c>
      <c r="C1198" s="9" t="inlineStr">
        <is>
          <t>Архангельская область</t>
        </is>
      </c>
      <c r="D1198" s="10" t="n">
        <v>26</v>
      </c>
    </row>
    <row r="1199">
      <c r="A1199" s="9" t="inlineStr">
        <is>
          <t>Коммерческая · Продажа</t>
        </is>
      </c>
      <c r="B1199" s="9" t="inlineStr">
        <is>
          <t>Офис</t>
        </is>
      </c>
      <c r="C1199" s="9" t="inlineStr">
        <is>
          <t>Астраханская область</t>
        </is>
      </c>
      <c r="D1199" s="10" t="n">
        <v>48</v>
      </c>
    </row>
    <row r="1200">
      <c r="A1200" s="9" t="inlineStr">
        <is>
          <t>Коммерческая · Продажа</t>
        </is>
      </c>
      <c r="B1200" s="9" t="inlineStr">
        <is>
          <t>Офис</t>
        </is>
      </c>
      <c r="C1200" s="9" t="inlineStr">
        <is>
          <t>Республика Башкортостан</t>
        </is>
      </c>
      <c r="D1200" s="10" t="n">
        <v>228</v>
      </c>
    </row>
    <row r="1201">
      <c r="A1201" s="9" t="inlineStr">
        <is>
          <t>Коммерческая · Продажа</t>
        </is>
      </c>
      <c r="B1201" s="9" t="inlineStr">
        <is>
          <t>Офис</t>
        </is>
      </c>
      <c r="C1201" s="9" t="inlineStr">
        <is>
          <t>Белгородская область</t>
        </is>
      </c>
      <c r="D1201" s="10" t="n">
        <v>273</v>
      </c>
    </row>
    <row r="1202">
      <c r="A1202" s="9" t="inlineStr">
        <is>
          <t>Коммерческая · Продажа</t>
        </is>
      </c>
      <c r="B1202" s="9" t="inlineStr">
        <is>
          <t>Офис</t>
        </is>
      </c>
      <c r="C1202" s="9" t="inlineStr">
        <is>
          <t>Брянская область</t>
        </is>
      </c>
      <c r="D1202" s="10" t="n">
        <v>92</v>
      </c>
    </row>
    <row r="1203">
      <c r="A1203" s="9" t="inlineStr">
        <is>
          <t>Коммерческая · Продажа</t>
        </is>
      </c>
      <c r="B1203" s="9" t="inlineStr">
        <is>
          <t>Офис</t>
        </is>
      </c>
      <c r="C1203" s="9" t="inlineStr">
        <is>
          <t>Республика Бурятия</t>
        </is>
      </c>
      <c r="D1203" s="10" t="n">
        <v>35</v>
      </c>
    </row>
    <row r="1204">
      <c r="A1204" s="9" t="inlineStr">
        <is>
          <t>Коммерческая · Продажа</t>
        </is>
      </c>
      <c r="B1204" s="9" t="inlineStr">
        <is>
          <t>Офис</t>
        </is>
      </c>
      <c r="C1204" s="9" t="inlineStr">
        <is>
          <t>Владимирская область</t>
        </is>
      </c>
      <c r="D1204" s="10" t="n">
        <v>98</v>
      </c>
    </row>
    <row r="1205">
      <c r="A1205" s="9" t="inlineStr">
        <is>
          <t>Коммерческая · Продажа</t>
        </is>
      </c>
      <c r="B1205" s="9" t="inlineStr">
        <is>
          <t>Офис</t>
        </is>
      </c>
      <c r="C1205" s="9" t="inlineStr">
        <is>
          <t>Волгоградская область</t>
        </is>
      </c>
      <c r="D1205" s="10" t="n">
        <v>158</v>
      </c>
    </row>
    <row r="1206">
      <c r="A1206" s="9" t="inlineStr">
        <is>
          <t>Коммерческая · Продажа</t>
        </is>
      </c>
      <c r="B1206" s="9" t="inlineStr">
        <is>
          <t>Офис</t>
        </is>
      </c>
      <c r="C1206" s="9" t="inlineStr">
        <is>
          <t>Вологодская область</t>
        </is>
      </c>
      <c r="D1206" s="10" t="n">
        <v>30</v>
      </c>
    </row>
    <row r="1207">
      <c r="A1207" s="9" t="inlineStr">
        <is>
          <t>Коммерческая · Продажа</t>
        </is>
      </c>
      <c r="B1207" s="9" t="inlineStr">
        <is>
          <t>Офис</t>
        </is>
      </c>
      <c r="C1207" s="9" t="inlineStr">
        <is>
          <t>Воронежская область</t>
        </is>
      </c>
      <c r="D1207" s="10" t="n">
        <v>121</v>
      </c>
    </row>
    <row r="1208">
      <c r="A1208" s="9" t="inlineStr">
        <is>
          <t>Коммерческая · Продажа</t>
        </is>
      </c>
      <c r="B1208" s="9" t="inlineStr">
        <is>
          <t>Офис</t>
        </is>
      </c>
      <c r="C1208" s="9" t="inlineStr">
        <is>
          <t>Республика Дагестан</t>
        </is>
      </c>
      <c r="D1208" s="10" t="n">
        <v>35</v>
      </c>
    </row>
    <row r="1209">
      <c r="A1209" s="9" t="inlineStr">
        <is>
          <t>Коммерческая · Продажа</t>
        </is>
      </c>
      <c r="B1209" s="9" t="inlineStr">
        <is>
          <t>Офис</t>
        </is>
      </c>
      <c r="C1209" s="9" t="inlineStr">
        <is>
          <t>Еврейская автономная область</t>
        </is>
      </c>
      <c r="D1209" s="10" t="n">
        <v>5</v>
      </c>
    </row>
    <row r="1210">
      <c r="A1210" s="9" t="inlineStr">
        <is>
          <t>Коммерческая · Продажа</t>
        </is>
      </c>
      <c r="B1210" s="9" t="inlineStr">
        <is>
          <t>Офис</t>
        </is>
      </c>
      <c r="C1210" s="9" t="inlineStr">
        <is>
          <t>Ивановская область</t>
        </is>
      </c>
      <c r="D1210" s="10" t="n">
        <v>46</v>
      </c>
    </row>
    <row r="1211">
      <c r="A1211" s="9" t="inlineStr">
        <is>
          <t>Коммерческая · Продажа</t>
        </is>
      </c>
      <c r="B1211" s="9" t="inlineStr">
        <is>
          <t>Офис</t>
        </is>
      </c>
      <c r="C1211" s="9" t="inlineStr">
        <is>
          <t>Республика Ингушетия</t>
        </is>
      </c>
      <c r="D1211" s="10" t="n">
        <v>1</v>
      </c>
    </row>
    <row r="1212">
      <c r="A1212" s="9" t="inlineStr">
        <is>
          <t>Коммерческая · Продажа</t>
        </is>
      </c>
      <c r="B1212" s="9" t="inlineStr">
        <is>
          <t>Офис</t>
        </is>
      </c>
      <c r="C1212" s="9" t="inlineStr">
        <is>
          <t>Иркутская область</t>
        </is>
      </c>
      <c r="D1212" s="10" t="n">
        <v>134</v>
      </c>
    </row>
    <row r="1213">
      <c r="A1213" s="9" t="inlineStr">
        <is>
          <t>Коммерческая · Продажа</t>
        </is>
      </c>
      <c r="B1213" s="9" t="inlineStr">
        <is>
          <t>Офис</t>
        </is>
      </c>
      <c r="C1213" s="9" t="inlineStr">
        <is>
          <t>Кабардино-Балкарская Республика</t>
        </is>
      </c>
      <c r="D1213" s="10" t="n">
        <v>17</v>
      </c>
    </row>
    <row r="1214">
      <c r="A1214" s="9" t="inlineStr">
        <is>
          <t>Коммерческая · Продажа</t>
        </is>
      </c>
      <c r="B1214" s="9" t="inlineStr">
        <is>
          <t>Офис</t>
        </is>
      </c>
      <c r="C1214" s="9" t="inlineStr">
        <is>
          <t>Калининградская область</t>
        </is>
      </c>
      <c r="D1214" s="10" t="n">
        <v>138</v>
      </c>
    </row>
    <row r="1215">
      <c r="A1215" s="9" t="inlineStr">
        <is>
          <t>Коммерческая · Продажа</t>
        </is>
      </c>
      <c r="B1215" s="9" t="inlineStr">
        <is>
          <t>Офис</t>
        </is>
      </c>
      <c r="C1215" s="9" t="inlineStr">
        <is>
          <t>Республика Калмыкия</t>
        </is>
      </c>
      <c r="D1215" s="10" t="n">
        <v>12</v>
      </c>
    </row>
    <row r="1216">
      <c r="A1216" s="9" t="inlineStr">
        <is>
          <t>Коммерческая · Продажа</t>
        </is>
      </c>
      <c r="B1216" s="9" t="inlineStr">
        <is>
          <t>Офис</t>
        </is>
      </c>
      <c r="C1216" s="9" t="inlineStr">
        <is>
          <t>Калужская область</t>
        </is>
      </c>
      <c r="D1216" s="10" t="n">
        <v>75</v>
      </c>
    </row>
    <row r="1217">
      <c r="A1217" s="9" t="inlineStr">
        <is>
          <t>Коммерческая · Продажа</t>
        </is>
      </c>
      <c r="B1217" s="9" t="inlineStr">
        <is>
          <t>Офис</t>
        </is>
      </c>
      <c r="C1217" s="9" t="inlineStr">
        <is>
          <t>Камчатский край</t>
        </is>
      </c>
      <c r="D1217" s="10" t="n">
        <v>8</v>
      </c>
    </row>
    <row r="1218">
      <c r="A1218" s="9" t="inlineStr">
        <is>
          <t>Коммерческая · Продажа</t>
        </is>
      </c>
      <c r="B1218" s="9" t="inlineStr">
        <is>
          <t>Офис</t>
        </is>
      </c>
      <c r="C1218" s="9" t="inlineStr">
        <is>
          <t>Карачаево-Черкесская Республика</t>
        </is>
      </c>
      <c r="D1218" s="10" t="n">
        <v>6</v>
      </c>
    </row>
    <row r="1219">
      <c r="A1219" s="9" t="inlineStr">
        <is>
          <t>Коммерческая · Продажа</t>
        </is>
      </c>
      <c r="B1219" s="9" t="inlineStr">
        <is>
          <t>Офис</t>
        </is>
      </c>
      <c r="C1219" s="9" t="inlineStr">
        <is>
          <t>Республика Карелия</t>
        </is>
      </c>
      <c r="D1219" s="10" t="n">
        <v>48</v>
      </c>
    </row>
    <row r="1220">
      <c r="A1220" s="9" t="inlineStr">
        <is>
          <t>Коммерческая · Продажа</t>
        </is>
      </c>
      <c r="B1220" s="9" t="inlineStr">
        <is>
          <t>Офис</t>
        </is>
      </c>
      <c r="C1220" s="9" t="inlineStr">
        <is>
          <t>Кемеровская область</t>
        </is>
      </c>
      <c r="D1220" s="10" t="n">
        <v>190</v>
      </c>
    </row>
    <row r="1221">
      <c r="A1221" s="9" t="inlineStr">
        <is>
          <t>Коммерческая · Продажа</t>
        </is>
      </c>
      <c r="B1221" s="9" t="inlineStr">
        <is>
          <t>Офис</t>
        </is>
      </c>
      <c r="C1221" s="9" t="inlineStr">
        <is>
          <t>Кировская область</t>
        </is>
      </c>
      <c r="D1221" s="10" t="n">
        <v>68</v>
      </c>
    </row>
    <row r="1222">
      <c r="A1222" s="9" t="inlineStr">
        <is>
          <t>Коммерческая · Продажа</t>
        </is>
      </c>
      <c r="B1222" s="9" t="inlineStr">
        <is>
          <t>Офис</t>
        </is>
      </c>
      <c r="C1222" s="9" t="inlineStr">
        <is>
          <t>Республика Коми</t>
        </is>
      </c>
      <c r="D1222" s="10" t="n">
        <v>69</v>
      </c>
    </row>
    <row r="1223">
      <c r="A1223" s="9" t="inlineStr">
        <is>
          <t>Коммерческая · Продажа</t>
        </is>
      </c>
      <c r="B1223" s="9" t="inlineStr">
        <is>
          <t>Офис</t>
        </is>
      </c>
      <c r="C1223" s="9" t="inlineStr">
        <is>
          <t>Костромская область</t>
        </is>
      </c>
      <c r="D1223" s="10" t="n">
        <v>47</v>
      </c>
    </row>
    <row r="1224">
      <c r="A1224" s="9" t="inlineStr">
        <is>
          <t>Коммерческая · Продажа</t>
        </is>
      </c>
      <c r="B1224" s="9" t="inlineStr">
        <is>
          <t>Офис</t>
        </is>
      </c>
      <c r="C1224" s="9" t="inlineStr">
        <is>
          <t>Краснодарский край</t>
        </is>
      </c>
      <c r="D1224" s="10" t="n">
        <v>784</v>
      </c>
    </row>
    <row r="1225">
      <c r="A1225" s="9" t="inlineStr">
        <is>
          <t>Коммерческая · Продажа</t>
        </is>
      </c>
      <c r="B1225" s="9" t="inlineStr">
        <is>
          <t>Офис</t>
        </is>
      </c>
      <c r="C1225" s="9" t="inlineStr">
        <is>
          <t>Красноярский край</t>
        </is>
      </c>
      <c r="D1225" s="10" t="n">
        <v>193</v>
      </c>
    </row>
    <row r="1226">
      <c r="A1226" s="9" t="inlineStr">
        <is>
          <t>Коммерческая · Продажа</t>
        </is>
      </c>
      <c r="B1226" s="9" t="inlineStr">
        <is>
          <t>Офис</t>
        </is>
      </c>
      <c r="C1226" s="9" t="inlineStr">
        <is>
          <t>Курганская область</t>
        </is>
      </c>
      <c r="D1226" s="10" t="n">
        <v>53</v>
      </c>
    </row>
    <row r="1227">
      <c r="A1227" s="9" t="inlineStr">
        <is>
          <t>Коммерческая · Продажа</t>
        </is>
      </c>
      <c r="B1227" s="9" t="inlineStr">
        <is>
          <t>Офис</t>
        </is>
      </c>
      <c r="C1227" s="9" t="inlineStr">
        <is>
          <t>Курская область</t>
        </is>
      </c>
      <c r="D1227" s="10" t="n">
        <v>86</v>
      </c>
    </row>
    <row r="1228">
      <c r="A1228" s="9" t="inlineStr">
        <is>
          <t>Коммерческая · Продажа</t>
        </is>
      </c>
      <c r="B1228" s="9" t="inlineStr">
        <is>
          <t>Офис</t>
        </is>
      </c>
      <c r="C1228" s="9" t="inlineStr">
        <is>
          <t>Ленинградская область</t>
        </is>
      </c>
      <c r="D1228" s="10" t="n">
        <v>76</v>
      </c>
    </row>
    <row r="1229">
      <c r="A1229" s="9" t="inlineStr">
        <is>
          <t>Коммерческая · Продажа</t>
        </is>
      </c>
      <c r="B1229" s="9" t="inlineStr">
        <is>
          <t>Офис</t>
        </is>
      </c>
      <c r="C1229" s="9" t="inlineStr">
        <is>
          <t>Липецкая область</t>
        </is>
      </c>
      <c r="D1229" s="10" t="n">
        <v>78</v>
      </c>
    </row>
    <row r="1230">
      <c r="A1230" s="9" t="inlineStr">
        <is>
          <t>Коммерческая · Продажа</t>
        </is>
      </c>
      <c r="B1230" s="9" t="inlineStr">
        <is>
          <t>Офис</t>
        </is>
      </c>
      <c r="C1230" s="9" t="inlineStr">
        <is>
          <t>Магаданская область</t>
        </is>
      </c>
      <c r="D1230" s="10" t="n">
        <v>12</v>
      </c>
    </row>
    <row r="1231">
      <c r="A1231" s="9" t="inlineStr">
        <is>
          <t>Коммерческая · Продажа</t>
        </is>
      </c>
      <c r="B1231" s="9" t="inlineStr">
        <is>
          <t>Офис</t>
        </is>
      </c>
      <c r="C1231" s="9" t="inlineStr">
        <is>
          <t>Республика Марий Эл</t>
        </is>
      </c>
      <c r="D1231" s="10" t="n">
        <v>28</v>
      </c>
    </row>
    <row r="1232">
      <c r="A1232" s="9" t="inlineStr">
        <is>
          <t>Коммерческая · Продажа</t>
        </is>
      </c>
      <c r="B1232" s="9" t="inlineStr">
        <is>
          <t>Офис</t>
        </is>
      </c>
      <c r="C1232" s="9" t="inlineStr">
        <is>
          <t>Республика Мордовия</t>
        </is>
      </c>
      <c r="D1232" s="10" t="n">
        <v>22</v>
      </c>
    </row>
    <row r="1233">
      <c r="A1233" s="9" t="inlineStr">
        <is>
          <t>Коммерческая · Продажа</t>
        </is>
      </c>
      <c r="B1233" s="9" t="inlineStr">
        <is>
          <t>Офис</t>
        </is>
      </c>
      <c r="C1233" s="9" t="inlineStr">
        <is>
          <t>Московская область</t>
        </is>
      </c>
      <c r="D1233" s="10" t="n">
        <v>931</v>
      </c>
    </row>
    <row r="1234">
      <c r="A1234" s="9" t="inlineStr">
        <is>
          <t>Коммерческая · Продажа</t>
        </is>
      </c>
      <c r="B1234" s="9" t="inlineStr">
        <is>
          <t>Офис</t>
        </is>
      </c>
      <c r="C1234" s="9" t="inlineStr">
        <is>
          <t>Мурманская область</t>
        </is>
      </c>
      <c r="D1234" s="10" t="n">
        <v>20</v>
      </c>
    </row>
    <row r="1235">
      <c r="A1235" s="9" t="inlineStr">
        <is>
          <t>Коммерческая · Продажа</t>
        </is>
      </c>
      <c r="B1235" s="9" t="inlineStr">
        <is>
          <t>Офис</t>
        </is>
      </c>
      <c r="C1235" s="9" t="inlineStr">
        <is>
          <t>Ненецкий автономный округ</t>
        </is>
      </c>
      <c r="D1235" s="10" t="n">
        <v>1</v>
      </c>
    </row>
    <row r="1236">
      <c r="A1236" s="9" t="inlineStr">
        <is>
          <t>Коммерческая · Продажа</t>
        </is>
      </c>
      <c r="B1236" s="9" t="inlineStr">
        <is>
          <t>Офис</t>
        </is>
      </c>
      <c r="C1236" s="9" t="inlineStr">
        <is>
          <t>Нижегородская область</t>
        </is>
      </c>
      <c r="D1236" s="10" t="n">
        <v>225</v>
      </c>
    </row>
    <row r="1237">
      <c r="A1237" s="9" t="inlineStr">
        <is>
          <t>Коммерческая · Продажа</t>
        </is>
      </c>
      <c r="B1237" s="9" t="inlineStr">
        <is>
          <t>Офис</t>
        </is>
      </c>
      <c r="C1237" s="9" t="inlineStr">
        <is>
          <t>Новгородская область</t>
        </is>
      </c>
      <c r="D1237" s="10" t="n">
        <v>34</v>
      </c>
    </row>
    <row r="1238">
      <c r="A1238" s="9" t="inlineStr">
        <is>
          <t>Коммерческая · Продажа</t>
        </is>
      </c>
      <c r="B1238" s="9" t="inlineStr">
        <is>
          <t>Офис</t>
        </is>
      </c>
      <c r="C1238" s="9" t="inlineStr">
        <is>
          <t>Новосибирская область</t>
        </is>
      </c>
      <c r="D1238" s="10" t="n">
        <v>615</v>
      </c>
    </row>
    <row r="1239">
      <c r="A1239" s="9" t="inlineStr">
        <is>
          <t>Коммерческая · Продажа</t>
        </is>
      </c>
      <c r="B1239" s="9" t="inlineStr">
        <is>
          <t>Офис</t>
        </is>
      </c>
      <c r="C1239" s="9" t="inlineStr">
        <is>
          <t>Омская область</t>
        </is>
      </c>
      <c r="D1239" s="10" t="n">
        <v>193</v>
      </c>
    </row>
    <row r="1240">
      <c r="A1240" s="9" t="inlineStr">
        <is>
          <t>Коммерческая · Продажа</t>
        </is>
      </c>
      <c r="B1240" s="9" t="inlineStr">
        <is>
          <t>Офис</t>
        </is>
      </c>
      <c r="C1240" s="9" t="inlineStr">
        <is>
          <t>Оренбургская область</t>
        </is>
      </c>
      <c r="D1240" s="10" t="n">
        <v>81</v>
      </c>
    </row>
    <row r="1241">
      <c r="A1241" s="9" t="inlineStr">
        <is>
          <t>Коммерческая · Продажа</t>
        </is>
      </c>
      <c r="B1241" s="9" t="inlineStr">
        <is>
          <t>Офис</t>
        </is>
      </c>
      <c r="C1241" s="9" t="inlineStr">
        <is>
          <t>Орловская область</t>
        </is>
      </c>
      <c r="D1241" s="10" t="n">
        <v>37</v>
      </c>
    </row>
    <row r="1242">
      <c r="A1242" s="9" t="inlineStr">
        <is>
          <t>Коммерческая · Продажа</t>
        </is>
      </c>
      <c r="B1242" s="9" t="inlineStr">
        <is>
          <t>Офис</t>
        </is>
      </c>
      <c r="C1242" s="9" t="inlineStr">
        <is>
          <t>Пензенская область</t>
        </is>
      </c>
      <c r="D1242" s="10" t="n">
        <v>87</v>
      </c>
    </row>
    <row r="1243">
      <c r="A1243" s="9" t="inlineStr">
        <is>
          <t>Коммерческая · Продажа</t>
        </is>
      </c>
      <c r="B1243" s="9" t="inlineStr">
        <is>
          <t>Офис</t>
        </is>
      </c>
      <c r="C1243" s="9" t="inlineStr">
        <is>
          <t>Пермский край</t>
        </is>
      </c>
      <c r="D1243" s="10" t="n">
        <v>174</v>
      </c>
    </row>
    <row r="1244">
      <c r="A1244" s="9" t="inlineStr">
        <is>
          <t>Коммерческая · Продажа</t>
        </is>
      </c>
      <c r="B1244" s="9" t="inlineStr">
        <is>
          <t>Офис</t>
        </is>
      </c>
      <c r="C1244" s="9" t="inlineStr">
        <is>
          <t>Приморский край</t>
        </is>
      </c>
      <c r="D1244" s="10" t="n">
        <v>53</v>
      </c>
    </row>
    <row r="1245">
      <c r="A1245" s="9" t="inlineStr">
        <is>
          <t>Коммерческая · Продажа</t>
        </is>
      </c>
      <c r="B1245" s="9" t="inlineStr">
        <is>
          <t>Офис</t>
        </is>
      </c>
      <c r="C1245" s="9" t="inlineStr">
        <is>
          <t>Псковская область</t>
        </is>
      </c>
      <c r="D1245" s="10" t="n">
        <v>20</v>
      </c>
    </row>
    <row r="1246">
      <c r="A1246" s="9" t="inlineStr">
        <is>
          <t>Коммерческая · Продажа</t>
        </is>
      </c>
      <c r="B1246" s="9" t="inlineStr">
        <is>
          <t>Офис</t>
        </is>
      </c>
      <c r="C1246" s="9" t="inlineStr">
        <is>
          <t>Ростовская область</t>
        </is>
      </c>
      <c r="D1246" s="10" t="n">
        <v>312</v>
      </c>
    </row>
    <row r="1247">
      <c r="A1247" s="9" t="inlineStr">
        <is>
          <t>Коммерческая · Продажа</t>
        </is>
      </c>
      <c r="B1247" s="9" t="inlineStr">
        <is>
          <t>Офис</t>
        </is>
      </c>
      <c r="C1247" s="9" t="inlineStr">
        <is>
          <t>Рязанская область</t>
        </is>
      </c>
      <c r="D1247" s="10" t="n">
        <v>50</v>
      </c>
    </row>
    <row r="1248">
      <c r="A1248" s="9" t="inlineStr">
        <is>
          <t>Коммерческая · Продажа</t>
        </is>
      </c>
      <c r="B1248" s="9" t="inlineStr">
        <is>
          <t>Офис</t>
        </is>
      </c>
      <c r="C1248" s="9" t="inlineStr">
        <is>
          <t>Самарская область</t>
        </is>
      </c>
      <c r="D1248" s="10" t="n">
        <v>306</v>
      </c>
    </row>
    <row r="1249">
      <c r="A1249" s="9" t="inlineStr">
        <is>
          <t>Коммерческая · Продажа</t>
        </is>
      </c>
      <c r="B1249" s="9" t="inlineStr">
        <is>
          <t>Офис</t>
        </is>
      </c>
      <c r="C1249" s="9" t="inlineStr">
        <is>
          <t>Саратовская область</t>
        </is>
      </c>
      <c r="D1249" s="10" t="n">
        <v>162</v>
      </c>
    </row>
    <row r="1250">
      <c r="A1250" s="9" t="inlineStr">
        <is>
          <t>Коммерческая · Продажа</t>
        </is>
      </c>
      <c r="B1250" s="9" t="inlineStr">
        <is>
          <t>Офис</t>
        </is>
      </c>
      <c r="C1250" s="9" t="inlineStr">
        <is>
          <t>Республика Саха (Якутия)</t>
        </is>
      </c>
      <c r="D1250" s="10" t="n">
        <v>14</v>
      </c>
    </row>
    <row r="1251">
      <c r="A1251" s="9" t="inlineStr">
        <is>
          <t>Коммерческая · Продажа</t>
        </is>
      </c>
      <c r="B1251" s="9" t="inlineStr">
        <is>
          <t>Офис</t>
        </is>
      </c>
      <c r="C1251" s="9" t="inlineStr">
        <is>
          <t>Сахалинская область</t>
        </is>
      </c>
      <c r="D1251" s="10" t="n">
        <v>23</v>
      </c>
    </row>
    <row r="1252">
      <c r="A1252" s="9" t="inlineStr">
        <is>
          <t>Коммерческая · Продажа</t>
        </is>
      </c>
      <c r="B1252" s="9" t="inlineStr">
        <is>
          <t>Офис</t>
        </is>
      </c>
      <c r="C1252" s="9" t="inlineStr">
        <is>
          <t>Свердловская область</t>
        </is>
      </c>
      <c r="D1252" s="10" t="n">
        <v>524</v>
      </c>
    </row>
    <row r="1253">
      <c r="A1253" s="9" t="inlineStr">
        <is>
          <t>Коммерческая · Продажа</t>
        </is>
      </c>
      <c r="B1253" s="9" t="inlineStr">
        <is>
          <t>Офис</t>
        </is>
      </c>
      <c r="C1253" s="9" t="inlineStr">
        <is>
          <t>Республика Северная Осетия - Алания</t>
        </is>
      </c>
      <c r="D1253" s="10" t="n">
        <v>30</v>
      </c>
    </row>
    <row r="1254">
      <c r="A1254" s="9" t="inlineStr">
        <is>
          <t>Коммерческая · Продажа</t>
        </is>
      </c>
      <c r="B1254" s="9" t="inlineStr">
        <is>
          <t>Офис</t>
        </is>
      </c>
      <c r="C1254" s="9" t="inlineStr">
        <is>
          <t>Смоленская область</t>
        </is>
      </c>
      <c r="D1254" s="10" t="n">
        <v>45</v>
      </c>
    </row>
    <row r="1255">
      <c r="A1255" s="9" t="inlineStr">
        <is>
          <t>Коммерческая · Продажа</t>
        </is>
      </c>
      <c r="B1255" s="9" t="inlineStr">
        <is>
          <t>Офис</t>
        </is>
      </c>
      <c r="C1255" s="9" t="inlineStr">
        <is>
          <t>Ставропольский край</t>
        </is>
      </c>
      <c r="D1255" s="10" t="n">
        <v>172</v>
      </c>
    </row>
    <row r="1256">
      <c r="A1256" s="9" t="inlineStr">
        <is>
          <t>Коммерческая · Продажа</t>
        </is>
      </c>
      <c r="B1256" s="9" t="inlineStr">
        <is>
          <t>Офис</t>
        </is>
      </c>
      <c r="C1256" s="9" t="inlineStr">
        <is>
          <t>Тамбовская область</t>
        </is>
      </c>
      <c r="D1256" s="10" t="n">
        <v>44</v>
      </c>
    </row>
    <row r="1257">
      <c r="A1257" s="9" t="inlineStr">
        <is>
          <t>Коммерческая · Продажа</t>
        </is>
      </c>
      <c r="B1257" s="9" t="inlineStr">
        <is>
          <t>Офис</t>
        </is>
      </c>
      <c r="C1257" s="9" t="inlineStr">
        <is>
          <t>Республика Татарстан</t>
        </is>
      </c>
      <c r="D1257" s="10" t="n">
        <v>269</v>
      </c>
    </row>
    <row r="1258">
      <c r="A1258" s="9" t="inlineStr">
        <is>
          <t>Коммерческая · Продажа</t>
        </is>
      </c>
      <c r="B1258" s="9" t="inlineStr">
        <is>
          <t>Офис</t>
        </is>
      </c>
      <c r="C1258" s="9" t="inlineStr">
        <is>
          <t>Тверская область</t>
        </is>
      </c>
      <c r="D1258" s="10" t="n">
        <v>79</v>
      </c>
    </row>
    <row r="1259">
      <c r="A1259" s="9" t="inlineStr">
        <is>
          <t>Коммерческая · Продажа</t>
        </is>
      </c>
      <c r="B1259" s="9" t="inlineStr">
        <is>
          <t>Офис</t>
        </is>
      </c>
      <c r="C1259" s="9" t="inlineStr">
        <is>
          <t>Томская область</t>
        </is>
      </c>
      <c r="D1259" s="10" t="n">
        <v>87</v>
      </c>
    </row>
    <row r="1260">
      <c r="A1260" s="9" t="inlineStr">
        <is>
          <t>Коммерческая · Продажа</t>
        </is>
      </c>
      <c r="B1260" s="9" t="inlineStr">
        <is>
          <t>Офис</t>
        </is>
      </c>
      <c r="C1260" s="9" t="inlineStr">
        <is>
          <t>Тульская область</t>
        </is>
      </c>
      <c r="D1260" s="10" t="n">
        <v>110</v>
      </c>
    </row>
    <row r="1261">
      <c r="A1261" s="9" t="inlineStr">
        <is>
          <t>Коммерческая · Продажа</t>
        </is>
      </c>
      <c r="B1261" s="9" t="inlineStr">
        <is>
          <t>Офис</t>
        </is>
      </c>
      <c r="C1261" s="9" t="inlineStr">
        <is>
          <t>Республика Тыва</t>
        </is>
      </c>
      <c r="D1261" s="10" t="n">
        <v>1</v>
      </c>
    </row>
    <row r="1262">
      <c r="A1262" s="9" t="inlineStr">
        <is>
          <t>Коммерческая · Продажа</t>
        </is>
      </c>
      <c r="B1262" s="9" t="inlineStr">
        <is>
          <t>Офис</t>
        </is>
      </c>
      <c r="C1262" s="9" t="inlineStr">
        <is>
          <t>Тюменская область</t>
        </is>
      </c>
      <c r="D1262" s="10" t="n">
        <v>196</v>
      </c>
    </row>
    <row r="1263">
      <c r="A1263" s="9" t="inlineStr">
        <is>
          <t>Коммерческая · Продажа</t>
        </is>
      </c>
      <c r="B1263" s="9" t="inlineStr">
        <is>
          <t>Офис</t>
        </is>
      </c>
      <c r="C1263" s="9" t="inlineStr">
        <is>
          <t>Удмуртская Республика</t>
        </is>
      </c>
      <c r="D1263" s="10" t="n">
        <v>72</v>
      </c>
    </row>
    <row r="1264">
      <c r="A1264" s="9" t="inlineStr">
        <is>
          <t>Коммерческая · Продажа</t>
        </is>
      </c>
      <c r="B1264" s="9" t="inlineStr">
        <is>
          <t>Офис</t>
        </is>
      </c>
      <c r="C1264" s="9" t="inlineStr">
        <is>
          <t>Ульяновская область</t>
        </is>
      </c>
      <c r="D1264" s="10" t="n">
        <v>57</v>
      </c>
    </row>
    <row r="1265">
      <c r="A1265" s="9" t="inlineStr">
        <is>
          <t>Коммерческая · Продажа</t>
        </is>
      </c>
      <c r="B1265" s="9" t="inlineStr">
        <is>
          <t>Офис</t>
        </is>
      </c>
      <c r="C1265" s="9" t="inlineStr">
        <is>
          <t>Хабаровский край</t>
        </is>
      </c>
      <c r="D1265" s="10" t="n">
        <v>96</v>
      </c>
    </row>
    <row r="1266">
      <c r="A1266" s="9" t="inlineStr">
        <is>
          <t>Коммерческая · Продажа</t>
        </is>
      </c>
      <c r="B1266" s="9" t="inlineStr">
        <is>
          <t>Офис</t>
        </is>
      </c>
      <c r="C1266" s="9" t="inlineStr">
        <is>
          <t>Республика Хакасия</t>
        </is>
      </c>
      <c r="D1266" s="10" t="n">
        <v>25</v>
      </c>
    </row>
    <row r="1267">
      <c r="A1267" s="9" t="inlineStr">
        <is>
          <t>Коммерческая · Продажа</t>
        </is>
      </c>
      <c r="B1267" s="9" t="inlineStr">
        <is>
          <t>Офис</t>
        </is>
      </c>
      <c r="C1267" s="9" t="inlineStr">
        <is>
          <t>Ханты-Мансийский автономный округ</t>
        </is>
      </c>
      <c r="D1267" s="10" t="n">
        <v>85</v>
      </c>
    </row>
    <row r="1268">
      <c r="A1268" s="9" t="inlineStr">
        <is>
          <t>Коммерческая · Продажа</t>
        </is>
      </c>
      <c r="B1268" s="9" t="inlineStr">
        <is>
          <t>Офис</t>
        </is>
      </c>
      <c r="C1268" s="9" t="inlineStr">
        <is>
          <t>Челябинская область</t>
        </is>
      </c>
      <c r="D1268" s="10" t="n">
        <v>164</v>
      </c>
    </row>
    <row r="1269">
      <c r="A1269" s="9" t="inlineStr">
        <is>
          <t>Коммерческая · Продажа</t>
        </is>
      </c>
      <c r="B1269" s="9" t="inlineStr">
        <is>
          <t>Офис</t>
        </is>
      </c>
      <c r="C1269" s="9" t="inlineStr">
        <is>
          <t>Чеченская Республика</t>
        </is>
      </c>
      <c r="D1269" s="10" t="n">
        <v>15</v>
      </c>
    </row>
    <row r="1270">
      <c r="A1270" s="9" t="inlineStr">
        <is>
          <t>Коммерческая · Продажа</t>
        </is>
      </c>
      <c r="B1270" s="9" t="inlineStr">
        <is>
          <t>Офис</t>
        </is>
      </c>
      <c r="C1270" s="9" t="inlineStr">
        <is>
          <t>Чувашская Республика</t>
        </is>
      </c>
      <c r="D1270" s="10" t="n">
        <v>73</v>
      </c>
    </row>
    <row r="1271">
      <c r="A1271" s="9" t="inlineStr">
        <is>
          <t>Коммерческая · Продажа</t>
        </is>
      </c>
      <c r="B1271" s="9" t="inlineStr">
        <is>
          <t>Офис</t>
        </is>
      </c>
      <c r="C1271" s="9" t="inlineStr">
        <is>
          <t>Чукотский автономный округ</t>
        </is>
      </c>
      <c r="D1271" s="10" t="n">
        <v>1</v>
      </c>
    </row>
    <row r="1272">
      <c r="A1272" s="9" t="inlineStr">
        <is>
          <t>Коммерческая · Продажа</t>
        </is>
      </c>
      <c r="B1272" s="9" t="inlineStr">
        <is>
          <t>Офис</t>
        </is>
      </c>
      <c r="C1272" s="9" t="inlineStr">
        <is>
          <t>Ямало-Ненецкий автономный округ</t>
        </is>
      </c>
      <c r="D1272" s="10" t="n">
        <v>29</v>
      </c>
    </row>
    <row r="1273">
      <c r="A1273" s="9" t="inlineStr">
        <is>
          <t>Коммерческая · Продажа</t>
        </is>
      </c>
      <c r="B1273" s="9" t="inlineStr">
        <is>
          <t>Офис</t>
        </is>
      </c>
      <c r="C1273" s="9" t="inlineStr">
        <is>
          <t>Ярославская область</t>
        </is>
      </c>
      <c r="D1273" s="10" t="n">
        <v>101</v>
      </c>
    </row>
    <row r="1274">
      <c r="A1274" s="9" t="inlineStr">
        <is>
          <t>Коммерческая · Продажа</t>
        </is>
      </c>
      <c r="B1274" s="9" t="inlineStr">
        <is>
          <t>Офис</t>
        </is>
      </c>
      <c r="C1274" s="9" t="inlineStr">
        <is>
          <t>Республика Крым</t>
        </is>
      </c>
      <c r="D1274" s="10" t="n">
        <v>199</v>
      </c>
    </row>
    <row r="1275">
      <c r="A1275" s="9" t="inlineStr">
        <is>
          <t>Коммерческая · Продажа</t>
        </is>
      </c>
      <c r="B1275" s="9" t="inlineStr">
        <is>
          <t>Офис</t>
        </is>
      </c>
      <c r="C1275" s="9" t="inlineStr">
        <is>
          <t>Севастополь</t>
        </is>
      </c>
      <c r="D1275" s="10" t="n">
        <v>63</v>
      </c>
    </row>
    <row r="1276">
      <c r="A1276" s="9" t="inlineStr">
        <is>
          <t>Коммерческая · Продажа</t>
        </is>
      </c>
      <c r="B1276" s="9" t="inlineStr">
        <is>
          <t>Офис</t>
        </is>
      </c>
      <c r="C1276" s="9" t="inlineStr">
        <is>
          <t>Забайкальский край</t>
        </is>
      </c>
      <c r="D1276" s="10" t="n">
        <v>53</v>
      </c>
    </row>
    <row r="1277">
      <c r="A1277" s="11" t="inlineStr">
        <is>
          <t>Коммерческая · Продажа</t>
        </is>
      </c>
      <c r="B1277" s="12" t="inlineStr">
        <is>
          <t>Торговая площадь</t>
        </is>
      </c>
      <c r="C1277" s="13" t="inlineStr">
        <is>
          <t>Москва</t>
        </is>
      </c>
      <c r="D1277" s="14" t="n">
        <v>6649</v>
      </c>
    </row>
    <row r="1278">
      <c r="A1278" s="9" t="inlineStr">
        <is>
          <t>Коммерческая · Продажа</t>
        </is>
      </c>
      <c r="B1278" s="9" t="inlineStr">
        <is>
          <t>Торговая площадь</t>
        </is>
      </c>
      <c r="C1278" s="9" t="inlineStr">
        <is>
          <t>Санкт-Петербург</t>
        </is>
      </c>
      <c r="D1278" s="10" t="n">
        <v>485</v>
      </c>
    </row>
    <row r="1279">
      <c r="A1279" s="9" t="inlineStr">
        <is>
          <t>Коммерческая · Продажа</t>
        </is>
      </c>
      <c r="B1279" s="9" t="inlineStr">
        <is>
          <t>Торговая площадь</t>
        </is>
      </c>
      <c r="C1279" s="9" t="inlineStr">
        <is>
          <t>Республика Адыгея</t>
        </is>
      </c>
      <c r="D1279" s="10" t="n">
        <v>33</v>
      </c>
    </row>
    <row r="1280">
      <c r="A1280" s="9" t="inlineStr">
        <is>
          <t>Коммерческая · Продажа</t>
        </is>
      </c>
      <c r="B1280" s="9" t="inlineStr">
        <is>
          <t>Торговая площадь</t>
        </is>
      </c>
      <c r="C1280" s="9" t="inlineStr">
        <is>
          <t>Республика Алтай</t>
        </is>
      </c>
      <c r="D1280" s="10" t="n">
        <v>27</v>
      </c>
    </row>
    <row r="1281">
      <c r="A1281" s="9" t="inlineStr">
        <is>
          <t>Коммерческая · Продажа</t>
        </is>
      </c>
      <c r="B1281" s="9" t="inlineStr">
        <is>
          <t>Торговая площадь</t>
        </is>
      </c>
      <c r="C1281" s="9" t="inlineStr">
        <is>
          <t>Алтайский край</t>
        </is>
      </c>
      <c r="D1281" s="10" t="n">
        <v>143</v>
      </c>
    </row>
    <row r="1282">
      <c r="A1282" s="9" t="inlineStr">
        <is>
          <t>Коммерческая · Продажа</t>
        </is>
      </c>
      <c r="B1282" s="9" t="inlineStr">
        <is>
          <t>Торговая площадь</t>
        </is>
      </c>
      <c r="C1282" s="9" t="inlineStr">
        <is>
          <t>Амурская область</t>
        </is>
      </c>
      <c r="D1282" s="10" t="n">
        <v>36</v>
      </c>
    </row>
    <row r="1283">
      <c r="A1283" s="9" t="inlineStr">
        <is>
          <t>Коммерческая · Продажа</t>
        </is>
      </c>
      <c r="B1283" s="9" t="inlineStr">
        <is>
          <t>Торговая площадь</t>
        </is>
      </c>
      <c r="C1283" s="9" t="inlineStr">
        <is>
          <t>Архангельская область</t>
        </is>
      </c>
      <c r="D1283" s="10" t="n">
        <v>42</v>
      </c>
    </row>
    <row r="1284">
      <c r="A1284" s="9" t="inlineStr">
        <is>
          <t>Коммерческая · Продажа</t>
        </is>
      </c>
      <c r="B1284" s="9" t="inlineStr">
        <is>
          <t>Торговая площадь</t>
        </is>
      </c>
      <c r="C1284" s="9" t="inlineStr">
        <is>
          <t>Астраханская область</t>
        </is>
      </c>
      <c r="D1284" s="10" t="n">
        <v>55</v>
      </c>
    </row>
    <row r="1285">
      <c r="A1285" s="9" t="inlineStr">
        <is>
          <t>Коммерческая · Продажа</t>
        </is>
      </c>
      <c r="B1285" s="9" t="inlineStr">
        <is>
          <t>Торговая площадь</t>
        </is>
      </c>
      <c r="C1285" s="9" t="inlineStr">
        <is>
          <t>Республика Башкортостан</t>
        </is>
      </c>
      <c r="D1285" s="10" t="n">
        <v>171</v>
      </c>
    </row>
    <row r="1286">
      <c r="A1286" s="9" t="inlineStr">
        <is>
          <t>Коммерческая · Продажа</t>
        </is>
      </c>
      <c r="B1286" s="9" t="inlineStr">
        <is>
          <t>Торговая площадь</t>
        </is>
      </c>
      <c r="C1286" s="9" t="inlineStr">
        <is>
          <t>Белгородская область</t>
        </is>
      </c>
      <c r="D1286" s="10" t="n">
        <v>201</v>
      </c>
    </row>
    <row r="1287">
      <c r="A1287" s="9" t="inlineStr">
        <is>
          <t>Коммерческая · Продажа</t>
        </is>
      </c>
      <c r="B1287" s="9" t="inlineStr">
        <is>
          <t>Торговая площадь</t>
        </is>
      </c>
      <c r="C1287" s="9" t="inlineStr">
        <is>
          <t>Брянская область</t>
        </is>
      </c>
      <c r="D1287" s="10" t="n">
        <v>118</v>
      </c>
    </row>
    <row r="1288">
      <c r="A1288" s="9" t="inlineStr">
        <is>
          <t>Коммерческая · Продажа</t>
        </is>
      </c>
      <c r="B1288" s="9" t="inlineStr">
        <is>
          <t>Торговая площадь</t>
        </is>
      </c>
      <c r="C1288" s="9" t="inlineStr">
        <is>
          <t>Республика Бурятия</t>
        </is>
      </c>
      <c r="D1288" s="10" t="n">
        <v>56</v>
      </c>
    </row>
    <row r="1289">
      <c r="A1289" s="9" t="inlineStr">
        <is>
          <t>Коммерческая · Продажа</t>
        </is>
      </c>
      <c r="B1289" s="9" t="inlineStr">
        <is>
          <t>Торговая площадь</t>
        </is>
      </c>
      <c r="C1289" s="9" t="inlineStr">
        <is>
          <t>Владимирская область</t>
        </is>
      </c>
      <c r="D1289" s="10" t="n">
        <v>127</v>
      </c>
    </row>
    <row r="1290">
      <c r="A1290" s="9" t="inlineStr">
        <is>
          <t>Коммерческая · Продажа</t>
        </is>
      </c>
      <c r="B1290" s="9" t="inlineStr">
        <is>
          <t>Торговая площадь</t>
        </is>
      </c>
      <c r="C1290" s="9" t="inlineStr">
        <is>
          <t>Волгоградская область</t>
        </is>
      </c>
      <c r="D1290" s="10" t="n">
        <v>127</v>
      </c>
    </row>
    <row r="1291">
      <c r="A1291" s="9" t="inlineStr">
        <is>
          <t>Коммерческая · Продажа</t>
        </is>
      </c>
      <c r="B1291" s="9" t="inlineStr">
        <is>
          <t>Торговая площадь</t>
        </is>
      </c>
      <c r="C1291" s="9" t="inlineStr">
        <is>
          <t>Вологодская область</t>
        </is>
      </c>
      <c r="D1291" s="10" t="n">
        <v>24</v>
      </c>
    </row>
    <row r="1292">
      <c r="A1292" s="9" t="inlineStr">
        <is>
          <t>Коммерческая · Продажа</t>
        </is>
      </c>
      <c r="B1292" s="9" t="inlineStr">
        <is>
          <t>Торговая площадь</t>
        </is>
      </c>
      <c r="C1292" s="9" t="inlineStr">
        <is>
          <t>Воронежская область</t>
        </is>
      </c>
      <c r="D1292" s="10" t="n">
        <v>119</v>
      </c>
    </row>
    <row r="1293">
      <c r="A1293" s="9" t="inlineStr">
        <is>
          <t>Коммерческая · Продажа</t>
        </is>
      </c>
      <c r="B1293" s="9" t="inlineStr">
        <is>
          <t>Торговая площадь</t>
        </is>
      </c>
      <c r="C1293" s="9" t="inlineStr">
        <is>
          <t>Республика Дагестан</t>
        </is>
      </c>
      <c r="D1293" s="10" t="n">
        <v>40</v>
      </c>
    </row>
    <row r="1294">
      <c r="A1294" s="9" t="inlineStr">
        <is>
          <t>Коммерческая · Продажа</t>
        </is>
      </c>
      <c r="B1294" s="9" t="inlineStr">
        <is>
          <t>Торговая площадь</t>
        </is>
      </c>
      <c r="C1294" s="9" t="inlineStr">
        <is>
          <t>Еврейская автономная область</t>
        </is>
      </c>
      <c r="D1294" s="10" t="n">
        <v>10</v>
      </c>
    </row>
    <row r="1295">
      <c r="A1295" s="9" t="inlineStr">
        <is>
          <t>Коммерческая · Продажа</t>
        </is>
      </c>
      <c r="B1295" s="9" t="inlineStr">
        <is>
          <t>Торговая площадь</t>
        </is>
      </c>
      <c r="C1295" s="9" t="inlineStr">
        <is>
          <t>Ивановская область</t>
        </is>
      </c>
      <c r="D1295" s="10" t="n">
        <v>36</v>
      </c>
    </row>
    <row r="1296">
      <c r="A1296" s="9" t="inlineStr">
        <is>
          <t>Коммерческая · Продажа</t>
        </is>
      </c>
      <c r="B1296" s="9" t="inlineStr">
        <is>
          <t>Торговая площадь</t>
        </is>
      </c>
      <c r="C1296" s="9" t="inlineStr">
        <is>
          <t>Республика Ингушетия</t>
        </is>
      </c>
      <c r="D1296" s="10" t="n">
        <v>0</v>
      </c>
    </row>
    <row r="1297">
      <c r="A1297" s="9" t="inlineStr">
        <is>
          <t>Коммерческая · Продажа</t>
        </is>
      </c>
      <c r="B1297" s="9" t="inlineStr">
        <is>
          <t>Торговая площадь</t>
        </is>
      </c>
      <c r="C1297" s="9" t="inlineStr">
        <is>
          <t>Иркутская область</t>
        </is>
      </c>
      <c r="D1297" s="10" t="n">
        <v>95</v>
      </c>
    </row>
    <row r="1298">
      <c r="A1298" s="9" t="inlineStr">
        <is>
          <t>Коммерческая · Продажа</t>
        </is>
      </c>
      <c r="B1298" s="9" t="inlineStr">
        <is>
          <t>Торговая площадь</t>
        </is>
      </c>
      <c r="C1298" s="9" t="inlineStr">
        <is>
          <t>Кабардино-Балкарская Республика</t>
        </is>
      </c>
      <c r="D1298" s="10" t="n">
        <v>43</v>
      </c>
    </row>
    <row r="1299">
      <c r="A1299" s="9" t="inlineStr">
        <is>
          <t>Коммерческая · Продажа</t>
        </is>
      </c>
      <c r="B1299" s="9" t="inlineStr">
        <is>
          <t>Торговая площадь</t>
        </is>
      </c>
      <c r="C1299" s="9" t="inlineStr">
        <is>
          <t>Калининградская область</t>
        </is>
      </c>
      <c r="D1299" s="10" t="n">
        <v>146</v>
      </c>
    </row>
    <row r="1300">
      <c r="A1300" s="9" t="inlineStr">
        <is>
          <t>Коммерческая · Продажа</t>
        </is>
      </c>
      <c r="B1300" s="9" t="inlineStr">
        <is>
          <t>Торговая площадь</t>
        </is>
      </c>
      <c r="C1300" s="9" t="inlineStr">
        <is>
          <t>Республика Калмыкия</t>
        </is>
      </c>
      <c r="D1300" s="10" t="n">
        <v>16</v>
      </c>
    </row>
    <row r="1301">
      <c r="A1301" s="9" t="inlineStr">
        <is>
          <t>Коммерческая · Продажа</t>
        </is>
      </c>
      <c r="B1301" s="9" t="inlineStr">
        <is>
          <t>Торговая площадь</t>
        </is>
      </c>
      <c r="C1301" s="9" t="inlineStr">
        <is>
          <t>Калужская область</t>
        </is>
      </c>
      <c r="D1301" s="10" t="n">
        <v>99</v>
      </c>
    </row>
    <row r="1302">
      <c r="A1302" s="9" t="inlineStr">
        <is>
          <t>Коммерческая · Продажа</t>
        </is>
      </c>
      <c r="B1302" s="9" t="inlineStr">
        <is>
          <t>Торговая площадь</t>
        </is>
      </c>
      <c r="C1302" s="9" t="inlineStr">
        <is>
          <t>Камчатский край</t>
        </is>
      </c>
      <c r="D1302" s="10" t="n">
        <v>12</v>
      </c>
    </row>
    <row r="1303">
      <c r="A1303" s="9" t="inlineStr">
        <is>
          <t>Коммерческая · Продажа</t>
        </is>
      </c>
      <c r="B1303" s="9" t="inlineStr">
        <is>
          <t>Торговая площадь</t>
        </is>
      </c>
      <c r="C1303" s="9" t="inlineStr">
        <is>
          <t>Карачаево-Черкесская Республика</t>
        </is>
      </c>
      <c r="D1303" s="10" t="n">
        <v>17</v>
      </c>
    </row>
    <row r="1304">
      <c r="A1304" s="9" t="inlineStr">
        <is>
          <t>Коммерческая · Продажа</t>
        </is>
      </c>
      <c r="B1304" s="9" t="inlineStr">
        <is>
          <t>Торговая площадь</t>
        </is>
      </c>
      <c r="C1304" s="9" t="inlineStr">
        <is>
          <t>Республика Карелия</t>
        </is>
      </c>
      <c r="D1304" s="10" t="n">
        <v>17</v>
      </c>
    </row>
    <row r="1305">
      <c r="A1305" s="9" t="inlineStr">
        <is>
          <t>Коммерческая · Продажа</t>
        </is>
      </c>
      <c r="B1305" s="9" t="inlineStr">
        <is>
          <t>Торговая площадь</t>
        </is>
      </c>
      <c r="C1305" s="9" t="inlineStr">
        <is>
          <t>Кемеровская область</t>
        </is>
      </c>
      <c r="D1305" s="10" t="n">
        <v>150</v>
      </c>
    </row>
    <row r="1306">
      <c r="A1306" s="9" t="inlineStr">
        <is>
          <t>Коммерческая · Продажа</t>
        </is>
      </c>
      <c r="B1306" s="9" t="inlineStr">
        <is>
          <t>Торговая площадь</t>
        </is>
      </c>
      <c r="C1306" s="9" t="inlineStr">
        <is>
          <t>Кировская область</t>
        </is>
      </c>
      <c r="D1306" s="10" t="n">
        <v>83</v>
      </c>
    </row>
    <row r="1307">
      <c r="A1307" s="9" t="inlineStr">
        <is>
          <t>Коммерческая · Продажа</t>
        </is>
      </c>
      <c r="B1307" s="9" t="inlineStr">
        <is>
          <t>Торговая площадь</t>
        </is>
      </c>
      <c r="C1307" s="9" t="inlineStr">
        <is>
          <t>Республика Коми</t>
        </is>
      </c>
      <c r="D1307" s="10" t="n">
        <v>57</v>
      </c>
    </row>
    <row r="1308">
      <c r="A1308" s="9" t="inlineStr">
        <is>
          <t>Коммерческая · Продажа</t>
        </is>
      </c>
      <c r="B1308" s="9" t="inlineStr">
        <is>
          <t>Торговая площадь</t>
        </is>
      </c>
      <c r="C1308" s="9" t="inlineStr">
        <is>
          <t>Костромская область</t>
        </is>
      </c>
      <c r="D1308" s="10" t="n">
        <v>35</v>
      </c>
    </row>
    <row r="1309">
      <c r="A1309" s="9" t="inlineStr">
        <is>
          <t>Коммерческая · Продажа</t>
        </is>
      </c>
      <c r="B1309" s="9" t="inlineStr">
        <is>
          <t>Торговая площадь</t>
        </is>
      </c>
      <c r="C1309" s="9" t="inlineStr">
        <is>
          <t>Краснодарский край</t>
        </is>
      </c>
      <c r="D1309" s="10" t="n">
        <v>853</v>
      </c>
    </row>
    <row r="1310">
      <c r="A1310" s="9" t="inlineStr">
        <is>
          <t>Коммерческая · Продажа</t>
        </is>
      </c>
      <c r="B1310" s="9" t="inlineStr">
        <is>
          <t>Торговая площадь</t>
        </is>
      </c>
      <c r="C1310" s="9" t="inlineStr">
        <is>
          <t>Красноярский край</t>
        </is>
      </c>
      <c r="D1310" s="10" t="n">
        <v>157</v>
      </c>
    </row>
    <row r="1311">
      <c r="A1311" s="9" t="inlineStr">
        <is>
          <t>Коммерческая · Продажа</t>
        </is>
      </c>
      <c r="B1311" s="9" t="inlineStr">
        <is>
          <t>Торговая площадь</t>
        </is>
      </c>
      <c r="C1311" s="9" t="inlineStr">
        <is>
          <t>Курганская область</t>
        </is>
      </c>
      <c r="D1311" s="10" t="n">
        <v>70</v>
      </c>
    </row>
    <row r="1312">
      <c r="A1312" s="9" t="inlineStr">
        <is>
          <t>Коммерческая · Продажа</t>
        </is>
      </c>
      <c r="B1312" s="9" t="inlineStr">
        <is>
          <t>Торговая площадь</t>
        </is>
      </c>
      <c r="C1312" s="9" t="inlineStr">
        <is>
          <t>Курская область</t>
        </is>
      </c>
      <c r="D1312" s="10" t="n">
        <v>63</v>
      </c>
    </row>
    <row r="1313">
      <c r="A1313" s="9" t="inlineStr">
        <is>
          <t>Коммерческая · Продажа</t>
        </is>
      </c>
      <c r="B1313" s="9" t="inlineStr">
        <is>
          <t>Торговая площадь</t>
        </is>
      </c>
      <c r="C1313" s="9" t="inlineStr">
        <is>
          <t>Ленинградская область</t>
        </is>
      </c>
      <c r="D1313" s="10" t="n">
        <v>162</v>
      </c>
    </row>
    <row r="1314">
      <c r="A1314" s="9" t="inlineStr">
        <is>
          <t>Коммерческая · Продажа</t>
        </is>
      </c>
      <c r="B1314" s="9" t="inlineStr">
        <is>
          <t>Торговая площадь</t>
        </is>
      </c>
      <c r="C1314" s="9" t="inlineStr">
        <is>
          <t>Липецкая область</t>
        </is>
      </c>
      <c r="D1314" s="10" t="n">
        <v>63</v>
      </c>
    </row>
    <row r="1315">
      <c r="A1315" s="9" t="inlineStr">
        <is>
          <t>Коммерческая · Продажа</t>
        </is>
      </c>
      <c r="B1315" s="9" t="inlineStr">
        <is>
          <t>Торговая площадь</t>
        </is>
      </c>
      <c r="C1315" s="9" t="inlineStr">
        <is>
          <t>Магаданская область</t>
        </is>
      </c>
      <c r="D1315" s="10" t="n">
        <v>20</v>
      </c>
    </row>
    <row r="1316">
      <c r="A1316" s="9" t="inlineStr">
        <is>
          <t>Коммерческая · Продажа</t>
        </is>
      </c>
      <c r="B1316" s="9" t="inlineStr">
        <is>
          <t>Торговая площадь</t>
        </is>
      </c>
      <c r="C1316" s="9" t="inlineStr">
        <is>
          <t>Республика Марий Эл</t>
        </is>
      </c>
      <c r="D1316" s="10" t="n">
        <v>38</v>
      </c>
    </row>
    <row r="1317">
      <c r="A1317" s="9" t="inlineStr">
        <is>
          <t>Коммерческая · Продажа</t>
        </is>
      </c>
      <c r="B1317" s="9" t="inlineStr">
        <is>
          <t>Торговая площадь</t>
        </is>
      </c>
      <c r="C1317" s="9" t="inlineStr">
        <is>
          <t>Республика Мордовия</t>
        </is>
      </c>
      <c r="D1317" s="10" t="n">
        <v>29</v>
      </c>
    </row>
    <row r="1318">
      <c r="A1318" s="9" t="inlineStr">
        <is>
          <t>Коммерческая · Продажа</t>
        </is>
      </c>
      <c r="B1318" s="9" t="inlineStr">
        <is>
          <t>Торговая площадь</t>
        </is>
      </c>
      <c r="C1318" s="9" t="inlineStr">
        <is>
          <t>Московская область</t>
        </is>
      </c>
      <c r="D1318" s="10" t="n">
        <v>1854</v>
      </c>
    </row>
    <row r="1319">
      <c r="A1319" s="9" t="inlineStr">
        <is>
          <t>Коммерческая · Продажа</t>
        </is>
      </c>
      <c r="B1319" s="9" t="inlineStr">
        <is>
          <t>Торговая площадь</t>
        </is>
      </c>
      <c r="C1319" s="9" t="inlineStr">
        <is>
          <t>Мурманская область</t>
        </is>
      </c>
      <c r="D1319" s="10" t="n">
        <v>51</v>
      </c>
    </row>
    <row r="1320">
      <c r="A1320" s="9" t="inlineStr">
        <is>
          <t>Коммерческая · Продажа</t>
        </is>
      </c>
      <c r="B1320" s="9" t="inlineStr">
        <is>
          <t>Торговая площадь</t>
        </is>
      </c>
      <c r="C1320" s="9" t="inlineStr">
        <is>
          <t>Ненецкий автономный округ</t>
        </is>
      </c>
      <c r="D1320" s="10" t="n">
        <v>0</v>
      </c>
    </row>
    <row r="1321">
      <c r="A1321" s="9" t="inlineStr">
        <is>
          <t>Коммерческая · Продажа</t>
        </is>
      </c>
      <c r="B1321" s="9" t="inlineStr">
        <is>
          <t>Торговая площадь</t>
        </is>
      </c>
      <c r="C1321" s="9" t="inlineStr">
        <is>
          <t>Нижегородская область</t>
        </is>
      </c>
      <c r="D1321" s="10" t="n">
        <v>201</v>
      </c>
    </row>
    <row r="1322">
      <c r="A1322" s="9" t="inlineStr">
        <is>
          <t>Коммерческая · Продажа</t>
        </is>
      </c>
      <c r="B1322" s="9" t="inlineStr">
        <is>
          <t>Торговая площадь</t>
        </is>
      </c>
      <c r="C1322" s="9" t="inlineStr">
        <is>
          <t>Новгородская область</t>
        </is>
      </c>
      <c r="D1322" s="10" t="n">
        <v>39</v>
      </c>
    </row>
    <row r="1323">
      <c r="A1323" s="9" t="inlineStr">
        <is>
          <t>Коммерческая · Продажа</t>
        </is>
      </c>
      <c r="B1323" s="9" t="inlineStr">
        <is>
          <t>Торговая площадь</t>
        </is>
      </c>
      <c r="C1323" s="9" t="inlineStr">
        <is>
          <t>Новосибирская область</t>
        </is>
      </c>
      <c r="D1323" s="10" t="n">
        <v>280</v>
      </c>
    </row>
    <row r="1324">
      <c r="A1324" s="9" t="inlineStr">
        <is>
          <t>Коммерческая · Продажа</t>
        </is>
      </c>
      <c r="B1324" s="9" t="inlineStr">
        <is>
          <t>Торговая площадь</t>
        </is>
      </c>
      <c r="C1324" s="9" t="inlineStr">
        <is>
          <t>Омская область</t>
        </is>
      </c>
      <c r="D1324" s="10" t="n">
        <v>121</v>
      </c>
    </row>
    <row r="1325">
      <c r="A1325" s="9" t="inlineStr">
        <is>
          <t>Коммерческая · Продажа</t>
        </is>
      </c>
      <c r="B1325" s="9" t="inlineStr">
        <is>
          <t>Торговая площадь</t>
        </is>
      </c>
      <c r="C1325" s="9" t="inlineStr">
        <is>
          <t>Оренбургская область</t>
        </is>
      </c>
      <c r="D1325" s="10" t="n">
        <v>81</v>
      </c>
    </row>
    <row r="1326">
      <c r="A1326" s="9" t="inlineStr">
        <is>
          <t>Коммерческая · Продажа</t>
        </is>
      </c>
      <c r="B1326" s="9" t="inlineStr">
        <is>
          <t>Торговая площадь</t>
        </is>
      </c>
      <c r="C1326" s="9" t="inlineStr">
        <is>
          <t>Орловская область</t>
        </is>
      </c>
      <c r="D1326" s="10" t="n">
        <v>57</v>
      </c>
    </row>
    <row r="1327">
      <c r="A1327" s="9" t="inlineStr">
        <is>
          <t>Коммерческая · Продажа</t>
        </is>
      </c>
      <c r="B1327" s="9" t="inlineStr">
        <is>
          <t>Торговая площадь</t>
        </is>
      </c>
      <c r="C1327" s="9" t="inlineStr">
        <is>
          <t>Пензенская область</t>
        </is>
      </c>
      <c r="D1327" s="10" t="n">
        <v>86</v>
      </c>
    </row>
    <row r="1328">
      <c r="A1328" s="9" t="inlineStr">
        <is>
          <t>Коммерческая · Продажа</t>
        </is>
      </c>
      <c r="B1328" s="9" t="inlineStr">
        <is>
          <t>Торговая площадь</t>
        </is>
      </c>
      <c r="C1328" s="9" t="inlineStr">
        <is>
          <t>Пермский край</t>
        </is>
      </c>
      <c r="D1328" s="10" t="n">
        <v>170</v>
      </c>
    </row>
    <row r="1329">
      <c r="A1329" s="9" t="inlineStr">
        <is>
          <t>Коммерческая · Продажа</t>
        </is>
      </c>
      <c r="B1329" s="9" t="inlineStr">
        <is>
          <t>Торговая площадь</t>
        </is>
      </c>
      <c r="C1329" s="9" t="inlineStr">
        <is>
          <t>Приморский край</t>
        </is>
      </c>
      <c r="D1329" s="10" t="n">
        <v>34</v>
      </c>
    </row>
    <row r="1330">
      <c r="A1330" s="9" t="inlineStr">
        <is>
          <t>Коммерческая · Продажа</t>
        </is>
      </c>
      <c r="B1330" s="9" t="inlineStr">
        <is>
          <t>Торговая площадь</t>
        </is>
      </c>
      <c r="C1330" s="9" t="inlineStr">
        <is>
          <t>Псковская область</t>
        </is>
      </c>
      <c r="D1330" s="10" t="n">
        <v>24</v>
      </c>
    </row>
    <row r="1331">
      <c r="A1331" s="9" t="inlineStr">
        <is>
          <t>Коммерческая · Продажа</t>
        </is>
      </c>
      <c r="B1331" s="9" t="inlineStr">
        <is>
          <t>Торговая площадь</t>
        </is>
      </c>
      <c r="C1331" s="9" t="inlineStr">
        <is>
          <t>Ростовская область</t>
        </is>
      </c>
      <c r="D1331" s="10" t="n">
        <v>424</v>
      </c>
    </row>
    <row r="1332">
      <c r="A1332" s="9" t="inlineStr">
        <is>
          <t>Коммерческая · Продажа</t>
        </is>
      </c>
      <c r="B1332" s="9" t="inlineStr">
        <is>
          <t>Торговая площадь</t>
        </is>
      </c>
      <c r="C1332" s="9" t="inlineStr">
        <is>
          <t>Рязанская область</t>
        </is>
      </c>
      <c r="D1332" s="10" t="n">
        <v>64</v>
      </c>
    </row>
    <row r="1333">
      <c r="A1333" s="9" t="inlineStr">
        <is>
          <t>Коммерческая · Продажа</t>
        </is>
      </c>
      <c r="B1333" s="9" t="inlineStr">
        <is>
          <t>Торговая площадь</t>
        </is>
      </c>
      <c r="C1333" s="9" t="inlineStr">
        <is>
          <t>Самарская область</t>
        </is>
      </c>
      <c r="D1333" s="10" t="n">
        <v>420</v>
      </c>
    </row>
    <row r="1334">
      <c r="A1334" s="9" t="inlineStr">
        <is>
          <t>Коммерческая · Продажа</t>
        </is>
      </c>
      <c r="B1334" s="9" t="inlineStr">
        <is>
          <t>Торговая площадь</t>
        </is>
      </c>
      <c r="C1334" s="9" t="inlineStr">
        <is>
          <t>Саратовская область</t>
        </is>
      </c>
      <c r="D1334" s="10" t="n">
        <v>210</v>
      </c>
    </row>
    <row r="1335">
      <c r="A1335" s="9" t="inlineStr">
        <is>
          <t>Коммерческая · Продажа</t>
        </is>
      </c>
      <c r="B1335" s="9" t="inlineStr">
        <is>
          <t>Торговая площадь</t>
        </is>
      </c>
      <c r="C1335" s="9" t="inlineStr">
        <is>
          <t>Республика Саха (Якутия)</t>
        </is>
      </c>
      <c r="D1335" s="10" t="n">
        <v>13</v>
      </c>
    </row>
    <row r="1336">
      <c r="A1336" s="9" t="inlineStr">
        <is>
          <t>Коммерческая · Продажа</t>
        </is>
      </c>
      <c r="B1336" s="9" t="inlineStr">
        <is>
          <t>Торговая площадь</t>
        </is>
      </c>
      <c r="C1336" s="9" t="inlineStr">
        <is>
          <t>Сахалинская область</t>
        </is>
      </c>
      <c r="D1336" s="10" t="n">
        <v>32</v>
      </c>
    </row>
    <row r="1337">
      <c r="A1337" s="9" t="inlineStr">
        <is>
          <t>Коммерческая · Продажа</t>
        </is>
      </c>
      <c r="B1337" s="9" t="inlineStr">
        <is>
          <t>Торговая площадь</t>
        </is>
      </c>
      <c r="C1337" s="9" t="inlineStr">
        <is>
          <t>Свердловская область</t>
        </is>
      </c>
      <c r="D1337" s="10" t="n">
        <v>468</v>
      </c>
    </row>
    <row r="1338">
      <c r="A1338" s="9" t="inlineStr">
        <is>
          <t>Коммерческая · Продажа</t>
        </is>
      </c>
      <c r="B1338" s="9" t="inlineStr">
        <is>
          <t>Торговая площадь</t>
        </is>
      </c>
      <c r="C1338" s="9" t="inlineStr">
        <is>
          <t>Республика Северная Осетия - Алания</t>
        </is>
      </c>
      <c r="D1338" s="10" t="n">
        <v>52</v>
      </c>
    </row>
    <row r="1339">
      <c r="A1339" s="9" t="inlineStr">
        <is>
          <t>Коммерческая · Продажа</t>
        </is>
      </c>
      <c r="B1339" s="9" t="inlineStr">
        <is>
          <t>Торговая площадь</t>
        </is>
      </c>
      <c r="C1339" s="9" t="inlineStr">
        <is>
          <t>Смоленская область</t>
        </is>
      </c>
      <c r="D1339" s="10" t="n">
        <v>60</v>
      </c>
    </row>
    <row r="1340">
      <c r="A1340" s="9" t="inlineStr">
        <is>
          <t>Коммерческая · Продажа</t>
        </is>
      </c>
      <c r="B1340" s="9" t="inlineStr">
        <is>
          <t>Торговая площадь</t>
        </is>
      </c>
      <c r="C1340" s="9" t="inlineStr">
        <is>
          <t>Ставропольский край</t>
        </is>
      </c>
      <c r="D1340" s="10" t="n">
        <v>184</v>
      </c>
    </row>
    <row r="1341">
      <c r="A1341" s="9" t="inlineStr">
        <is>
          <t>Коммерческая · Продажа</t>
        </is>
      </c>
      <c r="B1341" s="9" t="inlineStr">
        <is>
          <t>Торговая площадь</t>
        </is>
      </c>
      <c r="C1341" s="9" t="inlineStr">
        <is>
          <t>Тамбовская область</t>
        </is>
      </c>
      <c r="D1341" s="10" t="n">
        <v>53</v>
      </c>
    </row>
    <row r="1342">
      <c r="A1342" s="9" t="inlineStr">
        <is>
          <t>Коммерческая · Продажа</t>
        </is>
      </c>
      <c r="B1342" s="9" t="inlineStr">
        <is>
          <t>Торговая площадь</t>
        </is>
      </c>
      <c r="C1342" s="9" t="inlineStr">
        <is>
          <t>Республика Татарстан</t>
        </is>
      </c>
      <c r="D1342" s="10" t="n">
        <v>188</v>
      </c>
    </row>
    <row r="1343">
      <c r="A1343" s="9" t="inlineStr">
        <is>
          <t>Коммерческая · Продажа</t>
        </is>
      </c>
      <c r="B1343" s="9" t="inlineStr">
        <is>
          <t>Торговая площадь</t>
        </is>
      </c>
      <c r="C1343" s="9" t="inlineStr">
        <is>
          <t>Тверская область</t>
        </is>
      </c>
      <c r="D1343" s="10" t="n">
        <v>115</v>
      </c>
    </row>
    <row r="1344">
      <c r="A1344" s="9" t="inlineStr">
        <is>
          <t>Коммерческая · Продажа</t>
        </is>
      </c>
      <c r="B1344" s="9" t="inlineStr">
        <is>
          <t>Торговая площадь</t>
        </is>
      </c>
      <c r="C1344" s="9" t="inlineStr">
        <is>
          <t>Томская область</t>
        </is>
      </c>
      <c r="D1344" s="10" t="n">
        <v>71</v>
      </c>
    </row>
    <row r="1345">
      <c r="A1345" s="9" t="inlineStr">
        <is>
          <t>Коммерческая · Продажа</t>
        </is>
      </c>
      <c r="B1345" s="9" t="inlineStr">
        <is>
          <t>Торговая площадь</t>
        </is>
      </c>
      <c r="C1345" s="9" t="inlineStr">
        <is>
          <t>Тульская область</t>
        </is>
      </c>
      <c r="D1345" s="10" t="n">
        <v>144</v>
      </c>
    </row>
    <row r="1346">
      <c r="A1346" s="9" t="inlineStr">
        <is>
          <t>Коммерческая · Продажа</t>
        </is>
      </c>
      <c r="B1346" s="9" t="inlineStr">
        <is>
          <t>Торговая площадь</t>
        </is>
      </c>
      <c r="C1346" s="9" t="inlineStr">
        <is>
          <t>Республика Тыва</t>
        </is>
      </c>
      <c r="D1346" s="10" t="n">
        <v>9</v>
      </c>
    </row>
    <row r="1347">
      <c r="A1347" s="9" t="inlineStr">
        <is>
          <t>Коммерческая · Продажа</t>
        </is>
      </c>
      <c r="B1347" s="9" t="inlineStr">
        <is>
          <t>Торговая площадь</t>
        </is>
      </c>
      <c r="C1347" s="9" t="inlineStr">
        <is>
          <t>Тюменская область</t>
        </is>
      </c>
      <c r="D1347" s="10" t="n">
        <v>212</v>
      </c>
    </row>
    <row r="1348">
      <c r="A1348" s="9" t="inlineStr">
        <is>
          <t>Коммерческая · Продажа</t>
        </is>
      </c>
      <c r="B1348" s="9" t="inlineStr">
        <is>
          <t>Торговая площадь</t>
        </is>
      </c>
      <c r="C1348" s="9" t="inlineStr">
        <is>
          <t>Удмуртская Республика</t>
        </is>
      </c>
      <c r="D1348" s="10" t="n">
        <v>51</v>
      </c>
    </row>
    <row r="1349">
      <c r="A1349" s="9" t="inlineStr">
        <is>
          <t>Коммерческая · Продажа</t>
        </is>
      </c>
      <c r="B1349" s="9" t="inlineStr">
        <is>
          <t>Торговая площадь</t>
        </is>
      </c>
      <c r="C1349" s="9" t="inlineStr">
        <is>
          <t>Ульяновская область</t>
        </is>
      </c>
      <c r="D1349" s="10" t="n">
        <v>46</v>
      </c>
    </row>
    <row r="1350">
      <c r="A1350" s="9" t="inlineStr">
        <is>
          <t>Коммерческая · Продажа</t>
        </is>
      </c>
      <c r="B1350" s="9" t="inlineStr">
        <is>
          <t>Торговая площадь</t>
        </is>
      </c>
      <c r="C1350" s="9" t="inlineStr">
        <is>
          <t>Хабаровский край</t>
        </is>
      </c>
      <c r="D1350" s="10" t="n">
        <v>89</v>
      </c>
    </row>
    <row r="1351">
      <c r="A1351" s="9" t="inlineStr">
        <is>
          <t>Коммерческая · Продажа</t>
        </is>
      </c>
      <c r="B1351" s="9" t="inlineStr">
        <is>
          <t>Торговая площадь</t>
        </is>
      </c>
      <c r="C1351" s="9" t="inlineStr">
        <is>
          <t>Республика Хакасия</t>
        </is>
      </c>
      <c r="D1351" s="10" t="n">
        <v>36</v>
      </c>
    </row>
    <row r="1352">
      <c r="A1352" s="9" t="inlineStr">
        <is>
          <t>Коммерческая · Продажа</t>
        </is>
      </c>
      <c r="B1352" s="9" t="inlineStr">
        <is>
          <t>Торговая площадь</t>
        </is>
      </c>
      <c r="C1352" s="9" t="inlineStr">
        <is>
          <t>Ханты-Мансийский автономный округ</t>
        </is>
      </c>
      <c r="D1352" s="10" t="n">
        <v>89</v>
      </c>
    </row>
    <row r="1353">
      <c r="A1353" s="9" t="inlineStr">
        <is>
          <t>Коммерческая · Продажа</t>
        </is>
      </c>
      <c r="B1353" s="9" t="inlineStr">
        <is>
          <t>Торговая площадь</t>
        </is>
      </c>
      <c r="C1353" s="9" t="inlineStr">
        <is>
          <t>Челябинская область</t>
        </is>
      </c>
      <c r="D1353" s="10" t="n">
        <v>210</v>
      </c>
    </row>
    <row r="1354">
      <c r="A1354" s="9" t="inlineStr">
        <is>
          <t>Коммерческая · Продажа</t>
        </is>
      </c>
      <c r="B1354" s="9" t="inlineStr">
        <is>
          <t>Торговая площадь</t>
        </is>
      </c>
      <c r="C1354" s="9" t="inlineStr">
        <is>
          <t>Чеченская Республика</t>
        </is>
      </c>
      <c r="D1354" s="10" t="n">
        <v>16</v>
      </c>
    </row>
    <row r="1355">
      <c r="A1355" s="9" t="inlineStr">
        <is>
          <t>Коммерческая · Продажа</t>
        </is>
      </c>
      <c r="B1355" s="9" t="inlineStr">
        <is>
          <t>Торговая площадь</t>
        </is>
      </c>
      <c r="C1355" s="9" t="inlineStr">
        <is>
          <t>Чувашская Республика</t>
        </is>
      </c>
      <c r="D1355" s="10" t="n">
        <v>52</v>
      </c>
    </row>
    <row r="1356">
      <c r="A1356" s="9" t="inlineStr">
        <is>
          <t>Коммерческая · Продажа</t>
        </is>
      </c>
      <c r="B1356" s="9" t="inlineStr">
        <is>
          <t>Торговая площадь</t>
        </is>
      </c>
      <c r="C1356" s="9" t="inlineStr">
        <is>
          <t>Чукотский автономный округ</t>
        </is>
      </c>
      <c r="D1356" s="10" t="n">
        <v>1</v>
      </c>
    </row>
    <row r="1357">
      <c r="A1357" s="9" t="inlineStr">
        <is>
          <t>Коммерческая · Продажа</t>
        </is>
      </c>
      <c r="B1357" s="9" t="inlineStr">
        <is>
          <t>Торговая площадь</t>
        </is>
      </c>
      <c r="C1357" s="9" t="inlineStr">
        <is>
          <t>Ямало-Ненецкий автономный округ</t>
        </is>
      </c>
      <c r="D1357" s="10" t="n">
        <v>22</v>
      </c>
    </row>
    <row r="1358">
      <c r="A1358" s="9" t="inlineStr">
        <is>
          <t>Коммерческая · Продажа</t>
        </is>
      </c>
      <c r="B1358" s="9" t="inlineStr">
        <is>
          <t>Торговая площадь</t>
        </is>
      </c>
      <c r="C1358" s="9" t="inlineStr">
        <is>
          <t>Ярославская область</t>
        </is>
      </c>
      <c r="D1358" s="10" t="n">
        <v>93</v>
      </c>
    </row>
    <row r="1359">
      <c r="A1359" s="9" t="inlineStr">
        <is>
          <t>Коммерческая · Продажа</t>
        </is>
      </c>
      <c r="B1359" s="9" t="inlineStr">
        <is>
          <t>Торговая площадь</t>
        </is>
      </c>
      <c r="C1359" s="9" t="inlineStr">
        <is>
          <t>Республика Крым</t>
        </is>
      </c>
      <c r="D1359" s="10" t="n">
        <v>238</v>
      </c>
    </row>
    <row r="1360">
      <c r="A1360" s="9" t="inlineStr">
        <is>
          <t>Коммерческая · Продажа</t>
        </is>
      </c>
      <c r="B1360" s="9" t="inlineStr">
        <is>
          <t>Торговая площадь</t>
        </is>
      </c>
      <c r="C1360" s="9" t="inlineStr">
        <is>
          <t>Севастополь</t>
        </is>
      </c>
      <c r="D1360" s="10" t="n">
        <v>72</v>
      </c>
    </row>
    <row r="1361">
      <c r="A1361" s="9" t="inlineStr">
        <is>
          <t>Коммерческая · Продажа</t>
        </is>
      </c>
      <c r="B1361" s="9" t="inlineStr">
        <is>
          <t>Торговая площадь</t>
        </is>
      </c>
      <c r="C1361" s="9" t="inlineStr">
        <is>
          <t>Забайкальский край</t>
        </is>
      </c>
      <c r="D1361" s="10" t="n">
        <v>70</v>
      </c>
    </row>
    <row r="1362">
      <c r="A1362" s="11" t="inlineStr">
        <is>
          <t>Коммерческая · Продажа</t>
        </is>
      </c>
      <c r="B1362" s="12" t="inlineStr">
        <is>
          <t>Складское помещение</t>
        </is>
      </c>
      <c r="C1362" s="13" t="inlineStr">
        <is>
          <t>Москва</t>
        </is>
      </c>
      <c r="D1362" s="14" t="n">
        <v>1384</v>
      </c>
    </row>
    <row r="1363">
      <c r="A1363" s="9" t="inlineStr">
        <is>
          <t>Коммерческая · Продажа</t>
        </is>
      </c>
      <c r="B1363" s="9" t="inlineStr">
        <is>
          <t>Складское помещение</t>
        </is>
      </c>
      <c r="C1363" s="9" t="inlineStr">
        <is>
          <t>Санкт-Петербург</t>
        </is>
      </c>
      <c r="D1363" s="10" t="n">
        <v>159</v>
      </c>
    </row>
    <row r="1364">
      <c r="A1364" s="9" t="inlineStr">
        <is>
          <t>Коммерческая · Продажа</t>
        </is>
      </c>
      <c r="B1364" s="9" t="inlineStr">
        <is>
          <t>Складское помещение</t>
        </is>
      </c>
      <c r="C1364" s="9" t="inlineStr">
        <is>
          <t>Республика Адыгея</t>
        </is>
      </c>
      <c r="D1364" s="10" t="n">
        <v>29</v>
      </c>
    </row>
    <row r="1365">
      <c r="A1365" s="9" t="inlineStr">
        <is>
          <t>Коммерческая · Продажа</t>
        </is>
      </c>
      <c r="B1365" s="9" t="inlineStr">
        <is>
          <t>Складское помещение</t>
        </is>
      </c>
      <c r="C1365" s="9" t="inlineStr">
        <is>
          <t>Республика Алтай</t>
        </is>
      </c>
      <c r="D1365" s="10" t="n">
        <v>4</v>
      </c>
    </row>
    <row r="1366">
      <c r="A1366" s="9" t="inlineStr">
        <is>
          <t>Коммерческая · Продажа</t>
        </is>
      </c>
      <c r="B1366" s="9" t="inlineStr">
        <is>
          <t>Складское помещение</t>
        </is>
      </c>
      <c r="C1366" s="9" t="inlineStr">
        <is>
          <t>Алтайский край</t>
        </is>
      </c>
      <c r="D1366" s="10" t="n">
        <v>73</v>
      </c>
    </row>
    <row r="1367">
      <c r="A1367" s="9" t="inlineStr">
        <is>
          <t>Коммерческая · Продажа</t>
        </is>
      </c>
      <c r="B1367" s="9" t="inlineStr">
        <is>
          <t>Складское помещение</t>
        </is>
      </c>
      <c r="C1367" s="9" t="inlineStr">
        <is>
          <t>Амурская область</t>
        </is>
      </c>
      <c r="D1367" s="10" t="n">
        <v>19</v>
      </c>
    </row>
    <row r="1368">
      <c r="A1368" s="9" t="inlineStr">
        <is>
          <t>Коммерческая · Продажа</t>
        </is>
      </c>
      <c r="B1368" s="9" t="inlineStr">
        <is>
          <t>Складское помещение</t>
        </is>
      </c>
      <c r="C1368" s="9" t="inlineStr">
        <is>
          <t>Архангельская область</t>
        </is>
      </c>
      <c r="D1368" s="10" t="n">
        <v>23</v>
      </c>
    </row>
    <row r="1369">
      <c r="A1369" s="9" t="inlineStr">
        <is>
          <t>Коммерческая · Продажа</t>
        </is>
      </c>
      <c r="B1369" s="9" t="inlineStr">
        <is>
          <t>Складское помещение</t>
        </is>
      </c>
      <c r="C1369" s="9" t="inlineStr">
        <is>
          <t>Астраханская область</t>
        </is>
      </c>
      <c r="D1369" s="10" t="n">
        <v>18</v>
      </c>
    </row>
    <row r="1370">
      <c r="A1370" s="9" t="inlineStr">
        <is>
          <t>Коммерческая · Продажа</t>
        </is>
      </c>
      <c r="B1370" s="9" t="inlineStr">
        <is>
          <t>Складское помещение</t>
        </is>
      </c>
      <c r="C1370" s="9" t="inlineStr">
        <is>
          <t>Республика Башкортостан</t>
        </is>
      </c>
      <c r="D1370" s="10" t="n">
        <v>89</v>
      </c>
    </row>
    <row r="1371">
      <c r="A1371" s="9" t="inlineStr">
        <is>
          <t>Коммерческая · Продажа</t>
        </is>
      </c>
      <c r="B1371" s="9" t="inlineStr">
        <is>
          <t>Складское помещение</t>
        </is>
      </c>
      <c r="C1371" s="9" t="inlineStr">
        <is>
          <t>Белгородская область</t>
        </is>
      </c>
      <c r="D1371" s="10" t="n">
        <v>76</v>
      </c>
    </row>
    <row r="1372">
      <c r="A1372" s="9" t="inlineStr">
        <is>
          <t>Коммерческая · Продажа</t>
        </is>
      </c>
      <c r="B1372" s="9" t="inlineStr">
        <is>
          <t>Складское помещение</t>
        </is>
      </c>
      <c r="C1372" s="9" t="inlineStr">
        <is>
          <t>Брянская область</t>
        </is>
      </c>
      <c r="D1372" s="10" t="n">
        <v>61</v>
      </c>
    </row>
    <row r="1373">
      <c r="A1373" s="9" t="inlineStr">
        <is>
          <t>Коммерческая · Продажа</t>
        </is>
      </c>
      <c r="B1373" s="9" t="inlineStr">
        <is>
          <t>Складское помещение</t>
        </is>
      </c>
      <c r="C1373" s="9" t="inlineStr">
        <is>
          <t>Республика Бурятия</t>
        </is>
      </c>
      <c r="D1373" s="10" t="n">
        <v>12</v>
      </c>
    </row>
    <row r="1374">
      <c r="A1374" s="9" t="inlineStr">
        <is>
          <t>Коммерческая · Продажа</t>
        </is>
      </c>
      <c r="B1374" s="9" t="inlineStr">
        <is>
          <t>Складское помещение</t>
        </is>
      </c>
      <c r="C1374" s="9" t="inlineStr">
        <is>
          <t>Владимирская область</t>
        </is>
      </c>
      <c r="D1374" s="10" t="n">
        <v>45</v>
      </c>
    </row>
    <row r="1375">
      <c r="A1375" s="9" t="inlineStr">
        <is>
          <t>Коммерческая · Продажа</t>
        </is>
      </c>
      <c r="B1375" s="9" t="inlineStr">
        <is>
          <t>Складское помещение</t>
        </is>
      </c>
      <c r="C1375" s="9" t="inlineStr">
        <is>
          <t>Волгоградская область</t>
        </is>
      </c>
      <c r="D1375" s="10" t="n">
        <v>92</v>
      </c>
    </row>
    <row r="1376">
      <c r="A1376" s="9" t="inlineStr">
        <is>
          <t>Коммерческая · Продажа</t>
        </is>
      </c>
      <c r="B1376" s="9" t="inlineStr">
        <is>
          <t>Складское помещение</t>
        </is>
      </c>
      <c r="C1376" s="9" t="inlineStr">
        <is>
          <t>Вологодская область</t>
        </is>
      </c>
      <c r="D1376" s="10" t="n">
        <v>25</v>
      </c>
    </row>
    <row r="1377">
      <c r="A1377" s="9" t="inlineStr">
        <is>
          <t>Коммерческая · Продажа</t>
        </is>
      </c>
      <c r="B1377" s="9" t="inlineStr">
        <is>
          <t>Складское помещение</t>
        </is>
      </c>
      <c r="C1377" s="9" t="inlineStr">
        <is>
          <t>Воронежская область</t>
        </is>
      </c>
      <c r="D1377" s="10" t="n">
        <v>57</v>
      </c>
    </row>
    <row r="1378">
      <c r="A1378" s="9" t="inlineStr">
        <is>
          <t>Коммерческая · Продажа</t>
        </is>
      </c>
      <c r="B1378" s="9" t="inlineStr">
        <is>
          <t>Складское помещение</t>
        </is>
      </c>
      <c r="C1378" s="9" t="inlineStr">
        <is>
          <t>Республика Дагестан</t>
        </is>
      </c>
      <c r="D1378" s="10" t="n">
        <v>12</v>
      </c>
    </row>
    <row r="1379">
      <c r="A1379" s="9" t="inlineStr">
        <is>
          <t>Коммерческая · Продажа</t>
        </is>
      </c>
      <c r="B1379" s="9" t="inlineStr">
        <is>
          <t>Складское помещение</t>
        </is>
      </c>
      <c r="C1379" s="9" t="inlineStr">
        <is>
          <t>Еврейская автономная область</t>
        </is>
      </c>
      <c r="D1379" s="10" t="n">
        <v>7</v>
      </c>
    </row>
    <row r="1380">
      <c r="A1380" s="9" t="inlineStr">
        <is>
          <t>Коммерческая · Продажа</t>
        </is>
      </c>
      <c r="B1380" s="9" t="inlineStr">
        <is>
          <t>Складское помещение</t>
        </is>
      </c>
      <c r="C1380" s="9" t="inlineStr">
        <is>
          <t>Ивановская область</t>
        </is>
      </c>
      <c r="D1380" s="10" t="n">
        <v>23</v>
      </c>
    </row>
    <row r="1381">
      <c r="A1381" s="9" t="inlineStr">
        <is>
          <t>Коммерческая · Продажа</t>
        </is>
      </c>
      <c r="B1381" s="9" t="inlineStr">
        <is>
          <t>Складское помещение</t>
        </is>
      </c>
      <c r="C1381" s="9" t="inlineStr">
        <is>
          <t>Республика Ингушетия</t>
        </is>
      </c>
      <c r="D1381" s="10" t="n">
        <v>0</v>
      </c>
    </row>
    <row r="1382">
      <c r="A1382" s="9" t="inlineStr">
        <is>
          <t>Коммерческая · Продажа</t>
        </is>
      </c>
      <c r="B1382" s="9" t="inlineStr">
        <is>
          <t>Складское помещение</t>
        </is>
      </c>
      <c r="C1382" s="9" t="inlineStr">
        <is>
          <t>Иркутская область</t>
        </is>
      </c>
      <c r="D1382" s="10" t="n">
        <v>59</v>
      </c>
    </row>
    <row r="1383">
      <c r="A1383" s="9" t="inlineStr">
        <is>
          <t>Коммерческая · Продажа</t>
        </is>
      </c>
      <c r="B1383" s="9" t="inlineStr">
        <is>
          <t>Складское помещение</t>
        </is>
      </c>
      <c r="C1383" s="9" t="inlineStr">
        <is>
          <t>Кабардино-Балкарская Республика</t>
        </is>
      </c>
      <c r="D1383" s="10" t="n">
        <v>10</v>
      </c>
    </row>
    <row r="1384">
      <c r="A1384" s="9" t="inlineStr">
        <is>
          <t>Коммерческая · Продажа</t>
        </is>
      </c>
      <c r="B1384" s="9" t="inlineStr">
        <is>
          <t>Складское помещение</t>
        </is>
      </c>
      <c r="C1384" s="9" t="inlineStr">
        <is>
          <t>Калининградская область</t>
        </is>
      </c>
      <c r="D1384" s="10" t="n">
        <v>75</v>
      </c>
    </row>
    <row r="1385">
      <c r="A1385" s="9" t="inlineStr">
        <is>
          <t>Коммерческая · Продажа</t>
        </is>
      </c>
      <c r="B1385" s="9" t="inlineStr">
        <is>
          <t>Складское помещение</t>
        </is>
      </c>
      <c r="C1385" s="9" t="inlineStr">
        <is>
          <t>Республика Калмыкия</t>
        </is>
      </c>
      <c r="D1385" s="10" t="n">
        <v>4</v>
      </c>
    </row>
    <row r="1386">
      <c r="A1386" s="9" t="inlineStr">
        <is>
          <t>Коммерческая · Продажа</t>
        </is>
      </c>
      <c r="B1386" s="9" t="inlineStr">
        <is>
          <t>Складское помещение</t>
        </is>
      </c>
      <c r="C1386" s="9" t="inlineStr">
        <is>
          <t>Калужская область</t>
        </is>
      </c>
      <c r="D1386" s="10" t="n">
        <v>34</v>
      </c>
    </row>
    <row r="1387">
      <c r="A1387" s="9" t="inlineStr">
        <is>
          <t>Коммерческая · Продажа</t>
        </is>
      </c>
      <c r="B1387" s="9" t="inlineStr">
        <is>
          <t>Складское помещение</t>
        </is>
      </c>
      <c r="C1387" s="9" t="inlineStr">
        <is>
          <t>Камчатский край</t>
        </is>
      </c>
      <c r="D1387" s="10" t="n">
        <v>13</v>
      </c>
    </row>
    <row r="1388">
      <c r="A1388" s="9" t="inlineStr">
        <is>
          <t>Коммерческая · Продажа</t>
        </is>
      </c>
      <c r="B1388" s="9" t="inlineStr">
        <is>
          <t>Складское помещение</t>
        </is>
      </c>
      <c r="C1388" s="9" t="inlineStr">
        <is>
          <t>Карачаево-Черкесская Республика</t>
        </is>
      </c>
      <c r="D1388" s="10" t="n">
        <v>3</v>
      </c>
    </row>
    <row r="1389">
      <c r="A1389" s="9" t="inlineStr">
        <is>
          <t>Коммерческая · Продажа</t>
        </is>
      </c>
      <c r="B1389" s="9" t="inlineStr">
        <is>
          <t>Складское помещение</t>
        </is>
      </c>
      <c r="C1389" s="9" t="inlineStr">
        <is>
          <t>Республика Карелия</t>
        </is>
      </c>
      <c r="D1389" s="10" t="n">
        <v>21</v>
      </c>
    </row>
    <row r="1390">
      <c r="A1390" s="9" t="inlineStr">
        <is>
          <t>Коммерческая · Продажа</t>
        </is>
      </c>
      <c r="B1390" s="9" t="inlineStr">
        <is>
          <t>Складское помещение</t>
        </is>
      </c>
      <c r="C1390" s="9" t="inlineStr">
        <is>
          <t>Кемеровская область</t>
        </is>
      </c>
      <c r="D1390" s="10" t="n">
        <v>67</v>
      </c>
    </row>
    <row r="1391">
      <c r="A1391" s="9" t="inlineStr">
        <is>
          <t>Коммерческая · Продажа</t>
        </is>
      </c>
      <c r="B1391" s="9" t="inlineStr">
        <is>
          <t>Складское помещение</t>
        </is>
      </c>
      <c r="C1391" s="9" t="inlineStr">
        <is>
          <t>Кировская область</t>
        </is>
      </c>
      <c r="D1391" s="10" t="n">
        <v>37</v>
      </c>
    </row>
    <row r="1392">
      <c r="A1392" s="9" t="inlineStr">
        <is>
          <t>Коммерческая · Продажа</t>
        </is>
      </c>
      <c r="B1392" s="9" t="inlineStr">
        <is>
          <t>Складское помещение</t>
        </is>
      </c>
      <c r="C1392" s="9" t="inlineStr">
        <is>
          <t>Республика Коми</t>
        </is>
      </c>
      <c r="D1392" s="10" t="n">
        <v>31</v>
      </c>
    </row>
    <row r="1393">
      <c r="A1393" s="9" t="inlineStr">
        <is>
          <t>Коммерческая · Продажа</t>
        </is>
      </c>
      <c r="B1393" s="9" t="inlineStr">
        <is>
          <t>Складское помещение</t>
        </is>
      </c>
      <c r="C1393" s="9" t="inlineStr">
        <is>
          <t>Костромская область</t>
        </is>
      </c>
      <c r="D1393" s="10" t="n">
        <v>32</v>
      </c>
    </row>
    <row r="1394">
      <c r="A1394" s="9" t="inlineStr">
        <is>
          <t>Коммерческая · Продажа</t>
        </is>
      </c>
      <c r="B1394" s="9" t="inlineStr">
        <is>
          <t>Складское помещение</t>
        </is>
      </c>
      <c r="C1394" s="9" t="inlineStr">
        <is>
          <t>Краснодарский край</t>
        </is>
      </c>
      <c r="D1394" s="10" t="n">
        <v>311</v>
      </c>
    </row>
    <row r="1395">
      <c r="A1395" s="9" t="inlineStr">
        <is>
          <t>Коммерческая · Продажа</t>
        </is>
      </c>
      <c r="B1395" s="9" t="inlineStr">
        <is>
          <t>Складское помещение</t>
        </is>
      </c>
      <c r="C1395" s="9" t="inlineStr">
        <is>
          <t>Красноярский край</t>
        </is>
      </c>
      <c r="D1395" s="10" t="n">
        <v>80</v>
      </c>
    </row>
    <row r="1396">
      <c r="A1396" s="9" t="inlineStr">
        <is>
          <t>Коммерческая · Продажа</t>
        </is>
      </c>
      <c r="B1396" s="9" t="inlineStr">
        <is>
          <t>Складское помещение</t>
        </is>
      </c>
      <c r="C1396" s="9" t="inlineStr">
        <is>
          <t>Курганская область</t>
        </is>
      </c>
      <c r="D1396" s="10" t="n">
        <v>22</v>
      </c>
    </row>
    <row r="1397">
      <c r="A1397" s="9" t="inlineStr">
        <is>
          <t>Коммерческая · Продажа</t>
        </is>
      </c>
      <c r="B1397" s="9" t="inlineStr">
        <is>
          <t>Складское помещение</t>
        </is>
      </c>
      <c r="C1397" s="9" t="inlineStr">
        <is>
          <t>Курская область</t>
        </is>
      </c>
      <c r="D1397" s="10" t="n">
        <v>39</v>
      </c>
    </row>
    <row r="1398">
      <c r="A1398" s="9" t="inlineStr">
        <is>
          <t>Коммерческая · Продажа</t>
        </is>
      </c>
      <c r="B1398" s="9" t="inlineStr">
        <is>
          <t>Складское помещение</t>
        </is>
      </c>
      <c r="C1398" s="9" t="inlineStr">
        <is>
          <t>Ленинградская область</t>
        </is>
      </c>
      <c r="D1398" s="10" t="n">
        <v>61</v>
      </c>
    </row>
    <row r="1399">
      <c r="A1399" s="9" t="inlineStr">
        <is>
          <t>Коммерческая · Продажа</t>
        </is>
      </c>
      <c r="B1399" s="9" t="inlineStr">
        <is>
          <t>Складское помещение</t>
        </is>
      </c>
      <c r="C1399" s="9" t="inlineStr">
        <is>
          <t>Липецкая область</t>
        </is>
      </c>
      <c r="D1399" s="10" t="n">
        <v>28</v>
      </c>
    </row>
    <row r="1400">
      <c r="A1400" s="9" t="inlineStr">
        <is>
          <t>Коммерческая · Продажа</t>
        </is>
      </c>
      <c r="B1400" s="9" t="inlineStr">
        <is>
          <t>Складское помещение</t>
        </is>
      </c>
      <c r="C1400" s="9" t="inlineStr">
        <is>
          <t>Магаданская область</t>
        </is>
      </c>
      <c r="D1400" s="10" t="n">
        <v>8</v>
      </c>
    </row>
    <row r="1401">
      <c r="A1401" s="9" t="inlineStr">
        <is>
          <t>Коммерческая · Продажа</t>
        </is>
      </c>
      <c r="B1401" s="9" t="inlineStr">
        <is>
          <t>Складское помещение</t>
        </is>
      </c>
      <c r="C1401" s="9" t="inlineStr">
        <is>
          <t>Республика Марий Эл</t>
        </is>
      </c>
      <c r="D1401" s="10" t="n">
        <v>17</v>
      </c>
    </row>
    <row r="1402">
      <c r="A1402" s="9" t="inlineStr">
        <is>
          <t>Коммерческая · Продажа</t>
        </is>
      </c>
      <c r="B1402" s="9" t="inlineStr">
        <is>
          <t>Складское помещение</t>
        </is>
      </c>
      <c r="C1402" s="9" t="inlineStr">
        <is>
          <t>Республика Мордовия</t>
        </is>
      </c>
      <c r="D1402" s="10" t="n">
        <v>20</v>
      </c>
    </row>
    <row r="1403">
      <c r="A1403" s="9" t="inlineStr">
        <is>
          <t>Коммерческая · Продажа</t>
        </is>
      </c>
      <c r="B1403" s="9" t="inlineStr">
        <is>
          <t>Складское помещение</t>
        </is>
      </c>
      <c r="C1403" s="9" t="inlineStr">
        <is>
          <t>Московская область</t>
        </is>
      </c>
      <c r="D1403" s="10" t="n">
        <v>1512</v>
      </c>
    </row>
    <row r="1404">
      <c r="A1404" s="9" t="inlineStr">
        <is>
          <t>Коммерческая · Продажа</t>
        </is>
      </c>
      <c r="B1404" s="9" t="inlineStr">
        <is>
          <t>Складское помещение</t>
        </is>
      </c>
      <c r="C1404" s="9" t="inlineStr">
        <is>
          <t>Мурманская область</t>
        </is>
      </c>
      <c r="D1404" s="10" t="n">
        <v>14</v>
      </c>
    </row>
    <row r="1405">
      <c r="A1405" s="9" t="inlineStr">
        <is>
          <t>Коммерческая · Продажа</t>
        </is>
      </c>
      <c r="B1405" s="9" t="inlineStr">
        <is>
          <t>Складское помещение</t>
        </is>
      </c>
      <c r="C1405" s="9" t="inlineStr">
        <is>
          <t>Ненецкий автономный округ</t>
        </is>
      </c>
      <c r="D1405" s="10" t="n">
        <v>0</v>
      </c>
    </row>
    <row r="1406">
      <c r="A1406" s="9" t="inlineStr">
        <is>
          <t>Коммерческая · Продажа</t>
        </is>
      </c>
      <c r="B1406" s="9" t="inlineStr">
        <is>
          <t>Складское помещение</t>
        </is>
      </c>
      <c r="C1406" s="9" t="inlineStr">
        <is>
          <t>Нижегородская область</t>
        </is>
      </c>
      <c r="D1406" s="10" t="n">
        <v>86</v>
      </c>
    </row>
    <row r="1407">
      <c r="A1407" s="9" t="inlineStr">
        <is>
          <t>Коммерческая · Продажа</t>
        </is>
      </c>
      <c r="B1407" s="9" t="inlineStr">
        <is>
          <t>Складское помещение</t>
        </is>
      </c>
      <c r="C1407" s="9" t="inlineStr">
        <is>
          <t>Новгородская область</t>
        </is>
      </c>
      <c r="D1407" s="10" t="n">
        <v>25</v>
      </c>
    </row>
    <row r="1408">
      <c r="A1408" s="9" t="inlineStr">
        <is>
          <t>Коммерческая · Продажа</t>
        </is>
      </c>
      <c r="B1408" s="9" t="inlineStr">
        <is>
          <t>Складское помещение</t>
        </is>
      </c>
      <c r="C1408" s="9" t="inlineStr">
        <is>
          <t>Новосибирская область</t>
        </is>
      </c>
      <c r="D1408" s="10" t="n">
        <v>251</v>
      </c>
    </row>
    <row r="1409">
      <c r="A1409" s="9" t="inlineStr">
        <is>
          <t>Коммерческая · Продажа</t>
        </is>
      </c>
      <c r="B1409" s="9" t="inlineStr">
        <is>
          <t>Складское помещение</t>
        </is>
      </c>
      <c r="C1409" s="9" t="inlineStr">
        <is>
          <t>Омская область</t>
        </is>
      </c>
      <c r="D1409" s="10" t="n">
        <v>64</v>
      </c>
    </row>
    <row r="1410">
      <c r="A1410" s="9" t="inlineStr">
        <is>
          <t>Коммерческая · Продажа</t>
        </is>
      </c>
      <c r="B1410" s="9" t="inlineStr">
        <is>
          <t>Складское помещение</t>
        </is>
      </c>
      <c r="C1410" s="9" t="inlineStr">
        <is>
          <t>Оренбургская область</t>
        </is>
      </c>
      <c r="D1410" s="10" t="n">
        <v>37</v>
      </c>
    </row>
    <row r="1411">
      <c r="A1411" s="9" t="inlineStr">
        <is>
          <t>Коммерческая · Продажа</t>
        </is>
      </c>
      <c r="B1411" s="9" t="inlineStr">
        <is>
          <t>Складское помещение</t>
        </is>
      </c>
      <c r="C1411" s="9" t="inlineStr">
        <is>
          <t>Орловская область</t>
        </is>
      </c>
      <c r="D1411" s="10" t="n">
        <v>16</v>
      </c>
    </row>
    <row r="1412">
      <c r="A1412" s="9" t="inlineStr">
        <is>
          <t>Коммерческая · Продажа</t>
        </is>
      </c>
      <c r="B1412" s="9" t="inlineStr">
        <is>
          <t>Складское помещение</t>
        </is>
      </c>
      <c r="C1412" s="9" t="inlineStr">
        <is>
          <t>Пензенская область</t>
        </is>
      </c>
      <c r="D1412" s="10" t="n">
        <v>33</v>
      </c>
    </row>
    <row r="1413">
      <c r="A1413" s="9" t="inlineStr">
        <is>
          <t>Коммерческая · Продажа</t>
        </is>
      </c>
      <c r="B1413" s="9" t="inlineStr">
        <is>
          <t>Складское помещение</t>
        </is>
      </c>
      <c r="C1413" s="9" t="inlineStr">
        <is>
          <t>Пермский край</t>
        </is>
      </c>
      <c r="D1413" s="10" t="n">
        <v>63</v>
      </c>
    </row>
    <row r="1414">
      <c r="A1414" s="9" t="inlineStr">
        <is>
          <t>Коммерческая · Продажа</t>
        </is>
      </c>
      <c r="B1414" s="9" t="inlineStr">
        <is>
          <t>Складское помещение</t>
        </is>
      </c>
      <c r="C1414" s="9" t="inlineStr">
        <is>
          <t>Приморский край</t>
        </is>
      </c>
      <c r="D1414" s="10" t="n">
        <v>19</v>
      </c>
    </row>
    <row r="1415">
      <c r="A1415" s="9" t="inlineStr">
        <is>
          <t>Коммерческая · Продажа</t>
        </is>
      </c>
      <c r="B1415" s="9" t="inlineStr">
        <is>
          <t>Складское помещение</t>
        </is>
      </c>
      <c r="C1415" s="9" t="inlineStr">
        <is>
          <t>Псковская область</t>
        </is>
      </c>
      <c r="D1415" s="10" t="n">
        <v>11</v>
      </c>
    </row>
    <row r="1416">
      <c r="A1416" s="9" t="inlineStr">
        <is>
          <t>Коммерческая · Продажа</t>
        </is>
      </c>
      <c r="B1416" s="9" t="inlineStr">
        <is>
          <t>Складское помещение</t>
        </is>
      </c>
      <c r="C1416" s="9" t="inlineStr">
        <is>
          <t>Ростовская область</t>
        </is>
      </c>
      <c r="D1416" s="10" t="n">
        <v>123</v>
      </c>
    </row>
    <row r="1417">
      <c r="A1417" s="9" t="inlineStr">
        <is>
          <t>Коммерческая · Продажа</t>
        </is>
      </c>
      <c r="B1417" s="9" t="inlineStr">
        <is>
          <t>Складское помещение</t>
        </is>
      </c>
      <c r="C1417" s="9" t="inlineStr">
        <is>
          <t>Рязанская область</t>
        </is>
      </c>
      <c r="D1417" s="10" t="n">
        <v>42</v>
      </c>
    </row>
    <row r="1418">
      <c r="A1418" s="9" t="inlineStr">
        <is>
          <t>Коммерческая · Продажа</t>
        </is>
      </c>
      <c r="B1418" s="9" t="inlineStr">
        <is>
          <t>Складское помещение</t>
        </is>
      </c>
      <c r="C1418" s="9" t="inlineStr">
        <is>
          <t>Самарская область</t>
        </is>
      </c>
      <c r="D1418" s="10" t="n">
        <v>77</v>
      </c>
    </row>
    <row r="1419">
      <c r="A1419" s="9" t="inlineStr">
        <is>
          <t>Коммерческая · Продажа</t>
        </is>
      </c>
      <c r="B1419" s="9" t="inlineStr">
        <is>
          <t>Складское помещение</t>
        </is>
      </c>
      <c r="C1419" s="9" t="inlineStr">
        <is>
          <t>Саратовская область</t>
        </is>
      </c>
      <c r="D1419" s="10" t="n">
        <v>67</v>
      </c>
    </row>
    <row r="1420">
      <c r="A1420" s="9" t="inlineStr">
        <is>
          <t>Коммерческая · Продажа</t>
        </is>
      </c>
      <c r="B1420" s="9" t="inlineStr">
        <is>
          <t>Складское помещение</t>
        </is>
      </c>
      <c r="C1420" s="9" t="inlineStr">
        <is>
          <t>Республика Саха (Якутия)</t>
        </is>
      </c>
      <c r="D1420" s="10" t="n">
        <v>8</v>
      </c>
    </row>
    <row r="1421">
      <c r="A1421" s="9" t="inlineStr">
        <is>
          <t>Коммерческая · Продажа</t>
        </is>
      </c>
      <c r="B1421" s="9" t="inlineStr">
        <is>
          <t>Складское помещение</t>
        </is>
      </c>
      <c r="C1421" s="9" t="inlineStr">
        <is>
          <t>Сахалинская область</t>
        </is>
      </c>
      <c r="D1421" s="10" t="n">
        <v>17</v>
      </c>
    </row>
    <row r="1422">
      <c r="A1422" s="9" t="inlineStr">
        <is>
          <t>Коммерческая · Продажа</t>
        </is>
      </c>
      <c r="B1422" s="9" t="inlineStr">
        <is>
          <t>Складское помещение</t>
        </is>
      </c>
      <c r="C1422" s="9" t="inlineStr">
        <is>
          <t>Свердловская область</t>
        </is>
      </c>
      <c r="D1422" s="10" t="n">
        <v>225</v>
      </c>
    </row>
    <row r="1423">
      <c r="A1423" s="9" t="inlineStr">
        <is>
          <t>Коммерческая · Продажа</t>
        </is>
      </c>
      <c r="B1423" s="9" t="inlineStr">
        <is>
          <t>Складское помещение</t>
        </is>
      </c>
      <c r="C1423" s="9" t="inlineStr">
        <is>
          <t>Республика Северная Осетия - Алания</t>
        </is>
      </c>
      <c r="D1423" s="10" t="n">
        <v>14</v>
      </c>
    </row>
    <row r="1424">
      <c r="A1424" s="9" t="inlineStr">
        <is>
          <t>Коммерческая · Продажа</t>
        </is>
      </c>
      <c r="B1424" s="9" t="inlineStr">
        <is>
          <t>Складское помещение</t>
        </is>
      </c>
      <c r="C1424" s="9" t="inlineStr">
        <is>
          <t>Смоленская область</t>
        </is>
      </c>
      <c r="D1424" s="10" t="n">
        <v>30</v>
      </c>
    </row>
    <row r="1425">
      <c r="A1425" s="9" t="inlineStr">
        <is>
          <t>Коммерческая · Продажа</t>
        </is>
      </c>
      <c r="B1425" s="9" t="inlineStr">
        <is>
          <t>Складское помещение</t>
        </is>
      </c>
      <c r="C1425" s="9" t="inlineStr">
        <is>
          <t>Ставропольский край</t>
        </is>
      </c>
      <c r="D1425" s="10" t="n">
        <v>95</v>
      </c>
    </row>
    <row r="1426">
      <c r="A1426" s="9" t="inlineStr">
        <is>
          <t>Коммерческая · Продажа</t>
        </is>
      </c>
      <c r="B1426" s="9" t="inlineStr">
        <is>
          <t>Складское помещение</t>
        </is>
      </c>
      <c r="C1426" s="9" t="inlineStr">
        <is>
          <t>Тамбовская область</t>
        </is>
      </c>
      <c r="D1426" s="10" t="n">
        <v>27</v>
      </c>
    </row>
    <row r="1427">
      <c r="A1427" s="9" t="inlineStr">
        <is>
          <t>Коммерческая · Продажа</t>
        </is>
      </c>
      <c r="B1427" s="9" t="inlineStr">
        <is>
          <t>Складское помещение</t>
        </is>
      </c>
      <c r="C1427" s="9" t="inlineStr">
        <is>
          <t>Республика Татарстан</t>
        </is>
      </c>
      <c r="D1427" s="10" t="n">
        <v>96</v>
      </c>
    </row>
    <row r="1428">
      <c r="A1428" s="9" t="inlineStr">
        <is>
          <t>Коммерческая · Продажа</t>
        </is>
      </c>
      <c r="B1428" s="9" t="inlineStr">
        <is>
          <t>Складское помещение</t>
        </is>
      </c>
      <c r="C1428" s="9" t="inlineStr">
        <is>
          <t>Тверская область</t>
        </is>
      </c>
      <c r="D1428" s="10" t="n">
        <v>62</v>
      </c>
    </row>
    <row r="1429">
      <c r="A1429" s="9" t="inlineStr">
        <is>
          <t>Коммерческая · Продажа</t>
        </is>
      </c>
      <c r="B1429" s="9" t="inlineStr">
        <is>
          <t>Складское помещение</t>
        </is>
      </c>
      <c r="C1429" s="9" t="inlineStr">
        <is>
          <t>Томская область</t>
        </is>
      </c>
      <c r="D1429" s="10" t="n">
        <v>39</v>
      </c>
    </row>
    <row r="1430">
      <c r="A1430" s="9" t="inlineStr">
        <is>
          <t>Коммерческая · Продажа</t>
        </is>
      </c>
      <c r="B1430" s="9" t="inlineStr">
        <is>
          <t>Складское помещение</t>
        </is>
      </c>
      <c r="C1430" s="9" t="inlineStr">
        <is>
          <t>Тульская область</t>
        </is>
      </c>
      <c r="D1430" s="10" t="n">
        <v>57</v>
      </c>
    </row>
    <row r="1431">
      <c r="A1431" s="9" t="inlineStr">
        <is>
          <t>Коммерческая · Продажа</t>
        </is>
      </c>
      <c r="B1431" s="9" t="inlineStr">
        <is>
          <t>Складское помещение</t>
        </is>
      </c>
      <c r="C1431" s="9" t="inlineStr">
        <is>
          <t>Республика Тыва</t>
        </is>
      </c>
      <c r="D1431" s="10" t="n">
        <v>4</v>
      </c>
    </row>
    <row r="1432">
      <c r="A1432" s="9" t="inlineStr">
        <is>
          <t>Коммерческая · Продажа</t>
        </is>
      </c>
      <c r="B1432" s="9" t="inlineStr">
        <is>
          <t>Складское помещение</t>
        </is>
      </c>
      <c r="C1432" s="9" t="inlineStr">
        <is>
          <t>Тюменская область</t>
        </is>
      </c>
      <c r="D1432" s="10" t="n">
        <v>125</v>
      </c>
    </row>
    <row r="1433">
      <c r="A1433" s="9" t="inlineStr">
        <is>
          <t>Коммерческая · Продажа</t>
        </is>
      </c>
      <c r="B1433" s="9" t="inlineStr">
        <is>
          <t>Складское помещение</t>
        </is>
      </c>
      <c r="C1433" s="9" t="inlineStr">
        <is>
          <t>Удмуртская Республика</t>
        </is>
      </c>
      <c r="D1433" s="10" t="n">
        <v>15</v>
      </c>
    </row>
    <row r="1434">
      <c r="A1434" s="9" t="inlineStr">
        <is>
          <t>Коммерческая · Продажа</t>
        </is>
      </c>
      <c r="B1434" s="9" t="inlineStr">
        <is>
          <t>Складское помещение</t>
        </is>
      </c>
      <c r="C1434" s="9" t="inlineStr">
        <is>
          <t>Ульяновская область</t>
        </is>
      </c>
      <c r="D1434" s="10" t="n">
        <v>25</v>
      </c>
    </row>
    <row r="1435">
      <c r="A1435" s="9" t="inlineStr">
        <is>
          <t>Коммерческая · Продажа</t>
        </is>
      </c>
      <c r="B1435" s="9" t="inlineStr">
        <is>
          <t>Складское помещение</t>
        </is>
      </c>
      <c r="C1435" s="9" t="inlineStr">
        <is>
          <t>Хабаровский край</t>
        </is>
      </c>
      <c r="D1435" s="10" t="n">
        <v>58</v>
      </c>
    </row>
    <row r="1436">
      <c r="A1436" s="9" t="inlineStr">
        <is>
          <t>Коммерческая · Продажа</t>
        </is>
      </c>
      <c r="B1436" s="9" t="inlineStr">
        <is>
          <t>Складское помещение</t>
        </is>
      </c>
      <c r="C1436" s="9" t="inlineStr">
        <is>
          <t>Республика Хакасия</t>
        </is>
      </c>
      <c r="D1436" s="10" t="n">
        <v>15</v>
      </c>
    </row>
    <row r="1437">
      <c r="A1437" s="9" t="inlineStr">
        <is>
          <t>Коммерческая · Продажа</t>
        </is>
      </c>
      <c r="B1437" s="9" t="inlineStr">
        <is>
          <t>Складское помещение</t>
        </is>
      </c>
      <c r="C1437" s="9" t="inlineStr">
        <is>
          <t>Ханты-Мансийский автономный округ</t>
        </is>
      </c>
      <c r="D1437" s="10" t="n">
        <v>31</v>
      </c>
    </row>
    <row r="1438">
      <c r="A1438" s="9" t="inlineStr">
        <is>
          <t>Коммерческая · Продажа</t>
        </is>
      </c>
      <c r="B1438" s="9" t="inlineStr">
        <is>
          <t>Складское помещение</t>
        </is>
      </c>
      <c r="C1438" s="9" t="inlineStr">
        <is>
          <t>Челябинская область</t>
        </is>
      </c>
      <c r="D1438" s="10" t="n">
        <v>74</v>
      </c>
    </row>
    <row r="1439">
      <c r="A1439" s="9" t="inlineStr">
        <is>
          <t>Коммерческая · Продажа</t>
        </is>
      </c>
      <c r="B1439" s="9" t="inlineStr">
        <is>
          <t>Складское помещение</t>
        </is>
      </c>
      <c r="C1439" s="9" t="inlineStr">
        <is>
          <t>Чеченская Республика</t>
        </is>
      </c>
      <c r="D1439" s="10" t="n">
        <v>4</v>
      </c>
    </row>
    <row r="1440">
      <c r="A1440" s="9" t="inlineStr">
        <is>
          <t>Коммерческая · Продажа</t>
        </is>
      </c>
      <c r="B1440" s="9" t="inlineStr">
        <is>
          <t>Складское помещение</t>
        </is>
      </c>
      <c r="C1440" s="9" t="inlineStr">
        <is>
          <t>Чувашская Республика</t>
        </is>
      </c>
      <c r="D1440" s="10" t="n">
        <v>44</v>
      </c>
    </row>
    <row r="1441">
      <c r="A1441" s="9" t="inlineStr">
        <is>
          <t>Коммерческая · Продажа</t>
        </is>
      </c>
      <c r="B1441" s="9" t="inlineStr">
        <is>
          <t>Складское помещение</t>
        </is>
      </c>
      <c r="C1441" s="9" t="inlineStr">
        <is>
          <t>Чукотский автономный округ</t>
        </is>
      </c>
      <c r="D1441" s="10" t="n">
        <v>2</v>
      </c>
    </row>
    <row r="1442">
      <c r="A1442" s="9" t="inlineStr">
        <is>
          <t>Коммерческая · Продажа</t>
        </is>
      </c>
      <c r="B1442" s="9" t="inlineStr">
        <is>
          <t>Складское помещение</t>
        </is>
      </c>
      <c r="C1442" s="9" t="inlineStr">
        <is>
          <t>Ямало-Ненецкий автономный округ</t>
        </is>
      </c>
      <c r="D1442" s="10" t="n">
        <v>12</v>
      </c>
    </row>
    <row r="1443">
      <c r="A1443" s="9" t="inlineStr">
        <is>
          <t>Коммерческая · Продажа</t>
        </is>
      </c>
      <c r="B1443" s="9" t="inlineStr">
        <is>
          <t>Складское помещение</t>
        </is>
      </c>
      <c r="C1443" s="9" t="inlineStr">
        <is>
          <t>Ярославская область</t>
        </is>
      </c>
      <c r="D1443" s="10" t="n">
        <v>63</v>
      </c>
    </row>
    <row r="1444">
      <c r="A1444" s="9" t="inlineStr">
        <is>
          <t>Коммерческая · Продажа</t>
        </is>
      </c>
      <c r="B1444" s="9" t="inlineStr">
        <is>
          <t>Складское помещение</t>
        </is>
      </c>
      <c r="C1444" s="9" t="inlineStr">
        <is>
          <t>Республика Крым</t>
        </is>
      </c>
      <c r="D1444" s="10" t="n">
        <v>85</v>
      </c>
    </row>
    <row r="1445">
      <c r="A1445" s="9" t="inlineStr">
        <is>
          <t>Коммерческая · Продажа</t>
        </is>
      </c>
      <c r="B1445" s="9" t="inlineStr">
        <is>
          <t>Складское помещение</t>
        </is>
      </c>
      <c r="C1445" s="9" t="inlineStr">
        <is>
          <t>Севастополь</t>
        </is>
      </c>
      <c r="D1445" s="10" t="n">
        <v>21</v>
      </c>
    </row>
    <row r="1446">
      <c r="A1446" s="9" t="inlineStr">
        <is>
          <t>Коммерческая · Продажа</t>
        </is>
      </c>
      <c r="B1446" s="9" t="inlineStr">
        <is>
          <t>Складское помещение</t>
        </is>
      </c>
      <c r="C1446" s="9" t="inlineStr">
        <is>
          <t>Забайкальский край</t>
        </is>
      </c>
      <c r="D1446" s="10" t="n">
        <v>14</v>
      </c>
    </row>
    <row r="1447">
      <c r="A1447" s="11" t="inlineStr">
        <is>
          <t>Коммерческая · Продажа</t>
        </is>
      </c>
      <c r="B1447" s="12" t="inlineStr">
        <is>
          <t>Бизнес (готовый)</t>
        </is>
      </c>
      <c r="C1447" s="13" t="inlineStr">
        <is>
          <t>Москва</t>
        </is>
      </c>
      <c r="D1447" s="14" t="n">
        <v>2141</v>
      </c>
    </row>
    <row r="1448">
      <c r="A1448" s="9" t="inlineStr">
        <is>
          <t>Коммерческая · Продажа</t>
        </is>
      </c>
      <c r="B1448" s="9" t="inlineStr">
        <is>
          <t>Бизнес (готовый)</t>
        </is>
      </c>
      <c r="C1448" s="9" t="inlineStr">
        <is>
          <t>Санкт-Петербург</t>
        </is>
      </c>
      <c r="D1448" s="10" t="n">
        <v>155</v>
      </c>
    </row>
    <row r="1449">
      <c r="A1449" s="9" t="inlineStr">
        <is>
          <t>Коммерческая · Продажа</t>
        </is>
      </c>
      <c r="B1449" s="9" t="inlineStr">
        <is>
          <t>Бизнес (готовый)</t>
        </is>
      </c>
      <c r="C1449" s="9" t="inlineStr">
        <is>
          <t>Республика Адыгея</t>
        </is>
      </c>
      <c r="D1449" s="10" t="n">
        <v>40</v>
      </c>
    </row>
    <row r="1450">
      <c r="A1450" s="9" t="inlineStr">
        <is>
          <t>Коммерческая · Продажа</t>
        </is>
      </c>
      <c r="B1450" s="9" t="inlineStr">
        <is>
          <t>Бизнес (готовый)</t>
        </is>
      </c>
      <c r="C1450" s="9" t="inlineStr">
        <is>
          <t>Республика Алтай</t>
        </is>
      </c>
      <c r="D1450" s="10" t="n">
        <v>70</v>
      </c>
    </row>
    <row r="1451">
      <c r="A1451" s="9" t="inlineStr">
        <is>
          <t>Коммерческая · Продажа</t>
        </is>
      </c>
      <c r="B1451" s="9" t="inlineStr">
        <is>
          <t>Бизнес (готовый)</t>
        </is>
      </c>
      <c r="C1451" s="9" t="inlineStr">
        <is>
          <t>Алтайский край</t>
        </is>
      </c>
      <c r="D1451" s="10" t="n">
        <v>140</v>
      </c>
    </row>
    <row r="1452">
      <c r="A1452" s="9" t="inlineStr">
        <is>
          <t>Коммерческая · Продажа</t>
        </is>
      </c>
      <c r="B1452" s="9" t="inlineStr">
        <is>
          <t>Бизнес (готовый)</t>
        </is>
      </c>
      <c r="C1452" s="9" t="inlineStr">
        <is>
          <t>Амурская область</t>
        </is>
      </c>
      <c r="D1452" s="10" t="n">
        <v>25</v>
      </c>
    </row>
    <row r="1453">
      <c r="A1453" s="9" t="inlineStr">
        <is>
          <t>Коммерческая · Продажа</t>
        </is>
      </c>
      <c r="B1453" s="9" t="inlineStr">
        <is>
          <t>Бизнес (готовый)</t>
        </is>
      </c>
      <c r="C1453" s="9" t="inlineStr">
        <is>
          <t>Архангельская область</t>
        </is>
      </c>
      <c r="D1453" s="10" t="n">
        <v>17</v>
      </c>
    </row>
    <row r="1454">
      <c r="A1454" s="9" t="inlineStr">
        <is>
          <t>Коммерческая · Продажа</t>
        </is>
      </c>
      <c r="B1454" s="9" t="inlineStr">
        <is>
          <t>Бизнес (готовый)</t>
        </is>
      </c>
      <c r="C1454" s="9" t="inlineStr">
        <is>
          <t>Астраханская область</t>
        </is>
      </c>
      <c r="D1454" s="10" t="n">
        <v>58</v>
      </c>
    </row>
    <row r="1455">
      <c r="A1455" s="9" t="inlineStr">
        <is>
          <t>Коммерческая · Продажа</t>
        </is>
      </c>
      <c r="B1455" s="9" t="inlineStr">
        <is>
          <t>Бизнес (готовый)</t>
        </is>
      </c>
      <c r="C1455" s="9" t="inlineStr">
        <is>
          <t>Республика Башкортостан</t>
        </is>
      </c>
      <c r="D1455" s="10" t="n">
        <v>111</v>
      </c>
    </row>
    <row r="1456">
      <c r="A1456" s="9" t="inlineStr">
        <is>
          <t>Коммерческая · Продажа</t>
        </is>
      </c>
      <c r="B1456" s="9" t="inlineStr">
        <is>
          <t>Бизнес (готовый)</t>
        </is>
      </c>
      <c r="C1456" s="9" t="inlineStr">
        <is>
          <t>Белгородская область</t>
        </is>
      </c>
      <c r="D1456" s="10" t="n">
        <v>152</v>
      </c>
    </row>
    <row r="1457">
      <c r="A1457" s="9" t="inlineStr">
        <is>
          <t>Коммерческая · Продажа</t>
        </is>
      </c>
      <c r="B1457" s="9" t="inlineStr">
        <is>
          <t>Бизнес (готовый)</t>
        </is>
      </c>
      <c r="C1457" s="9" t="inlineStr">
        <is>
          <t>Брянская область</t>
        </is>
      </c>
      <c r="D1457" s="10" t="n">
        <v>73</v>
      </c>
    </row>
    <row r="1458">
      <c r="A1458" s="9" t="inlineStr">
        <is>
          <t>Коммерческая · Продажа</t>
        </is>
      </c>
      <c r="B1458" s="9" t="inlineStr">
        <is>
          <t>Бизнес (готовый)</t>
        </is>
      </c>
      <c r="C1458" s="9" t="inlineStr">
        <is>
          <t>Республика Бурятия</t>
        </is>
      </c>
      <c r="D1458" s="10" t="n">
        <v>31</v>
      </c>
    </row>
    <row r="1459">
      <c r="A1459" s="9" t="inlineStr">
        <is>
          <t>Коммерческая · Продажа</t>
        </is>
      </c>
      <c r="B1459" s="9" t="inlineStr">
        <is>
          <t>Бизнес (готовый)</t>
        </is>
      </c>
      <c r="C1459" s="9" t="inlineStr">
        <is>
          <t>Владимирская область</t>
        </is>
      </c>
      <c r="D1459" s="10" t="n">
        <v>60</v>
      </c>
    </row>
    <row r="1460">
      <c r="A1460" s="9" t="inlineStr">
        <is>
          <t>Коммерческая · Продажа</t>
        </is>
      </c>
      <c r="B1460" s="9" t="inlineStr">
        <is>
          <t>Бизнес (готовый)</t>
        </is>
      </c>
      <c r="C1460" s="9" t="inlineStr">
        <is>
          <t>Волгоградская область</t>
        </is>
      </c>
      <c r="D1460" s="10" t="n">
        <v>80</v>
      </c>
    </row>
    <row r="1461">
      <c r="A1461" s="9" t="inlineStr">
        <is>
          <t>Коммерческая · Продажа</t>
        </is>
      </c>
      <c r="B1461" s="9" t="inlineStr">
        <is>
          <t>Бизнес (готовый)</t>
        </is>
      </c>
      <c r="C1461" s="9" t="inlineStr">
        <is>
          <t>Вологодская область</t>
        </is>
      </c>
      <c r="D1461" s="10" t="n">
        <v>20</v>
      </c>
    </row>
    <row r="1462">
      <c r="A1462" s="9" t="inlineStr">
        <is>
          <t>Коммерческая · Продажа</t>
        </is>
      </c>
      <c r="B1462" s="9" t="inlineStr">
        <is>
          <t>Бизнес (готовый)</t>
        </is>
      </c>
      <c r="C1462" s="9" t="inlineStr">
        <is>
          <t>Воронежская область</t>
        </is>
      </c>
      <c r="D1462" s="10" t="n">
        <v>78</v>
      </c>
    </row>
    <row r="1463">
      <c r="A1463" s="9" t="inlineStr">
        <is>
          <t>Коммерческая · Продажа</t>
        </is>
      </c>
      <c r="B1463" s="9" t="inlineStr">
        <is>
          <t>Бизнес (готовый)</t>
        </is>
      </c>
      <c r="C1463" s="9" t="inlineStr">
        <is>
          <t>Республика Дагестан</t>
        </is>
      </c>
      <c r="D1463" s="10" t="n">
        <v>34</v>
      </c>
    </row>
    <row r="1464">
      <c r="A1464" s="9" t="inlineStr">
        <is>
          <t>Коммерческая · Продажа</t>
        </is>
      </c>
      <c r="B1464" s="9" t="inlineStr">
        <is>
          <t>Бизнес (готовый)</t>
        </is>
      </c>
      <c r="C1464" s="9" t="inlineStr">
        <is>
          <t>Еврейская автономная область</t>
        </is>
      </c>
      <c r="D1464" s="10" t="n">
        <v>5</v>
      </c>
    </row>
    <row r="1465">
      <c r="A1465" s="9" t="inlineStr">
        <is>
          <t>Коммерческая · Продажа</t>
        </is>
      </c>
      <c r="B1465" s="9" t="inlineStr">
        <is>
          <t>Бизнес (готовый)</t>
        </is>
      </c>
      <c r="C1465" s="9" t="inlineStr">
        <is>
          <t>Ивановская область</t>
        </is>
      </c>
      <c r="D1465" s="10" t="n">
        <v>41</v>
      </c>
    </row>
    <row r="1466">
      <c r="A1466" s="9" t="inlineStr">
        <is>
          <t>Коммерческая · Продажа</t>
        </is>
      </c>
      <c r="B1466" s="9" t="inlineStr">
        <is>
          <t>Бизнес (готовый)</t>
        </is>
      </c>
      <c r="C1466" s="9" t="inlineStr">
        <is>
          <t>Республика Ингушетия</t>
        </is>
      </c>
      <c r="D1466" s="10" t="n">
        <v>1</v>
      </c>
    </row>
    <row r="1467">
      <c r="A1467" s="9" t="inlineStr">
        <is>
          <t>Коммерческая · Продажа</t>
        </is>
      </c>
      <c r="B1467" s="9" t="inlineStr">
        <is>
          <t>Бизнес (готовый)</t>
        </is>
      </c>
      <c r="C1467" s="9" t="inlineStr">
        <is>
          <t>Иркутская область</t>
        </is>
      </c>
      <c r="D1467" s="10" t="n">
        <v>99</v>
      </c>
    </row>
    <row r="1468">
      <c r="A1468" s="9" t="inlineStr">
        <is>
          <t>Коммерческая · Продажа</t>
        </is>
      </c>
      <c r="B1468" s="9" t="inlineStr">
        <is>
          <t>Бизнес (готовый)</t>
        </is>
      </c>
      <c r="C1468" s="9" t="inlineStr">
        <is>
          <t>Кабардино-Балкарская Республика</t>
        </is>
      </c>
      <c r="D1468" s="10" t="n">
        <v>26</v>
      </c>
    </row>
    <row r="1469">
      <c r="A1469" s="9" t="inlineStr">
        <is>
          <t>Коммерческая · Продажа</t>
        </is>
      </c>
      <c r="B1469" s="9" t="inlineStr">
        <is>
          <t>Бизнес (готовый)</t>
        </is>
      </c>
      <c r="C1469" s="9" t="inlineStr">
        <is>
          <t>Калининградская область</t>
        </is>
      </c>
      <c r="D1469" s="10" t="n">
        <v>110</v>
      </c>
    </row>
    <row r="1470">
      <c r="A1470" s="9" t="inlineStr">
        <is>
          <t>Коммерческая · Продажа</t>
        </is>
      </c>
      <c r="B1470" s="9" t="inlineStr">
        <is>
          <t>Бизнес (готовый)</t>
        </is>
      </c>
      <c r="C1470" s="9" t="inlineStr">
        <is>
          <t>Республика Калмыкия</t>
        </is>
      </c>
      <c r="D1470" s="10" t="n">
        <v>2</v>
      </c>
    </row>
    <row r="1471">
      <c r="A1471" s="9" t="inlineStr">
        <is>
          <t>Коммерческая · Продажа</t>
        </is>
      </c>
      <c r="B1471" s="9" t="inlineStr">
        <is>
          <t>Бизнес (готовый)</t>
        </is>
      </c>
      <c r="C1471" s="9" t="inlineStr">
        <is>
          <t>Калужская область</t>
        </is>
      </c>
      <c r="D1471" s="10" t="n">
        <v>99</v>
      </c>
    </row>
    <row r="1472">
      <c r="A1472" s="9" t="inlineStr">
        <is>
          <t>Коммерческая · Продажа</t>
        </is>
      </c>
      <c r="B1472" s="9" t="inlineStr">
        <is>
          <t>Бизнес (готовый)</t>
        </is>
      </c>
      <c r="C1472" s="9" t="inlineStr">
        <is>
          <t>Камчатский край</t>
        </is>
      </c>
      <c r="D1472" s="10" t="n">
        <v>16</v>
      </c>
    </row>
    <row r="1473">
      <c r="A1473" s="9" t="inlineStr">
        <is>
          <t>Коммерческая · Продажа</t>
        </is>
      </c>
      <c r="B1473" s="9" t="inlineStr">
        <is>
          <t>Бизнес (готовый)</t>
        </is>
      </c>
      <c r="C1473" s="9" t="inlineStr">
        <is>
          <t>Карачаево-Черкесская Республика</t>
        </is>
      </c>
      <c r="D1473" s="10" t="n">
        <v>33</v>
      </c>
    </row>
    <row r="1474">
      <c r="A1474" s="9" t="inlineStr">
        <is>
          <t>Коммерческая · Продажа</t>
        </is>
      </c>
      <c r="B1474" s="9" t="inlineStr">
        <is>
          <t>Бизнес (готовый)</t>
        </is>
      </c>
      <c r="C1474" s="9" t="inlineStr">
        <is>
          <t>Республика Карелия</t>
        </is>
      </c>
      <c r="D1474" s="10" t="n">
        <v>38</v>
      </c>
    </row>
    <row r="1475">
      <c r="A1475" s="9" t="inlineStr">
        <is>
          <t>Коммерческая · Продажа</t>
        </is>
      </c>
      <c r="B1475" s="9" t="inlineStr">
        <is>
          <t>Бизнес (готовый)</t>
        </is>
      </c>
      <c r="C1475" s="9" t="inlineStr">
        <is>
          <t>Кемеровская область</t>
        </is>
      </c>
      <c r="D1475" s="10" t="n">
        <v>100</v>
      </c>
    </row>
    <row r="1476">
      <c r="A1476" s="9" t="inlineStr">
        <is>
          <t>Коммерческая · Продажа</t>
        </is>
      </c>
      <c r="B1476" s="9" t="inlineStr">
        <is>
          <t>Бизнес (готовый)</t>
        </is>
      </c>
      <c r="C1476" s="9" t="inlineStr">
        <is>
          <t>Кировская область</t>
        </is>
      </c>
      <c r="D1476" s="10" t="n">
        <v>48</v>
      </c>
    </row>
    <row r="1477">
      <c r="A1477" s="9" t="inlineStr">
        <is>
          <t>Коммерческая · Продажа</t>
        </is>
      </c>
      <c r="B1477" s="9" t="inlineStr">
        <is>
          <t>Бизнес (готовый)</t>
        </is>
      </c>
      <c r="C1477" s="9" t="inlineStr">
        <is>
          <t>Республика Коми</t>
        </is>
      </c>
      <c r="D1477" s="10" t="n">
        <v>18</v>
      </c>
    </row>
    <row r="1478">
      <c r="A1478" s="9" t="inlineStr">
        <is>
          <t>Коммерческая · Продажа</t>
        </is>
      </c>
      <c r="B1478" s="9" t="inlineStr">
        <is>
          <t>Бизнес (готовый)</t>
        </is>
      </c>
      <c r="C1478" s="9" t="inlineStr">
        <is>
          <t>Костромская область</t>
        </is>
      </c>
      <c r="D1478" s="10" t="n">
        <v>32</v>
      </c>
    </row>
    <row r="1479">
      <c r="A1479" s="9" t="inlineStr">
        <is>
          <t>Коммерческая · Продажа</t>
        </is>
      </c>
      <c r="B1479" s="9" t="inlineStr">
        <is>
          <t>Бизнес (готовый)</t>
        </is>
      </c>
      <c r="C1479" s="9" t="inlineStr">
        <is>
          <t>Краснодарский край</t>
        </is>
      </c>
      <c r="D1479" s="10" t="n">
        <v>889</v>
      </c>
    </row>
    <row r="1480">
      <c r="A1480" s="9" t="inlineStr">
        <is>
          <t>Коммерческая · Продажа</t>
        </is>
      </c>
      <c r="B1480" s="9" t="inlineStr">
        <is>
          <t>Бизнес (готовый)</t>
        </is>
      </c>
      <c r="C1480" s="9" t="inlineStr">
        <is>
          <t>Красноярский край</t>
        </is>
      </c>
      <c r="D1480" s="10" t="n">
        <v>101</v>
      </c>
    </row>
    <row r="1481">
      <c r="A1481" s="9" t="inlineStr">
        <is>
          <t>Коммерческая · Продажа</t>
        </is>
      </c>
      <c r="B1481" s="9" t="inlineStr">
        <is>
          <t>Бизнес (готовый)</t>
        </is>
      </c>
      <c r="C1481" s="9" t="inlineStr">
        <is>
          <t>Курганская область</t>
        </is>
      </c>
      <c r="D1481" s="10" t="n">
        <v>23</v>
      </c>
    </row>
    <row r="1482">
      <c r="A1482" s="9" t="inlineStr">
        <is>
          <t>Коммерческая · Продажа</t>
        </is>
      </c>
      <c r="B1482" s="9" t="inlineStr">
        <is>
          <t>Бизнес (готовый)</t>
        </is>
      </c>
      <c r="C1482" s="9" t="inlineStr">
        <is>
          <t>Курская область</t>
        </is>
      </c>
      <c r="D1482" s="10" t="n">
        <v>40</v>
      </c>
    </row>
    <row r="1483">
      <c r="A1483" s="9" t="inlineStr">
        <is>
          <t>Коммерческая · Продажа</t>
        </is>
      </c>
      <c r="B1483" s="9" t="inlineStr">
        <is>
          <t>Бизнес (готовый)</t>
        </is>
      </c>
      <c r="C1483" s="9" t="inlineStr">
        <is>
          <t>Ленинградская область</t>
        </is>
      </c>
      <c r="D1483" s="10" t="n">
        <v>78</v>
      </c>
    </row>
    <row r="1484">
      <c r="A1484" s="9" t="inlineStr">
        <is>
          <t>Коммерческая · Продажа</t>
        </is>
      </c>
      <c r="B1484" s="9" t="inlineStr">
        <is>
          <t>Бизнес (готовый)</t>
        </is>
      </c>
      <c r="C1484" s="9" t="inlineStr">
        <is>
          <t>Липецкая область</t>
        </is>
      </c>
      <c r="D1484" s="10" t="n">
        <v>32</v>
      </c>
    </row>
    <row r="1485">
      <c r="A1485" s="9" t="inlineStr">
        <is>
          <t>Коммерческая · Продажа</t>
        </is>
      </c>
      <c r="B1485" s="9" t="inlineStr">
        <is>
          <t>Бизнес (готовый)</t>
        </is>
      </c>
      <c r="C1485" s="9" t="inlineStr">
        <is>
          <t>Магаданская область</t>
        </is>
      </c>
      <c r="D1485" s="10" t="n">
        <v>2</v>
      </c>
    </row>
    <row r="1486">
      <c r="A1486" s="9" t="inlineStr">
        <is>
          <t>Коммерческая · Продажа</t>
        </is>
      </c>
      <c r="B1486" s="9" t="inlineStr">
        <is>
          <t>Бизнес (готовый)</t>
        </is>
      </c>
      <c r="C1486" s="9" t="inlineStr">
        <is>
          <t>Республика Марий Эл</t>
        </is>
      </c>
      <c r="D1486" s="10" t="n">
        <v>21</v>
      </c>
    </row>
    <row r="1487">
      <c r="A1487" s="9" t="inlineStr">
        <is>
          <t>Коммерческая · Продажа</t>
        </is>
      </c>
      <c r="B1487" s="9" t="inlineStr">
        <is>
          <t>Бизнес (готовый)</t>
        </is>
      </c>
      <c r="C1487" s="9" t="inlineStr">
        <is>
          <t>Республика Мордовия</t>
        </is>
      </c>
      <c r="D1487" s="10" t="n">
        <v>15</v>
      </c>
    </row>
    <row r="1488">
      <c r="A1488" s="9" t="inlineStr">
        <is>
          <t>Коммерческая · Продажа</t>
        </is>
      </c>
      <c r="B1488" s="9" t="inlineStr">
        <is>
          <t>Бизнес (готовый)</t>
        </is>
      </c>
      <c r="C1488" s="9" t="inlineStr">
        <is>
          <t>Московская область</t>
        </is>
      </c>
      <c r="D1488" s="10" t="n">
        <v>818</v>
      </c>
    </row>
    <row r="1489">
      <c r="A1489" s="9" t="inlineStr">
        <is>
          <t>Коммерческая · Продажа</t>
        </is>
      </c>
      <c r="B1489" s="9" t="inlineStr">
        <is>
          <t>Бизнес (готовый)</t>
        </is>
      </c>
      <c r="C1489" s="9" t="inlineStr">
        <is>
          <t>Мурманская область</t>
        </is>
      </c>
      <c r="D1489" s="10" t="n">
        <v>21</v>
      </c>
    </row>
    <row r="1490">
      <c r="A1490" s="9" t="inlineStr">
        <is>
          <t>Коммерческая · Продажа</t>
        </is>
      </c>
      <c r="B1490" s="9" t="inlineStr">
        <is>
          <t>Бизнес (готовый)</t>
        </is>
      </c>
      <c r="C1490" s="9" t="inlineStr">
        <is>
          <t>Ненецкий автономный округ</t>
        </is>
      </c>
      <c r="D1490" s="10" t="n">
        <v>0</v>
      </c>
    </row>
    <row r="1491">
      <c r="A1491" s="9" t="inlineStr">
        <is>
          <t>Коммерческая · Продажа</t>
        </is>
      </c>
      <c r="B1491" s="9" t="inlineStr">
        <is>
          <t>Бизнес (готовый)</t>
        </is>
      </c>
      <c r="C1491" s="9" t="inlineStr">
        <is>
          <t>Нижегородская область</t>
        </is>
      </c>
      <c r="D1491" s="10" t="n">
        <v>160</v>
      </c>
    </row>
    <row r="1492">
      <c r="A1492" s="9" t="inlineStr">
        <is>
          <t>Коммерческая · Продажа</t>
        </is>
      </c>
      <c r="B1492" s="9" t="inlineStr">
        <is>
          <t>Бизнес (готовый)</t>
        </is>
      </c>
      <c r="C1492" s="9" t="inlineStr">
        <is>
          <t>Новгородская область</t>
        </is>
      </c>
      <c r="D1492" s="10" t="n">
        <v>22</v>
      </c>
    </row>
    <row r="1493">
      <c r="A1493" s="9" t="inlineStr">
        <is>
          <t>Коммерческая · Продажа</t>
        </is>
      </c>
      <c r="B1493" s="9" t="inlineStr">
        <is>
          <t>Бизнес (готовый)</t>
        </is>
      </c>
      <c r="C1493" s="9" t="inlineStr">
        <is>
          <t>Новосибирская область</t>
        </is>
      </c>
      <c r="D1493" s="10" t="n">
        <v>226</v>
      </c>
    </row>
    <row r="1494">
      <c r="A1494" s="9" t="inlineStr">
        <is>
          <t>Коммерческая · Продажа</t>
        </is>
      </c>
      <c r="B1494" s="9" t="inlineStr">
        <is>
          <t>Бизнес (готовый)</t>
        </is>
      </c>
      <c r="C1494" s="9" t="inlineStr">
        <is>
          <t>Омская область</t>
        </is>
      </c>
      <c r="D1494" s="10" t="n">
        <v>79</v>
      </c>
    </row>
    <row r="1495">
      <c r="A1495" s="9" t="inlineStr">
        <is>
          <t>Коммерческая · Продажа</t>
        </is>
      </c>
      <c r="B1495" s="9" t="inlineStr">
        <is>
          <t>Бизнес (готовый)</t>
        </is>
      </c>
      <c r="C1495" s="9" t="inlineStr">
        <is>
          <t>Оренбургская область</t>
        </is>
      </c>
      <c r="D1495" s="10" t="n">
        <v>78</v>
      </c>
    </row>
    <row r="1496">
      <c r="A1496" s="9" t="inlineStr">
        <is>
          <t>Коммерческая · Продажа</t>
        </is>
      </c>
      <c r="B1496" s="9" t="inlineStr">
        <is>
          <t>Бизнес (готовый)</t>
        </is>
      </c>
      <c r="C1496" s="9" t="inlineStr">
        <is>
          <t>Орловская область</t>
        </is>
      </c>
      <c r="D1496" s="10" t="n">
        <v>28</v>
      </c>
    </row>
    <row r="1497">
      <c r="A1497" s="9" t="inlineStr">
        <is>
          <t>Коммерческая · Продажа</t>
        </is>
      </c>
      <c r="B1497" s="9" t="inlineStr">
        <is>
          <t>Бизнес (готовый)</t>
        </is>
      </c>
      <c r="C1497" s="9" t="inlineStr">
        <is>
          <t>Пензенская область</t>
        </is>
      </c>
      <c r="D1497" s="10" t="n">
        <v>25</v>
      </c>
    </row>
    <row r="1498">
      <c r="A1498" s="9" t="inlineStr">
        <is>
          <t>Коммерческая · Продажа</t>
        </is>
      </c>
      <c r="B1498" s="9" t="inlineStr">
        <is>
          <t>Бизнес (готовый)</t>
        </is>
      </c>
      <c r="C1498" s="9" t="inlineStr">
        <is>
          <t>Пермский край</t>
        </is>
      </c>
      <c r="D1498" s="10" t="n">
        <v>76</v>
      </c>
    </row>
    <row r="1499">
      <c r="A1499" s="9" t="inlineStr">
        <is>
          <t>Коммерческая · Продажа</t>
        </is>
      </c>
      <c r="B1499" s="9" t="inlineStr">
        <is>
          <t>Бизнес (готовый)</t>
        </is>
      </c>
      <c r="C1499" s="9" t="inlineStr">
        <is>
          <t>Приморский край</t>
        </is>
      </c>
      <c r="D1499" s="10" t="n">
        <v>34</v>
      </c>
    </row>
    <row r="1500">
      <c r="A1500" s="9" t="inlineStr">
        <is>
          <t>Коммерческая · Продажа</t>
        </is>
      </c>
      <c r="B1500" s="9" t="inlineStr">
        <is>
          <t>Бизнес (готовый)</t>
        </is>
      </c>
      <c r="C1500" s="9" t="inlineStr">
        <is>
          <t>Псковская область</t>
        </is>
      </c>
      <c r="D1500" s="10" t="n">
        <v>23</v>
      </c>
    </row>
    <row r="1501">
      <c r="A1501" s="9" t="inlineStr">
        <is>
          <t>Коммерческая · Продажа</t>
        </is>
      </c>
      <c r="B1501" s="9" t="inlineStr">
        <is>
          <t>Бизнес (готовый)</t>
        </is>
      </c>
      <c r="C1501" s="9" t="inlineStr">
        <is>
          <t>Ростовская область</t>
        </is>
      </c>
      <c r="D1501" s="10" t="n">
        <v>179</v>
      </c>
    </row>
    <row r="1502">
      <c r="A1502" s="9" t="inlineStr">
        <is>
          <t>Коммерческая · Продажа</t>
        </is>
      </c>
      <c r="B1502" s="9" t="inlineStr">
        <is>
          <t>Бизнес (готовый)</t>
        </is>
      </c>
      <c r="C1502" s="9" t="inlineStr">
        <is>
          <t>Рязанская область</t>
        </is>
      </c>
      <c r="D1502" s="10" t="n">
        <v>64</v>
      </c>
    </row>
    <row r="1503">
      <c r="A1503" s="9" t="inlineStr">
        <is>
          <t>Коммерческая · Продажа</t>
        </is>
      </c>
      <c r="B1503" s="9" t="inlineStr">
        <is>
          <t>Бизнес (готовый)</t>
        </is>
      </c>
      <c r="C1503" s="9" t="inlineStr">
        <is>
          <t>Самарская область</t>
        </is>
      </c>
      <c r="D1503" s="10" t="n">
        <v>126</v>
      </c>
    </row>
    <row r="1504">
      <c r="A1504" s="9" t="inlineStr">
        <is>
          <t>Коммерческая · Продажа</t>
        </is>
      </c>
      <c r="B1504" s="9" t="inlineStr">
        <is>
          <t>Бизнес (готовый)</t>
        </is>
      </c>
      <c r="C1504" s="9" t="inlineStr">
        <is>
          <t>Саратовская область</t>
        </is>
      </c>
      <c r="D1504" s="10" t="n">
        <v>109</v>
      </c>
    </row>
    <row r="1505">
      <c r="A1505" s="9" t="inlineStr">
        <is>
          <t>Коммерческая · Продажа</t>
        </is>
      </c>
      <c r="B1505" s="9" t="inlineStr">
        <is>
          <t>Бизнес (готовый)</t>
        </is>
      </c>
      <c r="C1505" s="9" t="inlineStr">
        <is>
          <t>Республика Саха (Якутия)</t>
        </is>
      </c>
      <c r="D1505" s="10" t="n">
        <v>13</v>
      </c>
    </row>
    <row r="1506">
      <c r="A1506" s="9" t="inlineStr">
        <is>
          <t>Коммерческая · Продажа</t>
        </is>
      </c>
      <c r="B1506" s="9" t="inlineStr">
        <is>
          <t>Бизнес (готовый)</t>
        </is>
      </c>
      <c r="C1506" s="9" t="inlineStr">
        <is>
          <t>Сахалинская область</t>
        </is>
      </c>
      <c r="D1506" s="10" t="n">
        <v>39</v>
      </c>
    </row>
    <row r="1507">
      <c r="A1507" s="9" t="inlineStr">
        <is>
          <t>Коммерческая · Продажа</t>
        </is>
      </c>
      <c r="B1507" s="9" t="inlineStr">
        <is>
          <t>Бизнес (готовый)</t>
        </is>
      </c>
      <c r="C1507" s="9" t="inlineStr">
        <is>
          <t>Свердловская область</t>
        </is>
      </c>
      <c r="D1507" s="10" t="n">
        <v>209</v>
      </c>
    </row>
    <row r="1508">
      <c r="A1508" s="9" t="inlineStr">
        <is>
          <t>Коммерческая · Продажа</t>
        </is>
      </c>
      <c r="B1508" s="9" t="inlineStr">
        <is>
          <t>Бизнес (готовый)</t>
        </is>
      </c>
      <c r="C1508" s="9" t="inlineStr">
        <is>
          <t>Республика Северная Осетия - Алания</t>
        </is>
      </c>
      <c r="D1508" s="10" t="n">
        <v>61</v>
      </c>
    </row>
    <row r="1509">
      <c r="A1509" s="9" t="inlineStr">
        <is>
          <t>Коммерческая · Продажа</t>
        </is>
      </c>
      <c r="B1509" s="9" t="inlineStr">
        <is>
          <t>Бизнес (готовый)</t>
        </is>
      </c>
      <c r="C1509" s="9" t="inlineStr">
        <is>
          <t>Смоленская область</t>
        </is>
      </c>
      <c r="D1509" s="10" t="n">
        <v>40</v>
      </c>
    </row>
    <row r="1510">
      <c r="A1510" s="9" t="inlineStr">
        <is>
          <t>Коммерческая · Продажа</t>
        </is>
      </c>
      <c r="B1510" s="9" t="inlineStr">
        <is>
          <t>Бизнес (готовый)</t>
        </is>
      </c>
      <c r="C1510" s="9" t="inlineStr">
        <is>
          <t>Ставропольский край</t>
        </is>
      </c>
      <c r="D1510" s="10" t="n">
        <v>119</v>
      </c>
    </row>
    <row r="1511">
      <c r="A1511" s="9" t="inlineStr">
        <is>
          <t>Коммерческая · Продажа</t>
        </is>
      </c>
      <c r="B1511" s="9" t="inlineStr">
        <is>
          <t>Бизнес (готовый)</t>
        </is>
      </c>
      <c r="C1511" s="9" t="inlineStr">
        <is>
          <t>Тамбовская область</t>
        </is>
      </c>
      <c r="D1511" s="10" t="n">
        <v>20</v>
      </c>
    </row>
    <row r="1512">
      <c r="A1512" s="9" t="inlineStr">
        <is>
          <t>Коммерческая · Продажа</t>
        </is>
      </c>
      <c r="B1512" s="9" t="inlineStr">
        <is>
          <t>Бизнес (готовый)</t>
        </is>
      </c>
      <c r="C1512" s="9" t="inlineStr">
        <is>
          <t>Республика Татарстан</t>
        </is>
      </c>
      <c r="D1512" s="10" t="n">
        <v>161</v>
      </c>
    </row>
    <row r="1513">
      <c r="A1513" s="9" t="inlineStr">
        <is>
          <t>Коммерческая · Продажа</t>
        </is>
      </c>
      <c r="B1513" s="9" t="inlineStr">
        <is>
          <t>Бизнес (готовый)</t>
        </is>
      </c>
      <c r="C1513" s="9" t="inlineStr">
        <is>
          <t>Тверская область</t>
        </is>
      </c>
      <c r="D1513" s="10" t="n">
        <v>84</v>
      </c>
    </row>
    <row r="1514">
      <c r="A1514" s="9" t="inlineStr">
        <is>
          <t>Коммерческая · Продажа</t>
        </is>
      </c>
      <c r="B1514" s="9" t="inlineStr">
        <is>
          <t>Бизнес (готовый)</t>
        </is>
      </c>
      <c r="C1514" s="9" t="inlineStr">
        <is>
          <t>Томская область</t>
        </is>
      </c>
      <c r="D1514" s="10" t="n">
        <v>62</v>
      </c>
    </row>
    <row r="1515">
      <c r="A1515" s="9" t="inlineStr">
        <is>
          <t>Коммерческая · Продажа</t>
        </is>
      </c>
      <c r="B1515" s="9" t="inlineStr">
        <is>
          <t>Бизнес (готовый)</t>
        </is>
      </c>
      <c r="C1515" s="9" t="inlineStr">
        <is>
          <t>Тульская область</t>
        </is>
      </c>
      <c r="D1515" s="10" t="n">
        <v>68</v>
      </c>
    </row>
    <row r="1516">
      <c r="A1516" s="9" t="inlineStr">
        <is>
          <t>Коммерческая · Продажа</t>
        </is>
      </c>
      <c r="B1516" s="9" t="inlineStr">
        <is>
          <t>Бизнес (готовый)</t>
        </is>
      </c>
      <c r="C1516" s="9" t="inlineStr">
        <is>
          <t>Республика Тыва</t>
        </is>
      </c>
      <c r="D1516" s="10" t="n">
        <v>6</v>
      </c>
    </row>
    <row r="1517">
      <c r="A1517" s="9" t="inlineStr">
        <is>
          <t>Коммерческая · Продажа</t>
        </is>
      </c>
      <c r="B1517" s="9" t="inlineStr">
        <is>
          <t>Бизнес (готовый)</t>
        </is>
      </c>
      <c r="C1517" s="9" t="inlineStr">
        <is>
          <t>Тюменская область</t>
        </is>
      </c>
      <c r="D1517" s="10" t="n">
        <v>84</v>
      </c>
    </row>
    <row r="1518">
      <c r="A1518" s="9" t="inlineStr">
        <is>
          <t>Коммерческая · Продажа</t>
        </is>
      </c>
      <c r="B1518" s="9" t="inlineStr">
        <is>
          <t>Бизнес (готовый)</t>
        </is>
      </c>
      <c r="C1518" s="9" t="inlineStr">
        <is>
          <t>Удмуртская Республика</t>
        </is>
      </c>
      <c r="D1518" s="10" t="n">
        <v>30</v>
      </c>
    </row>
    <row r="1519">
      <c r="A1519" s="9" t="inlineStr">
        <is>
          <t>Коммерческая · Продажа</t>
        </is>
      </c>
      <c r="B1519" s="9" t="inlineStr">
        <is>
          <t>Бизнес (готовый)</t>
        </is>
      </c>
      <c r="C1519" s="9" t="inlineStr">
        <is>
          <t>Ульяновская область</t>
        </is>
      </c>
      <c r="D1519" s="10" t="n">
        <v>40</v>
      </c>
    </row>
    <row r="1520">
      <c r="A1520" s="9" t="inlineStr">
        <is>
          <t>Коммерческая · Продажа</t>
        </is>
      </c>
      <c r="B1520" s="9" t="inlineStr">
        <is>
          <t>Бизнес (готовый)</t>
        </is>
      </c>
      <c r="C1520" s="9" t="inlineStr">
        <is>
          <t>Хабаровский край</t>
        </is>
      </c>
      <c r="D1520" s="10" t="n">
        <v>61</v>
      </c>
    </row>
    <row r="1521">
      <c r="A1521" s="9" t="inlineStr">
        <is>
          <t>Коммерческая · Продажа</t>
        </is>
      </c>
      <c r="B1521" s="9" t="inlineStr">
        <is>
          <t>Бизнес (готовый)</t>
        </is>
      </c>
      <c r="C1521" s="9" t="inlineStr">
        <is>
          <t>Республика Хакасия</t>
        </is>
      </c>
      <c r="D1521" s="10" t="n">
        <v>14</v>
      </c>
    </row>
    <row r="1522">
      <c r="A1522" s="9" t="inlineStr">
        <is>
          <t>Коммерческая · Продажа</t>
        </is>
      </c>
      <c r="B1522" s="9" t="inlineStr">
        <is>
          <t>Бизнес (готовый)</t>
        </is>
      </c>
      <c r="C1522" s="9" t="inlineStr">
        <is>
          <t>Ханты-Мансийский автономный округ</t>
        </is>
      </c>
      <c r="D1522" s="10" t="n">
        <v>68</v>
      </c>
    </row>
    <row r="1523">
      <c r="A1523" s="9" t="inlineStr">
        <is>
          <t>Коммерческая · Продажа</t>
        </is>
      </c>
      <c r="B1523" s="9" t="inlineStr">
        <is>
          <t>Бизнес (готовый)</t>
        </is>
      </c>
      <c r="C1523" s="9" t="inlineStr">
        <is>
          <t>Челябинская область</t>
        </is>
      </c>
      <c r="D1523" s="10" t="n">
        <v>126</v>
      </c>
    </row>
    <row r="1524">
      <c r="A1524" s="9" t="inlineStr">
        <is>
          <t>Коммерческая · Продажа</t>
        </is>
      </c>
      <c r="B1524" s="9" t="inlineStr">
        <is>
          <t>Бизнес (готовый)</t>
        </is>
      </c>
      <c r="C1524" s="9" t="inlineStr">
        <is>
          <t>Чеченская Республика</t>
        </is>
      </c>
      <c r="D1524" s="10" t="n">
        <v>3</v>
      </c>
    </row>
    <row r="1525">
      <c r="A1525" s="9" t="inlineStr">
        <is>
          <t>Коммерческая · Продажа</t>
        </is>
      </c>
      <c r="B1525" s="9" t="inlineStr">
        <is>
          <t>Бизнес (готовый)</t>
        </is>
      </c>
      <c r="C1525" s="9" t="inlineStr">
        <is>
          <t>Чувашская Республика</t>
        </is>
      </c>
      <c r="D1525" s="10" t="n">
        <v>33</v>
      </c>
    </row>
    <row r="1526">
      <c r="A1526" s="9" t="inlineStr">
        <is>
          <t>Коммерческая · Продажа</t>
        </is>
      </c>
      <c r="B1526" s="9" t="inlineStr">
        <is>
          <t>Бизнес (готовый)</t>
        </is>
      </c>
      <c r="C1526" s="9" t="inlineStr">
        <is>
          <t>Чукотский автономный округ</t>
        </is>
      </c>
      <c r="D1526" s="10" t="n">
        <v>0</v>
      </c>
    </row>
    <row r="1527">
      <c r="A1527" s="9" t="inlineStr">
        <is>
          <t>Коммерческая · Продажа</t>
        </is>
      </c>
      <c r="B1527" s="9" t="inlineStr">
        <is>
          <t>Бизнес (готовый)</t>
        </is>
      </c>
      <c r="C1527" s="9" t="inlineStr">
        <is>
          <t>Ямало-Ненецкий автономный округ</t>
        </is>
      </c>
      <c r="D1527" s="10" t="n">
        <v>12</v>
      </c>
    </row>
    <row r="1528">
      <c r="A1528" s="9" t="inlineStr">
        <is>
          <t>Коммерческая · Продажа</t>
        </is>
      </c>
      <c r="B1528" s="9" t="inlineStr">
        <is>
          <t>Бизнес (готовый)</t>
        </is>
      </c>
      <c r="C1528" s="9" t="inlineStr">
        <is>
          <t>Ярославская область</t>
        </is>
      </c>
      <c r="D1528" s="10" t="n">
        <v>53</v>
      </c>
    </row>
    <row r="1529">
      <c r="A1529" s="9" t="inlineStr">
        <is>
          <t>Коммерческая · Продажа</t>
        </is>
      </c>
      <c r="B1529" s="9" t="inlineStr">
        <is>
          <t>Бизнес (готовый)</t>
        </is>
      </c>
      <c r="C1529" s="9" t="inlineStr">
        <is>
          <t>Республика Крым</t>
        </is>
      </c>
      <c r="D1529" s="10" t="n">
        <v>415</v>
      </c>
    </row>
    <row r="1530">
      <c r="A1530" s="9" t="inlineStr">
        <is>
          <t>Коммерческая · Продажа</t>
        </is>
      </c>
      <c r="B1530" s="9" t="inlineStr">
        <is>
          <t>Бизнес (готовый)</t>
        </is>
      </c>
      <c r="C1530" s="9" t="inlineStr">
        <is>
          <t>Севастополь</t>
        </is>
      </c>
      <c r="D1530" s="10" t="n">
        <v>73</v>
      </c>
    </row>
    <row r="1531">
      <c r="A1531" s="9" t="inlineStr">
        <is>
          <t>Коммерческая · Продажа</t>
        </is>
      </c>
      <c r="B1531" s="9" t="inlineStr">
        <is>
          <t>Бизнес (готовый)</t>
        </is>
      </c>
      <c r="C1531" s="9" t="inlineStr">
        <is>
          <t>Забайкальский край</t>
        </is>
      </c>
      <c r="D1531" s="10" t="n">
        <v>24</v>
      </c>
    </row>
    <row r="1533">
      <c r="A1533" s="1" t="inlineStr">
        <is>
          <t>Итого (по фильтру)</t>
        </is>
      </c>
      <c r="C1533" s="2" t="n"/>
      <c r="D1533" s="3">
        <f>SUBTOTAL(109,D2:D1531)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41"/>
  <sheetViews>
    <sheetView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5"/>
  <cols>
    <col width="20" customWidth="1" min="1" max="1"/>
    <col width="18" customWidth="1" min="2" max="2"/>
    <col width="30" customWidth="1" min="3" max="3"/>
    <col width="18" customWidth="1" min="4" max="4"/>
    <col width="13" customWidth="1" min="5" max="5"/>
    <col width="11" customWidth="1" min="6" max="6"/>
    <col width="12" customWidth="1" min="7" max="7"/>
    <col width="13" customWidth="1" min="8" max="8"/>
    <col width="32" customWidth="1" min="9" max="9"/>
    <col width="12" customWidth="1" min="10" max="10"/>
  </cols>
  <sheetData>
    <row r="1" ht="29" customHeight="1">
      <c r="A1" s="15" t="inlineStr">
        <is>
          <t>Сделка</t>
        </is>
      </c>
      <c r="B1" s="15" t="inlineStr">
        <is>
          <t>Тип недвижимости</t>
        </is>
      </c>
      <c r="C1" s="15" t="inlineStr">
        <is>
          <t>Категория</t>
        </is>
      </c>
      <c r="D1" s="15" t="inlineStr">
        <is>
          <t>Город</t>
        </is>
      </c>
      <c r="E1" s="16" t="inlineStr">
        <is>
          <t>Публикация, ₽/30 дн</t>
        </is>
      </c>
      <c r="F1" s="16" t="inlineStr">
        <is>
          <t>Топ, ₽/сут</t>
        </is>
      </c>
      <c r="G1" s="16" t="inlineStr">
        <is>
          <t>Премиум, ₽/сут</t>
        </is>
      </c>
      <c r="H1" s="16" t="inlineStr">
        <is>
          <t>Стандарт, ₽/сут</t>
        </is>
      </c>
      <c r="I1" s="16" t="inlineStr">
        <is>
          <t>Примечание</t>
        </is>
      </c>
      <c r="J1" s="16" t="inlineStr">
        <is>
          <t>Обновлено</t>
        </is>
      </c>
    </row>
    <row r="2">
      <c r="A2" s="17" t="inlineStr">
        <is>
          <t>Продажа</t>
        </is>
      </c>
      <c r="B2" s="17" t="inlineStr">
        <is>
          <t>Городская</t>
        </is>
      </c>
      <c r="C2" s="18" t="inlineStr">
        <is>
          <t>Квартира</t>
        </is>
      </c>
      <c r="D2" s="18" t="inlineStr">
        <is>
          <t>Москва</t>
        </is>
      </c>
      <c r="E2" s="19" t="n">
        <v>3390</v>
      </c>
      <c r="F2" s="19" t="n">
        <v>1213</v>
      </c>
      <c r="G2" s="19" t="n">
        <v>492</v>
      </c>
      <c r="H2" s="19" t="n">
        <v>162</v>
      </c>
      <c r="I2" s="18" t="inlineStr">
        <is>
          <t>Цена зависит от стоимости объекта</t>
        </is>
      </c>
      <c r="J2" s="20" t="inlineStr">
        <is>
          <t>2026-06-10</t>
        </is>
      </c>
    </row>
    <row r="3">
      <c r="A3" s="21" t="inlineStr">
        <is>
          <t>Продажа</t>
        </is>
      </c>
      <c r="B3" s="21" t="inlineStr">
        <is>
          <t>Городская</t>
        </is>
      </c>
      <c r="C3" s="21" t="inlineStr">
        <is>
          <t>Квартира</t>
        </is>
      </c>
      <c r="D3" s="21" t="inlineStr">
        <is>
          <t>Санкт-Петербург</t>
        </is>
      </c>
      <c r="E3" s="22" t="n">
        <v>1560</v>
      </c>
      <c r="F3" s="22" t="n">
        <v>598</v>
      </c>
      <c r="G3" s="22" t="n">
        <v>255</v>
      </c>
      <c r="H3" s="22" t="n">
        <v>108</v>
      </c>
      <c r="I3" s="21" t="inlineStr">
        <is>
          <t>Цена зависит от стоимости объекта</t>
        </is>
      </c>
      <c r="J3" s="23" t="inlineStr">
        <is>
          <t>2026-06-10</t>
        </is>
      </c>
    </row>
    <row r="4">
      <c r="A4" s="21" t="inlineStr">
        <is>
          <t>Продажа</t>
        </is>
      </c>
      <c r="B4" s="21" t="inlineStr">
        <is>
          <t>Городская</t>
        </is>
      </c>
      <c r="C4" s="21" t="inlineStr">
        <is>
          <t>Квартира</t>
        </is>
      </c>
      <c r="D4" s="21" t="inlineStr">
        <is>
          <t>Новосибирск</t>
        </is>
      </c>
      <c r="E4" s="22" t="n">
        <v>1596</v>
      </c>
      <c r="F4" s="22" t="n">
        <v>420</v>
      </c>
      <c r="G4" s="22" t="n">
        <v>189</v>
      </c>
      <c r="H4" s="22" t="n">
        <v>56</v>
      </c>
      <c r="I4" s="21" t="inlineStr">
        <is>
          <t>Цена зависит от стоимости объекта</t>
        </is>
      </c>
      <c r="J4" s="23" t="inlineStr">
        <is>
          <t>2026-06-10</t>
        </is>
      </c>
    </row>
    <row r="5">
      <c r="A5" s="21" t="inlineStr">
        <is>
          <t>Продажа</t>
        </is>
      </c>
      <c r="B5" s="21" t="inlineStr">
        <is>
          <t>Городская</t>
        </is>
      </c>
      <c r="C5" s="21" t="inlineStr">
        <is>
          <t>Квартира</t>
        </is>
      </c>
      <c r="D5" s="21" t="inlineStr">
        <is>
          <t>Екатеринбург</t>
        </is>
      </c>
      <c r="E5" s="22" t="n">
        <v>489</v>
      </c>
      <c r="F5" s="22" t="n">
        <v>396</v>
      </c>
      <c r="G5" s="22" t="n">
        <v>205</v>
      </c>
      <c r="H5" s="22" t="n">
        <v>62</v>
      </c>
      <c r="I5" s="21" t="inlineStr">
        <is>
          <t>Цена зависит от стоимости объекта</t>
        </is>
      </c>
      <c r="J5" s="23" t="inlineStr">
        <is>
          <t>2026-06-10</t>
        </is>
      </c>
    </row>
    <row r="6">
      <c r="A6" s="21" t="inlineStr">
        <is>
          <t>Продажа</t>
        </is>
      </c>
      <c r="B6" s="21" t="inlineStr">
        <is>
          <t>Городская</t>
        </is>
      </c>
      <c r="C6" s="21" t="inlineStr">
        <is>
          <t>Квартира</t>
        </is>
      </c>
      <c r="D6" s="21" t="inlineStr">
        <is>
          <t>Казань</t>
        </is>
      </c>
      <c r="E6" s="22" t="n">
        <v>354</v>
      </c>
      <c r="F6" s="22" t="n">
        <v>222</v>
      </c>
      <c r="G6" s="22" t="n">
        <v>86</v>
      </c>
      <c r="H6" s="22" t="n">
        <v>25</v>
      </c>
      <c r="I6" s="21" t="inlineStr">
        <is>
          <t>Цена зависит от стоимости объекта</t>
        </is>
      </c>
      <c r="J6" s="23" t="inlineStr">
        <is>
          <t>2026-06-10</t>
        </is>
      </c>
    </row>
    <row r="7">
      <c r="A7" s="21" t="inlineStr">
        <is>
          <t>Продажа</t>
        </is>
      </c>
      <c r="B7" s="21" t="inlineStr">
        <is>
          <t>Городская</t>
        </is>
      </c>
      <c r="C7" s="21" t="inlineStr">
        <is>
          <t>Квартира</t>
        </is>
      </c>
      <c r="D7" s="21" t="inlineStr">
        <is>
          <t>Красноярск</t>
        </is>
      </c>
      <c r="E7" s="22" t="n">
        <v>573</v>
      </c>
      <c r="F7" s="24" t="inlineStr">
        <is>
          <t>—</t>
        </is>
      </c>
      <c r="G7" s="24" t="inlineStr">
        <is>
          <t>—</t>
        </is>
      </c>
      <c r="H7" s="24" t="inlineStr">
        <is>
          <t>—</t>
        </is>
      </c>
      <c r="I7" s="21" t="inlineStr">
        <is>
          <t>Цена зависит от стоимости объекта</t>
        </is>
      </c>
      <c r="J7" s="23" t="inlineStr">
        <is>
          <t>2026-06-10</t>
        </is>
      </c>
    </row>
    <row r="8">
      <c r="A8" s="21" t="inlineStr">
        <is>
          <t>Продажа</t>
        </is>
      </c>
      <c r="B8" s="21" t="inlineStr">
        <is>
          <t>Городская</t>
        </is>
      </c>
      <c r="C8" s="21" t="inlineStr">
        <is>
          <t>Квартира</t>
        </is>
      </c>
      <c r="D8" s="21" t="inlineStr">
        <is>
          <t>Нижний Новгород</t>
        </is>
      </c>
      <c r="E8" s="22" t="n">
        <v>441</v>
      </c>
      <c r="F8" s="22" t="n">
        <v>208</v>
      </c>
      <c r="G8" s="22" t="n">
        <v>81</v>
      </c>
      <c r="H8" s="22" t="n">
        <v>23</v>
      </c>
      <c r="I8" s="21" t="inlineStr">
        <is>
          <t>Цена зависит от стоимости объекта</t>
        </is>
      </c>
      <c r="J8" s="23" t="inlineStr">
        <is>
          <t>2026-06-10</t>
        </is>
      </c>
    </row>
    <row r="9">
      <c r="A9" s="21" t="inlineStr">
        <is>
          <t>Продажа</t>
        </is>
      </c>
      <c r="B9" s="21" t="inlineStr">
        <is>
          <t>Городская</t>
        </is>
      </c>
      <c r="C9" s="21" t="inlineStr">
        <is>
          <t>Квартира</t>
        </is>
      </c>
      <c r="D9" s="21" t="inlineStr">
        <is>
          <t>Челябинск</t>
        </is>
      </c>
      <c r="E9" s="22" t="n">
        <v>291</v>
      </c>
      <c r="F9" s="22" t="n">
        <v>203</v>
      </c>
      <c r="G9" s="22" t="n">
        <v>95</v>
      </c>
      <c r="H9" s="22" t="n">
        <v>27</v>
      </c>
      <c r="I9" s="21" t="inlineStr">
        <is>
          <t>Цена зависит от стоимости объекта</t>
        </is>
      </c>
      <c r="J9" s="23" t="inlineStr">
        <is>
          <t>2026-06-10</t>
        </is>
      </c>
    </row>
    <row r="10">
      <c r="A10" s="21" t="inlineStr">
        <is>
          <t>Продажа</t>
        </is>
      </c>
      <c r="B10" s="21" t="inlineStr">
        <is>
          <t>Городская</t>
        </is>
      </c>
      <c r="C10" s="21" t="inlineStr">
        <is>
          <t>Квартира</t>
        </is>
      </c>
      <c r="D10" s="21" t="inlineStr">
        <is>
          <t>Уфа</t>
        </is>
      </c>
      <c r="E10" s="22" t="n">
        <v>213</v>
      </c>
      <c r="F10" s="22" t="n">
        <v>176</v>
      </c>
      <c r="G10" s="22" t="n">
        <v>80</v>
      </c>
      <c r="H10" s="22" t="n">
        <v>23</v>
      </c>
      <c r="I10" s="21" t="inlineStr">
        <is>
          <t>Цена зависит от стоимости объекта</t>
        </is>
      </c>
      <c r="J10" s="23" t="inlineStr">
        <is>
          <t>2026-06-10</t>
        </is>
      </c>
    </row>
    <row r="11">
      <c r="A11" s="21" t="inlineStr">
        <is>
          <t>Продажа</t>
        </is>
      </c>
      <c r="B11" s="21" t="inlineStr">
        <is>
          <t>Городская</t>
        </is>
      </c>
      <c r="C11" s="21" t="inlineStr">
        <is>
          <t>Квартира</t>
        </is>
      </c>
      <c r="D11" s="21" t="inlineStr">
        <is>
          <t>Краснодар</t>
        </is>
      </c>
      <c r="E11" s="22" t="n">
        <v>468</v>
      </c>
      <c r="F11" s="22" t="n">
        <v>197</v>
      </c>
      <c r="G11" s="22" t="n">
        <v>79</v>
      </c>
      <c r="H11" s="22" t="n">
        <v>24</v>
      </c>
      <c r="I11" s="21" t="inlineStr">
        <is>
          <t>Цена зависит от стоимости объекта</t>
        </is>
      </c>
      <c r="J11" s="23" t="inlineStr">
        <is>
          <t>2026-06-10</t>
        </is>
      </c>
    </row>
    <row r="12">
      <c r="A12" s="21" t="inlineStr">
        <is>
          <t>Продажа</t>
        </is>
      </c>
      <c r="B12" s="21" t="inlineStr">
        <is>
          <t>Городская</t>
        </is>
      </c>
      <c r="C12" s="21" t="inlineStr">
        <is>
          <t>Квартира</t>
        </is>
      </c>
      <c r="D12" s="21" t="inlineStr">
        <is>
          <t>Самара</t>
        </is>
      </c>
      <c r="E12" s="22" t="n">
        <v>354</v>
      </c>
      <c r="F12" s="24" t="inlineStr">
        <is>
          <t>—</t>
        </is>
      </c>
      <c r="G12" s="24" t="inlineStr">
        <is>
          <t>—</t>
        </is>
      </c>
      <c r="H12" s="24" t="inlineStr">
        <is>
          <t>—</t>
        </is>
      </c>
      <c r="I12" s="21" t="inlineStr">
        <is>
          <t>Цена зависит от стоимости объекта</t>
        </is>
      </c>
      <c r="J12" s="23" t="inlineStr">
        <is>
          <t>2026-06-10</t>
        </is>
      </c>
    </row>
    <row r="13">
      <c r="A13" s="21" t="inlineStr">
        <is>
          <t>Продажа</t>
        </is>
      </c>
      <c r="B13" s="21" t="inlineStr">
        <is>
          <t>Городская</t>
        </is>
      </c>
      <c r="C13" s="21" t="inlineStr">
        <is>
          <t>Квартира</t>
        </is>
      </c>
      <c r="D13" s="21" t="inlineStr">
        <is>
          <t>Ростов-на-Дону</t>
        </is>
      </c>
      <c r="E13" s="22" t="n">
        <v>468</v>
      </c>
      <c r="F13" s="22" t="n">
        <v>214</v>
      </c>
      <c r="G13" s="22" t="n">
        <v>87</v>
      </c>
      <c r="H13" s="22" t="n">
        <v>26</v>
      </c>
      <c r="I13" s="21" t="inlineStr">
        <is>
          <t>Цена зависит от стоимости объекта</t>
        </is>
      </c>
      <c r="J13" s="23" t="inlineStr">
        <is>
          <t>2026-06-10</t>
        </is>
      </c>
    </row>
    <row r="14">
      <c r="A14" s="21" t="inlineStr">
        <is>
          <t>Продажа</t>
        </is>
      </c>
      <c r="B14" s="21" t="inlineStr">
        <is>
          <t>Городская</t>
        </is>
      </c>
      <c r="C14" s="21" t="inlineStr">
        <is>
          <t>Квартира</t>
        </is>
      </c>
      <c r="D14" s="21" t="inlineStr">
        <is>
          <t>Омск</t>
        </is>
      </c>
      <c r="E14" s="22" t="n">
        <v>780</v>
      </c>
      <c r="F14" s="22" t="n">
        <v>345</v>
      </c>
      <c r="G14" s="22" t="n">
        <v>187</v>
      </c>
      <c r="H14" s="22" t="n">
        <v>58</v>
      </c>
      <c r="I14" s="21" t="inlineStr">
        <is>
          <t>Цена зависит от стоимости объекта</t>
        </is>
      </c>
      <c r="J14" s="23" t="inlineStr">
        <is>
          <t>2026-06-10</t>
        </is>
      </c>
    </row>
    <row r="15">
      <c r="A15" s="21" t="inlineStr">
        <is>
          <t>Продажа</t>
        </is>
      </c>
      <c r="B15" s="21" t="inlineStr">
        <is>
          <t>Городская</t>
        </is>
      </c>
      <c r="C15" s="21" t="inlineStr">
        <is>
          <t>Квартира</t>
        </is>
      </c>
      <c r="D15" s="21" t="inlineStr">
        <is>
          <t>Воронеж</t>
        </is>
      </c>
      <c r="E15" s="22" t="n">
        <v>204</v>
      </c>
      <c r="F15" s="24" t="inlineStr">
        <is>
          <t>—</t>
        </is>
      </c>
      <c r="G15" s="24" t="inlineStr">
        <is>
          <t>—</t>
        </is>
      </c>
      <c r="H15" s="24" t="inlineStr">
        <is>
          <t>—</t>
        </is>
      </c>
      <c r="I15" s="21" t="inlineStr">
        <is>
          <t>Цена зависит от стоимости объекта</t>
        </is>
      </c>
      <c r="J15" s="23" t="inlineStr">
        <is>
          <t>2026-06-10</t>
        </is>
      </c>
    </row>
    <row r="16">
      <c r="A16" s="21" t="inlineStr">
        <is>
          <t>Продажа</t>
        </is>
      </c>
      <c r="B16" s="21" t="inlineStr">
        <is>
          <t>Городская</t>
        </is>
      </c>
      <c r="C16" s="21" t="inlineStr">
        <is>
          <t>Квартира</t>
        </is>
      </c>
      <c r="D16" s="21" t="inlineStr">
        <is>
          <t>Пермь</t>
        </is>
      </c>
      <c r="E16" s="22" t="n">
        <v>99</v>
      </c>
      <c r="F16" s="24" t="inlineStr">
        <is>
          <t>—</t>
        </is>
      </c>
      <c r="G16" s="24" t="inlineStr">
        <is>
          <t>—</t>
        </is>
      </c>
      <c r="H16" s="24" t="inlineStr">
        <is>
          <t>—</t>
        </is>
      </c>
      <c r="I16" s="21" t="inlineStr">
        <is>
          <t>Цена зависит от стоимости объекта</t>
        </is>
      </c>
      <c r="J16" s="23" t="inlineStr">
        <is>
          <t>2026-06-10</t>
        </is>
      </c>
    </row>
    <row r="17">
      <c r="A17" s="21" t="inlineStr">
        <is>
          <t>Продажа</t>
        </is>
      </c>
      <c r="B17" s="21" t="inlineStr">
        <is>
          <t>Городская</t>
        </is>
      </c>
      <c r="C17" s="21" t="inlineStr">
        <is>
          <t>Квартира</t>
        </is>
      </c>
      <c r="D17" s="21" t="inlineStr">
        <is>
          <t>Волгоград</t>
        </is>
      </c>
      <c r="E17" s="22" t="n">
        <v>303</v>
      </c>
      <c r="F17" s="24" t="inlineStr">
        <is>
          <t>—</t>
        </is>
      </c>
      <c r="G17" s="24" t="inlineStr">
        <is>
          <t>—</t>
        </is>
      </c>
      <c r="H17" s="24" t="inlineStr">
        <is>
          <t>—</t>
        </is>
      </c>
      <c r="I17" s="21" t="inlineStr">
        <is>
          <t>Цена зависит от стоимости объекта</t>
        </is>
      </c>
      <c r="J17" s="23" t="inlineStr">
        <is>
          <t>2026-06-10</t>
        </is>
      </c>
    </row>
    <row r="18">
      <c r="A18" s="21" t="inlineStr">
        <is>
          <t>Продажа</t>
        </is>
      </c>
      <c r="B18" s="21" t="inlineStr">
        <is>
          <t>Городская</t>
        </is>
      </c>
      <c r="C18" s="21" t="inlineStr">
        <is>
          <t>Комната</t>
        </is>
      </c>
      <c r="D18" s="21" t="inlineStr">
        <is>
          <t>Москва</t>
        </is>
      </c>
      <c r="E18" s="22" t="n">
        <v>3120</v>
      </c>
      <c r="F18" s="22" t="n">
        <v>904</v>
      </c>
      <c r="G18" s="22" t="n">
        <v>382</v>
      </c>
      <c r="H18" s="22" t="n">
        <v>116</v>
      </c>
      <c r="I18" s="21" t="inlineStr">
        <is>
          <t>Цена зависит от стоимости объекта</t>
        </is>
      </c>
      <c r="J18" s="23" t="inlineStr">
        <is>
          <t>2026-06-10</t>
        </is>
      </c>
    </row>
    <row r="19">
      <c r="A19" s="21" t="inlineStr">
        <is>
          <t>Продажа</t>
        </is>
      </c>
      <c r="B19" s="21" t="inlineStr">
        <is>
          <t>Городская</t>
        </is>
      </c>
      <c r="C19" s="21" t="inlineStr">
        <is>
          <t>Комната</t>
        </is>
      </c>
      <c r="D19" s="21" t="inlineStr">
        <is>
          <t>Санкт-Петербург</t>
        </is>
      </c>
      <c r="E19" s="22" t="n">
        <v>1350</v>
      </c>
      <c r="F19" s="22" t="n">
        <v>471</v>
      </c>
      <c r="G19" s="22" t="n">
        <v>208</v>
      </c>
      <c r="H19" s="22" t="n">
        <v>64</v>
      </c>
      <c r="I19" s="21" t="inlineStr">
        <is>
          <t>Цена зависит от стоимости объекта</t>
        </is>
      </c>
      <c r="J19" s="23" t="inlineStr">
        <is>
          <t>2026-06-10</t>
        </is>
      </c>
    </row>
    <row r="20">
      <c r="A20" s="21" t="inlineStr">
        <is>
          <t>Продажа</t>
        </is>
      </c>
      <c r="B20" s="21" t="inlineStr">
        <is>
          <t>Городская</t>
        </is>
      </c>
      <c r="C20" s="21" t="inlineStr">
        <is>
          <t>Комната</t>
        </is>
      </c>
      <c r="D20" s="21" t="inlineStr">
        <is>
          <t>Новосибирск</t>
        </is>
      </c>
      <c r="E20" s="22" t="n">
        <v>1332</v>
      </c>
      <c r="F20" s="22" t="n">
        <v>315</v>
      </c>
      <c r="G20" s="22" t="n">
        <v>148</v>
      </c>
      <c r="H20" s="22" t="n">
        <v>45</v>
      </c>
      <c r="I20" s="21" t="inlineStr">
        <is>
          <t>Цена зависит от стоимости объекта</t>
        </is>
      </c>
      <c r="J20" s="23" t="inlineStr">
        <is>
          <t>2026-06-10</t>
        </is>
      </c>
    </row>
    <row r="21">
      <c r="A21" s="21" t="inlineStr">
        <is>
          <t>Продажа</t>
        </is>
      </c>
      <c r="B21" s="21" t="inlineStr">
        <is>
          <t>Городская</t>
        </is>
      </c>
      <c r="C21" s="21" t="inlineStr">
        <is>
          <t>Комната</t>
        </is>
      </c>
      <c r="D21" s="21" t="inlineStr">
        <is>
          <t>Екатеринбург</t>
        </is>
      </c>
      <c r="E21" s="22" t="n">
        <v>489</v>
      </c>
      <c r="F21" s="22" t="n">
        <v>284</v>
      </c>
      <c r="G21" s="22" t="n">
        <v>155</v>
      </c>
      <c r="H21" s="22" t="n">
        <v>46</v>
      </c>
      <c r="I21" s="21" t="inlineStr">
        <is>
          <t>Цена зависит от стоимости объекта</t>
        </is>
      </c>
      <c r="J21" s="23" t="inlineStr">
        <is>
          <t>2026-06-10</t>
        </is>
      </c>
    </row>
    <row r="22">
      <c r="A22" s="21" t="inlineStr">
        <is>
          <t>Продажа</t>
        </is>
      </c>
      <c r="B22" s="21" t="inlineStr">
        <is>
          <t>Городская</t>
        </is>
      </c>
      <c r="C22" s="21" t="inlineStr">
        <is>
          <t>Комната</t>
        </is>
      </c>
      <c r="D22" s="21" t="inlineStr">
        <is>
          <t>Казань</t>
        </is>
      </c>
      <c r="E22" s="22" t="n">
        <v>315</v>
      </c>
      <c r="F22" s="22" t="n">
        <v>179</v>
      </c>
      <c r="G22" s="22" t="n">
        <v>70</v>
      </c>
      <c r="H22" s="22" t="n">
        <v>20</v>
      </c>
      <c r="I22" s="21" t="inlineStr">
        <is>
          <t>Цена зависит от стоимости объекта</t>
        </is>
      </c>
      <c r="J22" s="23" t="inlineStr">
        <is>
          <t>2026-06-10</t>
        </is>
      </c>
    </row>
    <row r="23">
      <c r="A23" s="21" t="inlineStr">
        <is>
          <t>Продажа</t>
        </is>
      </c>
      <c r="B23" s="21" t="inlineStr">
        <is>
          <t>Городская</t>
        </is>
      </c>
      <c r="C23" s="21" t="inlineStr">
        <is>
          <t>Комната</t>
        </is>
      </c>
      <c r="D23" s="21" t="inlineStr">
        <is>
          <t>Красноярск</t>
        </is>
      </c>
      <c r="E23" s="22" t="n">
        <v>513</v>
      </c>
      <c r="F23" s="24" t="inlineStr">
        <is>
          <t>—</t>
        </is>
      </c>
      <c r="G23" s="24" t="inlineStr">
        <is>
          <t>—</t>
        </is>
      </c>
      <c r="H23" s="24" t="inlineStr">
        <is>
          <t>—</t>
        </is>
      </c>
      <c r="I23" s="21" t="inlineStr">
        <is>
          <t>Цена зависит от стоимости объекта</t>
        </is>
      </c>
      <c r="J23" s="23" t="inlineStr">
        <is>
          <t>2026-06-10</t>
        </is>
      </c>
    </row>
    <row r="24">
      <c r="A24" s="21" t="inlineStr">
        <is>
          <t>Продажа</t>
        </is>
      </c>
      <c r="B24" s="21" t="inlineStr">
        <is>
          <t>Городская</t>
        </is>
      </c>
      <c r="C24" s="21" t="inlineStr">
        <is>
          <t>Комната</t>
        </is>
      </c>
      <c r="D24" s="21" t="inlineStr">
        <is>
          <t>Нижний Новгород</t>
        </is>
      </c>
      <c r="E24" s="22" t="n">
        <v>390</v>
      </c>
      <c r="F24" s="22" t="n">
        <v>159</v>
      </c>
      <c r="G24" s="22" t="n">
        <v>66</v>
      </c>
      <c r="H24" s="22" t="n">
        <v>20</v>
      </c>
      <c r="I24" s="21" t="inlineStr">
        <is>
          <t>Цена зависит от стоимости объекта</t>
        </is>
      </c>
      <c r="J24" s="23" t="inlineStr">
        <is>
          <t>2026-06-10</t>
        </is>
      </c>
    </row>
    <row r="25">
      <c r="A25" s="21" t="inlineStr">
        <is>
          <t>Продажа</t>
        </is>
      </c>
      <c r="B25" s="21" t="inlineStr">
        <is>
          <t>Городская</t>
        </is>
      </c>
      <c r="C25" s="21" t="inlineStr">
        <is>
          <t>Комната</t>
        </is>
      </c>
      <c r="D25" s="21" t="inlineStr">
        <is>
          <t>Челябинск</t>
        </is>
      </c>
      <c r="E25" s="22" t="n">
        <v>171</v>
      </c>
      <c r="F25" s="22" t="n">
        <v>207</v>
      </c>
      <c r="G25" s="22" t="n">
        <v>100</v>
      </c>
      <c r="H25" s="22" t="n">
        <v>29</v>
      </c>
      <c r="I25" s="21" t="inlineStr">
        <is>
          <t>Цена зависит от стоимости объекта</t>
        </is>
      </c>
      <c r="J25" s="23" t="inlineStr">
        <is>
          <t>2026-06-10</t>
        </is>
      </c>
    </row>
    <row r="26">
      <c r="A26" s="21" t="inlineStr">
        <is>
          <t>Продажа</t>
        </is>
      </c>
      <c r="B26" s="21" t="inlineStr">
        <is>
          <t>Городская</t>
        </is>
      </c>
      <c r="C26" s="21" t="inlineStr">
        <is>
          <t>Комната</t>
        </is>
      </c>
      <c r="D26" s="21" t="inlineStr">
        <is>
          <t>Уфа</t>
        </is>
      </c>
      <c r="E26" s="22" t="n">
        <v>225</v>
      </c>
      <c r="F26" s="22" t="n">
        <v>178</v>
      </c>
      <c r="G26" s="22" t="n">
        <v>80</v>
      </c>
      <c r="H26" s="22" t="n">
        <v>23</v>
      </c>
      <c r="I26" s="21" t="inlineStr">
        <is>
          <t>Цена зависит от стоимости объекта</t>
        </is>
      </c>
      <c r="J26" s="23" t="inlineStr">
        <is>
          <t>2026-06-10</t>
        </is>
      </c>
    </row>
    <row r="27">
      <c r="A27" s="21" t="inlineStr">
        <is>
          <t>Продажа</t>
        </is>
      </c>
      <c r="B27" s="21" t="inlineStr">
        <is>
          <t>Городская</t>
        </is>
      </c>
      <c r="C27" s="21" t="inlineStr">
        <is>
          <t>Комната</t>
        </is>
      </c>
      <c r="D27" s="21" t="inlineStr">
        <is>
          <t>Краснодар</t>
        </is>
      </c>
      <c r="E27" s="22" t="n">
        <v>342</v>
      </c>
      <c r="F27" s="22" t="n">
        <v>141</v>
      </c>
      <c r="G27" s="22" t="n">
        <v>60</v>
      </c>
      <c r="H27" s="22" t="n">
        <v>18</v>
      </c>
      <c r="I27" s="21" t="inlineStr">
        <is>
          <t>Цена зависит от стоимости объекта</t>
        </is>
      </c>
      <c r="J27" s="23" t="inlineStr">
        <is>
          <t>2026-06-10</t>
        </is>
      </c>
    </row>
    <row r="28">
      <c r="A28" s="21" t="inlineStr">
        <is>
          <t>Продажа</t>
        </is>
      </c>
      <c r="B28" s="21" t="inlineStr">
        <is>
          <t>Городская</t>
        </is>
      </c>
      <c r="C28" s="21" t="inlineStr">
        <is>
          <t>Комната</t>
        </is>
      </c>
      <c r="D28" s="21" t="inlineStr">
        <is>
          <t>Самара</t>
        </is>
      </c>
      <c r="E28" s="22" t="n">
        <v>192</v>
      </c>
      <c r="F28" s="24" t="inlineStr">
        <is>
          <t>—</t>
        </is>
      </c>
      <c r="G28" s="24" t="inlineStr">
        <is>
          <t>—</t>
        </is>
      </c>
      <c r="H28" s="24" t="inlineStr">
        <is>
          <t>—</t>
        </is>
      </c>
      <c r="I28" s="21" t="inlineStr">
        <is>
          <t>Цена зависит от стоимости объекта</t>
        </is>
      </c>
      <c r="J28" s="23" t="inlineStr">
        <is>
          <t>2026-06-10</t>
        </is>
      </c>
    </row>
    <row r="29">
      <c r="A29" s="21" t="inlineStr">
        <is>
          <t>Продажа</t>
        </is>
      </c>
      <c r="B29" s="21" t="inlineStr">
        <is>
          <t>Городская</t>
        </is>
      </c>
      <c r="C29" s="21" t="inlineStr">
        <is>
          <t>Комната</t>
        </is>
      </c>
      <c r="D29" s="21" t="inlineStr">
        <is>
          <t>Ростов-на-Дону</t>
        </is>
      </c>
      <c r="E29" s="22" t="n">
        <v>468</v>
      </c>
      <c r="F29" s="22" t="n">
        <v>182</v>
      </c>
      <c r="G29" s="22" t="n">
        <v>74</v>
      </c>
      <c r="H29" s="22" t="n">
        <v>22</v>
      </c>
      <c r="I29" s="21" t="inlineStr">
        <is>
          <t>Цена зависит от стоимости объекта</t>
        </is>
      </c>
      <c r="J29" s="23" t="inlineStr">
        <is>
          <t>2026-06-10</t>
        </is>
      </c>
    </row>
    <row r="30">
      <c r="A30" s="21" t="inlineStr">
        <is>
          <t>Продажа</t>
        </is>
      </c>
      <c r="B30" s="21" t="inlineStr">
        <is>
          <t>Городская</t>
        </is>
      </c>
      <c r="C30" s="21" t="inlineStr">
        <is>
          <t>Комната</t>
        </is>
      </c>
      <c r="D30" s="21" t="inlineStr">
        <is>
          <t>Омск</t>
        </is>
      </c>
      <c r="E30" s="22" t="n">
        <v>798</v>
      </c>
      <c r="F30" s="22" t="n">
        <v>345</v>
      </c>
      <c r="G30" s="22" t="n">
        <v>196</v>
      </c>
      <c r="H30" s="22" t="n">
        <v>60</v>
      </c>
      <c r="I30" s="21" t="inlineStr">
        <is>
          <t>Цена зависит от стоимости объекта</t>
        </is>
      </c>
      <c r="J30" s="23" t="inlineStr">
        <is>
          <t>2026-06-10</t>
        </is>
      </c>
    </row>
    <row r="31">
      <c r="A31" s="21" t="inlineStr">
        <is>
          <t>Продажа</t>
        </is>
      </c>
      <c r="B31" s="21" t="inlineStr">
        <is>
          <t>Городская</t>
        </is>
      </c>
      <c r="C31" s="21" t="inlineStr">
        <is>
          <t>Комната</t>
        </is>
      </c>
      <c r="D31" s="21" t="inlineStr">
        <is>
          <t>Воронеж</t>
        </is>
      </c>
      <c r="E31" s="22" t="n">
        <v>126</v>
      </c>
      <c r="F31" s="24" t="inlineStr">
        <is>
          <t>—</t>
        </is>
      </c>
      <c r="G31" s="24" t="inlineStr">
        <is>
          <t>—</t>
        </is>
      </c>
      <c r="H31" s="24" t="inlineStr">
        <is>
          <t>—</t>
        </is>
      </c>
      <c r="I31" s="21" t="inlineStr">
        <is>
          <t>Цена зависит от стоимости объекта</t>
        </is>
      </c>
      <c r="J31" s="23" t="inlineStr">
        <is>
          <t>2026-06-10</t>
        </is>
      </c>
    </row>
    <row r="32">
      <c r="A32" s="21" t="inlineStr">
        <is>
          <t>Продажа</t>
        </is>
      </c>
      <c r="B32" s="21" t="inlineStr">
        <is>
          <t>Городская</t>
        </is>
      </c>
      <c r="C32" s="21" t="inlineStr">
        <is>
          <t>Комната</t>
        </is>
      </c>
      <c r="D32" s="21" t="inlineStr">
        <is>
          <t>Пермь</t>
        </is>
      </c>
      <c r="E32" s="22" t="n">
        <v>99</v>
      </c>
      <c r="F32" s="24" t="inlineStr">
        <is>
          <t>—</t>
        </is>
      </c>
      <c r="G32" s="24" t="inlineStr">
        <is>
          <t>—</t>
        </is>
      </c>
      <c r="H32" s="24" t="inlineStr">
        <is>
          <t>—</t>
        </is>
      </c>
      <c r="I32" s="21" t="inlineStr">
        <is>
          <t>Цена зависит от стоимости объекта</t>
        </is>
      </c>
      <c r="J32" s="23" t="inlineStr">
        <is>
          <t>2026-06-10</t>
        </is>
      </c>
    </row>
    <row r="33">
      <c r="A33" s="21" t="inlineStr">
        <is>
          <t>Продажа</t>
        </is>
      </c>
      <c r="B33" s="21" t="inlineStr">
        <is>
          <t>Городская</t>
        </is>
      </c>
      <c r="C33" s="21" t="inlineStr">
        <is>
          <t>Комната</t>
        </is>
      </c>
      <c r="D33" s="21" t="inlineStr">
        <is>
          <t>Волгоград</t>
        </is>
      </c>
      <c r="E33" s="22" t="n">
        <v>246</v>
      </c>
      <c r="F33" s="24" t="inlineStr">
        <is>
          <t>—</t>
        </is>
      </c>
      <c r="G33" s="24" t="inlineStr">
        <is>
          <t>—</t>
        </is>
      </c>
      <c r="H33" s="24" t="inlineStr">
        <is>
          <t>—</t>
        </is>
      </c>
      <c r="I33" s="21" t="inlineStr">
        <is>
          <t>Цена зависит от стоимости объекта</t>
        </is>
      </c>
      <c r="J33" s="23" t="inlineStr">
        <is>
          <t>2026-06-10</t>
        </is>
      </c>
    </row>
    <row r="34">
      <c r="A34" s="21" t="inlineStr">
        <is>
          <t>Продажа</t>
        </is>
      </c>
      <c r="B34" s="21" t="inlineStr">
        <is>
          <t>Городская</t>
        </is>
      </c>
      <c r="C34" s="21" t="inlineStr">
        <is>
          <t>Квартира в новостройке</t>
        </is>
      </c>
      <c r="D34" s="21" t="inlineStr">
        <is>
          <t>Москва</t>
        </is>
      </c>
      <c r="E34" s="22" t="n">
        <v>3390</v>
      </c>
      <c r="F34" s="22" t="n">
        <v>1213</v>
      </c>
      <c r="G34" s="22" t="n">
        <v>492</v>
      </c>
      <c r="H34" s="22" t="n">
        <v>162</v>
      </c>
      <c r="I34" s="21" t="inlineStr">
        <is>
          <t>Цена зависит от стоимости объекта</t>
        </is>
      </c>
      <c r="J34" s="23" t="inlineStr">
        <is>
          <t>2026-06-10</t>
        </is>
      </c>
    </row>
    <row r="35">
      <c r="A35" s="21" t="inlineStr">
        <is>
          <t>Продажа</t>
        </is>
      </c>
      <c r="B35" s="21" t="inlineStr">
        <is>
          <t>Городская</t>
        </is>
      </c>
      <c r="C35" s="21" t="inlineStr">
        <is>
          <t>Квартира в новостройке</t>
        </is>
      </c>
      <c r="D35" s="21" t="inlineStr">
        <is>
          <t>Санкт-Петербург</t>
        </is>
      </c>
      <c r="E35" s="22" t="n">
        <v>1560</v>
      </c>
      <c r="F35" s="22" t="n">
        <v>538</v>
      </c>
      <c r="G35" s="22" t="n">
        <v>230</v>
      </c>
      <c r="H35" s="22" t="n">
        <v>97</v>
      </c>
      <c r="I35" s="21" t="inlineStr">
        <is>
          <t>Цена зависит от стоимости объекта</t>
        </is>
      </c>
      <c r="J35" s="23" t="inlineStr">
        <is>
          <t>2026-06-10</t>
        </is>
      </c>
    </row>
    <row r="36">
      <c r="A36" s="21" t="inlineStr">
        <is>
          <t>Продажа</t>
        </is>
      </c>
      <c r="B36" s="21" t="inlineStr">
        <is>
          <t>Городская</t>
        </is>
      </c>
      <c r="C36" s="21" t="inlineStr">
        <is>
          <t>Квартира в новостройке</t>
        </is>
      </c>
      <c r="D36" s="21" t="inlineStr">
        <is>
          <t>Новосибирск</t>
        </is>
      </c>
      <c r="E36" s="22" t="n">
        <v>1596</v>
      </c>
      <c r="F36" s="22" t="n">
        <v>357</v>
      </c>
      <c r="G36" s="22" t="n">
        <v>161</v>
      </c>
      <c r="H36" s="22" t="n">
        <v>48</v>
      </c>
      <c r="I36" s="21" t="inlineStr">
        <is>
          <t>Цена зависит от стоимости объекта</t>
        </is>
      </c>
      <c r="J36" s="23" t="inlineStr">
        <is>
          <t>2026-06-10</t>
        </is>
      </c>
    </row>
    <row r="37">
      <c r="A37" s="21" t="inlineStr">
        <is>
          <t>Продажа</t>
        </is>
      </c>
      <c r="B37" s="21" t="inlineStr">
        <is>
          <t>Городская</t>
        </is>
      </c>
      <c r="C37" s="21" t="inlineStr">
        <is>
          <t>Квартира в новостройке</t>
        </is>
      </c>
      <c r="D37" s="21" t="inlineStr">
        <is>
          <t>Екатеринбург</t>
        </is>
      </c>
      <c r="E37" s="22" t="n">
        <v>489</v>
      </c>
      <c r="F37" s="22" t="n">
        <v>390</v>
      </c>
      <c r="G37" s="22" t="n">
        <v>194</v>
      </c>
      <c r="H37" s="22" t="n">
        <v>59</v>
      </c>
      <c r="I37" s="21" t="inlineStr">
        <is>
          <t>Цена зависит от стоимости объекта</t>
        </is>
      </c>
      <c r="J37" s="23" t="inlineStr">
        <is>
          <t>2026-06-10</t>
        </is>
      </c>
    </row>
    <row r="38">
      <c r="A38" s="21" t="inlineStr">
        <is>
          <t>Продажа</t>
        </is>
      </c>
      <c r="B38" s="21" t="inlineStr">
        <is>
          <t>Городская</t>
        </is>
      </c>
      <c r="C38" s="21" t="inlineStr">
        <is>
          <t>Квартира в новостройке</t>
        </is>
      </c>
      <c r="D38" s="21" t="inlineStr">
        <is>
          <t>Казань</t>
        </is>
      </c>
      <c r="E38" s="22" t="n">
        <v>354</v>
      </c>
      <c r="F38" s="22" t="n">
        <v>222</v>
      </c>
      <c r="G38" s="22" t="n">
        <v>86</v>
      </c>
      <c r="H38" s="22" t="n">
        <v>25</v>
      </c>
      <c r="I38" s="21" t="inlineStr">
        <is>
          <t>Цена зависит от стоимости объекта</t>
        </is>
      </c>
      <c r="J38" s="23" t="inlineStr">
        <is>
          <t>2026-06-10</t>
        </is>
      </c>
    </row>
    <row r="39">
      <c r="A39" s="21" t="inlineStr">
        <is>
          <t>Продажа</t>
        </is>
      </c>
      <c r="B39" s="21" t="inlineStr">
        <is>
          <t>Городская</t>
        </is>
      </c>
      <c r="C39" s="21" t="inlineStr">
        <is>
          <t>Квартира в новостройке</t>
        </is>
      </c>
      <c r="D39" s="21" t="inlineStr">
        <is>
          <t>Красноярск</t>
        </is>
      </c>
      <c r="E39" s="22" t="n">
        <v>573</v>
      </c>
      <c r="F39" s="24" t="inlineStr">
        <is>
          <t>—</t>
        </is>
      </c>
      <c r="G39" s="24" t="inlineStr">
        <is>
          <t>—</t>
        </is>
      </c>
      <c r="H39" s="24" t="inlineStr">
        <is>
          <t>—</t>
        </is>
      </c>
      <c r="I39" s="21" t="inlineStr">
        <is>
          <t>Цена зависит от стоимости объекта</t>
        </is>
      </c>
      <c r="J39" s="23" t="inlineStr">
        <is>
          <t>2026-06-10</t>
        </is>
      </c>
    </row>
    <row r="40">
      <c r="A40" s="21" t="inlineStr">
        <is>
          <t>Продажа</t>
        </is>
      </c>
      <c r="B40" s="21" t="inlineStr">
        <is>
          <t>Городская</t>
        </is>
      </c>
      <c r="C40" s="21" t="inlineStr">
        <is>
          <t>Квартира в новостройке</t>
        </is>
      </c>
      <c r="D40" s="21" t="inlineStr">
        <is>
          <t>Нижний Новгород</t>
        </is>
      </c>
      <c r="E40" s="22" t="n">
        <v>441</v>
      </c>
      <c r="F40" s="22" t="n">
        <v>190</v>
      </c>
      <c r="G40" s="22" t="n">
        <v>72</v>
      </c>
      <c r="H40" s="22" t="n">
        <v>22</v>
      </c>
      <c r="I40" s="21" t="inlineStr">
        <is>
          <t>Цена зависит от стоимости объекта</t>
        </is>
      </c>
      <c r="J40" s="23" t="inlineStr">
        <is>
          <t>2026-06-10</t>
        </is>
      </c>
    </row>
    <row r="41">
      <c r="A41" s="21" t="inlineStr">
        <is>
          <t>Продажа</t>
        </is>
      </c>
      <c r="B41" s="21" t="inlineStr">
        <is>
          <t>Городская</t>
        </is>
      </c>
      <c r="C41" s="21" t="inlineStr">
        <is>
          <t>Квартира в новостройке</t>
        </is>
      </c>
      <c r="D41" s="21" t="inlineStr">
        <is>
          <t>Челябинск</t>
        </is>
      </c>
      <c r="E41" s="22" t="n">
        <v>291</v>
      </c>
      <c r="F41" s="22" t="n">
        <v>226</v>
      </c>
      <c r="G41" s="22" t="n">
        <v>105</v>
      </c>
      <c r="H41" s="22" t="n">
        <v>30</v>
      </c>
      <c r="I41" s="21" t="inlineStr">
        <is>
          <t>Цена зависит от стоимости объекта</t>
        </is>
      </c>
      <c r="J41" s="23" t="inlineStr">
        <is>
          <t>2026-06-10</t>
        </is>
      </c>
    </row>
    <row r="42">
      <c r="A42" s="21" t="inlineStr">
        <is>
          <t>Продажа</t>
        </is>
      </c>
      <c r="B42" s="21" t="inlineStr">
        <is>
          <t>Городская</t>
        </is>
      </c>
      <c r="C42" s="21" t="inlineStr">
        <is>
          <t>Квартира в новостройке</t>
        </is>
      </c>
      <c r="D42" s="21" t="inlineStr">
        <is>
          <t>Уфа</t>
        </is>
      </c>
      <c r="E42" s="22" t="n">
        <v>213</v>
      </c>
      <c r="F42" s="22" t="n">
        <v>166</v>
      </c>
      <c r="G42" s="22" t="n">
        <v>76</v>
      </c>
      <c r="H42" s="22" t="n">
        <v>21</v>
      </c>
      <c r="I42" s="21" t="inlineStr">
        <is>
          <t>Цена зависит от стоимости объекта</t>
        </is>
      </c>
      <c r="J42" s="23" t="inlineStr">
        <is>
          <t>2026-06-10</t>
        </is>
      </c>
    </row>
    <row r="43">
      <c r="A43" s="21" t="inlineStr">
        <is>
          <t>Продажа</t>
        </is>
      </c>
      <c r="B43" s="21" t="inlineStr">
        <is>
          <t>Городская</t>
        </is>
      </c>
      <c r="C43" s="21" t="inlineStr">
        <is>
          <t>Квартира в новостройке</t>
        </is>
      </c>
      <c r="D43" s="21" t="inlineStr">
        <is>
          <t>Краснодар</t>
        </is>
      </c>
      <c r="E43" s="22" t="n">
        <v>468</v>
      </c>
      <c r="F43" s="22" t="n">
        <v>167</v>
      </c>
      <c r="G43" s="22" t="n">
        <v>65</v>
      </c>
      <c r="H43" s="22" t="n">
        <v>20</v>
      </c>
      <c r="I43" s="21" t="inlineStr">
        <is>
          <t>Цена зависит от стоимости объекта</t>
        </is>
      </c>
      <c r="J43" s="23" t="inlineStr">
        <is>
          <t>2026-06-10</t>
        </is>
      </c>
    </row>
    <row r="44">
      <c r="A44" s="21" t="inlineStr">
        <is>
          <t>Продажа</t>
        </is>
      </c>
      <c r="B44" s="21" t="inlineStr">
        <is>
          <t>Городская</t>
        </is>
      </c>
      <c r="C44" s="21" t="inlineStr">
        <is>
          <t>Квартира в новостройке</t>
        </is>
      </c>
      <c r="D44" s="21" t="inlineStr">
        <is>
          <t>Самара</t>
        </is>
      </c>
      <c r="E44" s="22" t="n">
        <v>354</v>
      </c>
      <c r="F44" s="24" t="inlineStr">
        <is>
          <t>—</t>
        </is>
      </c>
      <c r="G44" s="24" t="inlineStr">
        <is>
          <t>—</t>
        </is>
      </c>
      <c r="H44" s="24" t="inlineStr">
        <is>
          <t>—</t>
        </is>
      </c>
      <c r="I44" s="21" t="inlineStr">
        <is>
          <t>Цена зависит от стоимости объекта</t>
        </is>
      </c>
      <c r="J44" s="23" t="inlineStr">
        <is>
          <t>2026-06-10</t>
        </is>
      </c>
    </row>
    <row r="45">
      <c r="A45" s="21" t="inlineStr">
        <is>
          <t>Продажа</t>
        </is>
      </c>
      <c r="B45" s="21" t="inlineStr">
        <is>
          <t>Городская</t>
        </is>
      </c>
      <c r="C45" s="21" t="inlineStr">
        <is>
          <t>Квартира в новостройке</t>
        </is>
      </c>
      <c r="D45" s="21" t="inlineStr">
        <is>
          <t>Ростов-на-Дону</t>
        </is>
      </c>
      <c r="E45" s="22" t="n">
        <v>468</v>
      </c>
      <c r="F45" s="22" t="n">
        <v>182</v>
      </c>
      <c r="G45" s="22" t="n">
        <v>74</v>
      </c>
      <c r="H45" s="22" t="n">
        <v>22</v>
      </c>
      <c r="I45" s="21" t="inlineStr">
        <is>
          <t>Цена зависит от стоимости объекта</t>
        </is>
      </c>
      <c r="J45" s="23" t="inlineStr">
        <is>
          <t>2026-06-10</t>
        </is>
      </c>
    </row>
    <row r="46">
      <c r="A46" s="21" t="inlineStr">
        <is>
          <t>Продажа</t>
        </is>
      </c>
      <c r="B46" s="21" t="inlineStr">
        <is>
          <t>Городская</t>
        </is>
      </c>
      <c r="C46" s="21" t="inlineStr">
        <is>
          <t>Квартира в новостройке</t>
        </is>
      </c>
      <c r="D46" s="21" t="inlineStr">
        <is>
          <t>Омск</t>
        </is>
      </c>
      <c r="E46" s="22" t="n">
        <v>780</v>
      </c>
      <c r="F46" s="22" t="n">
        <v>422</v>
      </c>
      <c r="G46" s="22" t="n">
        <v>229</v>
      </c>
      <c r="H46" s="22" t="n">
        <v>70</v>
      </c>
      <c r="I46" s="21" t="inlineStr">
        <is>
          <t>Цена зависит от стоимости объекта</t>
        </is>
      </c>
      <c r="J46" s="23" t="inlineStr">
        <is>
          <t>2026-06-10</t>
        </is>
      </c>
    </row>
    <row r="47">
      <c r="A47" s="21" t="inlineStr">
        <is>
          <t>Продажа</t>
        </is>
      </c>
      <c r="B47" s="21" t="inlineStr">
        <is>
          <t>Городская</t>
        </is>
      </c>
      <c r="C47" s="21" t="inlineStr">
        <is>
          <t>Квартира в новостройке</t>
        </is>
      </c>
      <c r="D47" s="21" t="inlineStr">
        <is>
          <t>Воронеж</t>
        </is>
      </c>
      <c r="E47" s="22" t="n">
        <v>204</v>
      </c>
      <c r="F47" s="24" t="inlineStr">
        <is>
          <t>—</t>
        </is>
      </c>
      <c r="G47" s="24" t="inlineStr">
        <is>
          <t>—</t>
        </is>
      </c>
      <c r="H47" s="24" t="inlineStr">
        <is>
          <t>—</t>
        </is>
      </c>
      <c r="I47" s="21" t="inlineStr">
        <is>
          <t>Цена зависит от стоимости объекта</t>
        </is>
      </c>
      <c r="J47" s="23" t="inlineStr">
        <is>
          <t>2026-06-10</t>
        </is>
      </c>
    </row>
    <row r="48">
      <c r="A48" s="21" t="inlineStr">
        <is>
          <t>Продажа</t>
        </is>
      </c>
      <c r="B48" s="21" t="inlineStr">
        <is>
          <t>Городская</t>
        </is>
      </c>
      <c r="C48" s="21" t="inlineStr">
        <is>
          <t>Квартира в новостройке</t>
        </is>
      </c>
      <c r="D48" s="21" t="inlineStr">
        <is>
          <t>Пермь</t>
        </is>
      </c>
      <c r="E48" s="22" t="n">
        <v>99</v>
      </c>
      <c r="F48" s="24" t="inlineStr">
        <is>
          <t>—</t>
        </is>
      </c>
      <c r="G48" s="24" t="inlineStr">
        <is>
          <t>—</t>
        </is>
      </c>
      <c r="H48" s="24" t="inlineStr">
        <is>
          <t>—</t>
        </is>
      </c>
      <c r="I48" s="21" t="inlineStr">
        <is>
          <t>Цена зависит от стоимости объекта</t>
        </is>
      </c>
      <c r="J48" s="23" t="inlineStr">
        <is>
          <t>2026-06-10</t>
        </is>
      </c>
    </row>
    <row r="49">
      <c r="A49" s="21" t="inlineStr">
        <is>
          <t>Продажа</t>
        </is>
      </c>
      <c r="B49" s="21" t="inlineStr">
        <is>
          <t>Городская</t>
        </is>
      </c>
      <c r="C49" s="21" t="inlineStr">
        <is>
          <t>Квартира в новостройке</t>
        </is>
      </c>
      <c r="D49" s="21" t="inlineStr">
        <is>
          <t>Волгоград</t>
        </is>
      </c>
      <c r="E49" s="22" t="n">
        <v>303</v>
      </c>
      <c r="F49" s="24" t="inlineStr">
        <is>
          <t>—</t>
        </is>
      </c>
      <c r="G49" s="24" t="inlineStr">
        <is>
          <t>—</t>
        </is>
      </c>
      <c r="H49" s="24" t="inlineStr">
        <is>
          <t>—</t>
        </is>
      </c>
      <c r="I49" s="21" t="inlineStr">
        <is>
          <t>Цена зависит от стоимости объекта</t>
        </is>
      </c>
      <c r="J49" s="23" t="inlineStr">
        <is>
          <t>2026-06-10</t>
        </is>
      </c>
    </row>
    <row r="50">
      <c r="A50" s="21" t="inlineStr">
        <is>
          <t>Продажа</t>
        </is>
      </c>
      <c r="B50" s="21" t="inlineStr">
        <is>
          <t>Городская</t>
        </is>
      </c>
      <c r="C50" s="21" t="inlineStr">
        <is>
          <t>Доля в квартире</t>
        </is>
      </c>
      <c r="D50" s="21" t="inlineStr">
        <is>
          <t>Москва</t>
        </is>
      </c>
      <c r="E50" s="22" t="n">
        <v>882</v>
      </c>
      <c r="F50" s="22" t="n">
        <v>1213</v>
      </c>
      <c r="G50" s="22" t="n">
        <v>492</v>
      </c>
      <c r="H50" s="22" t="n">
        <v>162</v>
      </c>
      <c r="I50" s="21" t="inlineStr">
        <is>
          <t>Цена зависит от стоимости объекта</t>
        </is>
      </c>
      <c r="J50" s="23" t="inlineStr">
        <is>
          <t>2026-06-10</t>
        </is>
      </c>
    </row>
    <row r="51">
      <c r="A51" s="21" t="inlineStr">
        <is>
          <t>Продажа</t>
        </is>
      </c>
      <c r="B51" s="21" t="inlineStr">
        <is>
          <t>Городская</t>
        </is>
      </c>
      <c r="C51" s="21" t="inlineStr">
        <is>
          <t>Доля в квартире</t>
        </is>
      </c>
      <c r="D51" s="21" t="inlineStr">
        <is>
          <t>Санкт-Петербург</t>
        </is>
      </c>
      <c r="E51" s="22" t="n">
        <v>1500</v>
      </c>
      <c r="F51" s="22" t="n">
        <v>488</v>
      </c>
      <c r="G51" s="22" t="n">
        <v>207</v>
      </c>
      <c r="H51" s="22" t="n">
        <v>89</v>
      </c>
      <c r="I51" s="21" t="inlineStr">
        <is>
          <t>Цена зависит от стоимости объекта</t>
        </is>
      </c>
      <c r="J51" s="23" t="inlineStr">
        <is>
          <t>2026-06-10</t>
        </is>
      </c>
    </row>
    <row r="52">
      <c r="A52" s="21" t="inlineStr">
        <is>
          <t>Продажа</t>
        </is>
      </c>
      <c r="B52" s="21" t="inlineStr">
        <is>
          <t>Городская</t>
        </is>
      </c>
      <c r="C52" s="21" t="inlineStr">
        <is>
          <t>Доля в квартире</t>
        </is>
      </c>
      <c r="D52" s="21" t="inlineStr">
        <is>
          <t>Новосибирск</t>
        </is>
      </c>
      <c r="E52" s="22" t="n">
        <v>1596</v>
      </c>
      <c r="F52" s="22" t="n">
        <v>420</v>
      </c>
      <c r="G52" s="22" t="n">
        <v>189</v>
      </c>
      <c r="H52" s="22" t="n">
        <v>56</v>
      </c>
      <c r="I52" s="21" t="inlineStr">
        <is>
          <t>Цена зависит от стоимости объекта</t>
        </is>
      </c>
      <c r="J52" s="23" t="inlineStr">
        <is>
          <t>2026-06-10</t>
        </is>
      </c>
    </row>
    <row r="53">
      <c r="A53" s="21" t="inlineStr">
        <is>
          <t>Продажа</t>
        </is>
      </c>
      <c r="B53" s="21" t="inlineStr">
        <is>
          <t>Городская</t>
        </is>
      </c>
      <c r="C53" s="21" t="inlineStr">
        <is>
          <t>Доля в квартире</t>
        </is>
      </c>
      <c r="D53" s="21" t="inlineStr">
        <is>
          <t>Екатеринбург</t>
        </is>
      </c>
      <c r="E53" s="22" t="n">
        <v>489</v>
      </c>
      <c r="F53" s="22" t="n">
        <v>459</v>
      </c>
      <c r="G53" s="22" t="n">
        <v>228</v>
      </c>
      <c r="H53" s="22" t="n">
        <v>69</v>
      </c>
      <c r="I53" s="21" t="inlineStr">
        <is>
          <t>Цена зависит от стоимости объекта</t>
        </is>
      </c>
      <c r="J53" s="23" t="inlineStr">
        <is>
          <t>2026-06-10</t>
        </is>
      </c>
    </row>
    <row r="54">
      <c r="A54" s="21" t="inlineStr">
        <is>
          <t>Продажа</t>
        </is>
      </c>
      <c r="B54" s="21" t="inlineStr">
        <is>
          <t>Городская</t>
        </is>
      </c>
      <c r="C54" s="21" t="inlineStr">
        <is>
          <t>Доля в квартире</t>
        </is>
      </c>
      <c r="D54" s="21" t="inlineStr">
        <is>
          <t>Казань</t>
        </is>
      </c>
      <c r="E54" s="22" t="n">
        <v>354</v>
      </c>
      <c r="F54" s="22" t="n">
        <v>222</v>
      </c>
      <c r="G54" s="22" t="n">
        <v>86</v>
      </c>
      <c r="H54" s="22" t="n">
        <v>25</v>
      </c>
      <c r="I54" s="21" t="inlineStr">
        <is>
          <t>Цена зависит от стоимости объекта</t>
        </is>
      </c>
      <c r="J54" s="23" t="inlineStr">
        <is>
          <t>2026-06-10</t>
        </is>
      </c>
    </row>
    <row r="55">
      <c r="A55" s="21" t="inlineStr">
        <is>
          <t>Продажа</t>
        </is>
      </c>
      <c r="B55" s="21" t="inlineStr">
        <is>
          <t>Городская</t>
        </is>
      </c>
      <c r="C55" s="21" t="inlineStr">
        <is>
          <t>Доля в квартире</t>
        </is>
      </c>
      <c r="D55" s="21" t="inlineStr">
        <is>
          <t>Красноярск</t>
        </is>
      </c>
      <c r="E55" s="22" t="n">
        <v>573</v>
      </c>
      <c r="F55" s="24" t="inlineStr">
        <is>
          <t>—</t>
        </is>
      </c>
      <c r="G55" s="24" t="inlineStr">
        <is>
          <t>—</t>
        </is>
      </c>
      <c r="H55" s="24" t="inlineStr">
        <is>
          <t>—</t>
        </is>
      </c>
      <c r="I55" s="21" t="inlineStr">
        <is>
          <t>Цена зависит от стоимости объекта</t>
        </is>
      </c>
      <c r="J55" s="23" t="inlineStr">
        <is>
          <t>2026-06-10</t>
        </is>
      </c>
    </row>
    <row r="56">
      <c r="A56" s="21" t="inlineStr">
        <is>
          <t>Продажа</t>
        </is>
      </c>
      <c r="B56" s="21" t="inlineStr">
        <is>
          <t>Городская</t>
        </is>
      </c>
      <c r="C56" s="21" t="inlineStr">
        <is>
          <t>Доля в квартире</t>
        </is>
      </c>
      <c r="D56" s="21" t="inlineStr">
        <is>
          <t>Нижний Новгород</t>
        </is>
      </c>
      <c r="E56" s="22" t="n">
        <v>441</v>
      </c>
      <c r="F56" s="22" t="n">
        <v>231</v>
      </c>
      <c r="G56" s="22" t="n">
        <v>90</v>
      </c>
      <c r="H56" s="22" t="n">
        <v>26</v>
      </c>
      <c r="I56" s="21" t="inlineStr">
        <is>
          <t>Цена зависит от стоимости объекта</t>
        </is>
      </c>
      <c r="J56" s="23" t="inlineStr">
        <is>
          <t>2026-06-10</t>
        </is>
      </c>
    </row>
    <row r="57">
      <c r="A57" s="21" t="inlineStr">
        <is>
          <t>Продажа</t>
        </is>
      </c>
      <c r="B57" s="21" t="inlineStr">
        <is>
          <t>Городская</t>
        </is>
      </c>
      <c r="C57" s="21" t="inlineStr">
        <is>
          <t>Доля в квартире</t>
        </is>
      </c>
      <c r="D57" s="21" t="inlineStr">
        <is>
          <t>Челябинск</t>
        </is>
      </c>
      <c r="E57" s="22" t="n">
        <v>291</v>
      </c>
      <c r="F57" s="22" t="n">
        <v>235</v>
      </c>
      <c r="G57" s="22" t="n">
        <v>109</v>
      </c>
      <c r="H57" s="22" t="n">
        <v>31</v>
      </c>
      <c r="I57" s="21" t="inlineStr">
        <is>
          <t>Цена зависит от стоимости объекта</t>
        </is>
      </c>
      <c r="J57" s="23" t="inlineStr">
        <is>
          <t>2026-06-10</t>
        </is>
      </c>
    </row>
    <row r="58">
      <c r="A58" s="21" t="inlineStr">
        <is>
          <t>Продажа</t>
        </is>
      </c>
      <c r="B58" s="21" t="inlineStr">
        <is>
          <t>Городская</t>
        </is>
      </c>
      <c r="C58" s="21" t="inlineStr">
        <is>
          <t>Доля в квартире</t>
        </is>
      </c>
      <c r="D58" s="21" t="inlineStr">
        <is>
          <t>Уфа</t>
        </is>
      </c>
      <c r="E58" s="22" t="n">
        <v>213</v>
      </c>
      <c r="F58" s="22" t="n">
        <v>187</v>
      </c>
      <c r="G58" s="22" t="n">
        <v>87</v>
      </c>
      <c r="H58" s="22" t="n">
        <v>25</v>
      </c>
      <c r="I58" s="21" t="inlineStr">
        <is>
          <t>Цена зависит от стоимости объекта</t>
        </is>
      </c>
      <c r="J58" s="23" t="inlineStr">
        <is>
          <t>2026-06-10</t>
        </is>
      </c>
    </row>
    <row r="59">
      <c r="A59" s="21" t="inlineStr">
        <is>
          <t>Продажа</t>
        </is>
      </c>
      <c r="B59" s="21" t="inlineStr">
        <is>
          <t>Городская</t>
        </is>
      </c>
      <c r="C59" s="21" t="inlineStr">
        <is>
          <t>Доля в квартире</t>
        </is>
      </c>
      <c r="D59" s="21" t="inlineStr">
        <is>
          <t>Краснодар</t>
        </is>
      </c>
      <c r="E59" s="22" t="n">
        <v>468</v>
      </c>
      <c r="F59" s="22" t="n">
        <v>197</v>
      </c>
      <c r="G59" s="22" t="n">
        <v>76</v>
      </c>
      <c r="H59" s="22" t="n">
        <v>23</v>
      </c>
      <c r="I59" s="21" t="inlineStr">
        <is>
          <t>Цена зависит от стоимости объекта</t>
        </is>
      </c>
      <c r="J59" s="23" t="inlineStr">
        <is>
          <t>2026-06-10</t>
        </is>
      </c>
    </row>
    <row r="60">
      <c r="A60" s="21" t="inlineStr">
        <is>
          <t>Продажа</t>
        </is>
      </c>
      <c r="B60" s="21" t="inlineStr">
        <is>
          <t>Городская</t>
        </is>
      </c>
      <c r="C60" s="21" t="inlineStr">
        <is>
          <t>Доля в квартире</t>
        </is>
      </c>
      <c r="D60" s="21" t="inlineStr">
        <is>
          <t>Самара</t>
        </is>
      </c>
      <c r="E60" s="22" t="n">
        <v>354</v>
      </c>
      <c r="F60" s="24" t="inlineStr">
        <is>
          <t>—</t>
        </is>
      </c>
      <c r="G60" s="24" t="inlineStr">
        <is>
          <t>—</t>
        </is>
      </c>
      <c r="H60" s="24" t="inlineStr">
        <is>
          <t>—</t>
        </is>
      </c>
      <c r="I60" s="21" t="inlineStr">
        <is>
          <t>Цена зависит от стоимости объекта</t>
        </is>
      </c>
      <c r="J60" s="23" t="inlineStr">
        <is>
          <t>2026-06-10</t>
        </is>
      </c>
    </row>
    <row r="61">
      <c r="A61" s="21" t="inlineStr">
        <is>
          <t>Продажа</t>
        </is>
      </c>
      <c r="B61" s="21" t="inlineStr">
        <is>
          <t>Городская</t>
        </is>
      </c>
      <c r="C61" s="21" t="inlineStr">
        <is>
          <t>Доля в квартире</t>
        </is>
      </c>
      <c r="D61" s="21" t="inlineStr">
        <is>
          <t>Ростов-на-Дону</t>
        </is>
      </c>
      <c r="E61" s="22" t="n">
        <v>468</v>
      </c>
      <c r="F61" s="22" t="n">
        <v>223</v>
      </c>
      <c r="G61" s="22" t="n">
        <v>90</v>
      </c>
      <c r="H61" s="22" t="n">
        <v>26</v>
      </c>
      <c r="I61" s="21" t="inlineStr">
        <is>
          <t>Цена зависит от стоимости объекта</t>
        </is>
      </c>
      <c r="J61" s="23" t="inlineStr">
        <is>
          <t>2026-06-10</t>
        </is>
      </c>
    </row>
    <row r="62">
      <c r="A62" s="21" t="inlineStr">
        <is>
          <t>Продажа</t>
        </is>
      </c>
      <c r="B62" s="21" t="inlineStr">
        <is>
          <t>Городская</t>
        </is>
      </c>
      <c r="C62" s="21" t="inlineStr">
        <is>
          <t>Доля в квартире</t>
        </is>
      </c>
      <c r="D62" s="21" t="inlineStr">
        <is>
          <t>Омск</t>
        </is>
      </c>
      <c r="E62" s="22" t="n">
        <v>780</v>
      </c>
      <c r="F62" s="22" t="n">
        <v>406</v>
      </c>
      <c r="G62" s="22" t="n">
        <v>220</v>
      </c>
      <c r="H62" s="22" t="n">
        <v>68</v>
      </c>
      <c r="I62" s="21" t="inlineStr">
        <is>
          <t>Цена зависит от стоимости объекта</t>
        </is>
      </c>
      <c r="J62" s="23" t="inlineStr">
        <is>
          <t>2026-06-10</t>
        </is>
      </c>
    </row>
    <row r="63">
      <c r="A63" s="21" t="inlineStr">
        <is>
          <t>Продажа</t>
        </is>
      </c>
      <c r="B63" s="21" t="inlineStr">
        <is>
          <t>Городская</t>
        </is>
      </c>
      <c r="C63" s="21" t="inlineStr">
        <is>
          <t>Доля в квартире</t>
        </is>
      </c>
      <c r="D63" s="21" t="inlineStr">
        <is>
          <t>Воронеж</t>
        </is>
      </c>
      <c r="E63" s="22" t="n">
        <v>204</v>
      </c>
      <c r="F63" s="24" t="inlineStr">
        <is>
          <t>—</t>
        </is>
      </c>
      <c r="G63" s="24" t="inlineStr">
        <is>
          <t>—</t>
        </is>
      </c>
      <c r="H63" s="24" t="inlineStr">
        <is>
          <t>—</t>
        </is>
      </c>
      <c r="I63" s="21" t="inlineStr">
        <is>
          <t>Цена зависит от стоимости объекта</t>
        </is>
      </c>
      <c r="J63" s="23" t="inlineStr">
        <is>
          <t>2026-06-10</t>
        </is>
      </c>
    </row>
    <row r="64">
      <c r="A64" s="21" t="inlineStr">
        <is>
          <t>Продажа</t>
        </is>
      </c>
      <c r="B64" s="21" t="inlineStr">
        <is>
          <t>Городская</t>
        </is>
      </c>
      <c r="C64" s="21" t="inlineStr">
        <is>
          <t>Доля в квартире</t>
        </is>
      </c>
      <c r="D64" s="21" t="inlineStr">
        <is>
          <t>Пермь</t>
        </is>
      </c>
      <c r="E64" s="22" t="n">
        <v>99</v>
      </c>
      <c r="F64" s="24" t="inlineStr">
        <is>
          <t>—</t>
        </is>
      </c>
      <c r="G64" s="24" t="inlineStr">
        <is>
          <t>—</t>
        </is>
      </c>
      <c r="H64" s="24" t="inlineStr">
        <is>
          <t>—</t>
        </is>
      </c>
      <c r="I64" s="21" t="inlineStr">
        <is>
          <t>Цена зависит от стоимости объекта</t>
        </is>
      </c>
      <c r="J64" s="23" t="inlineStr">
        <is>
          <t>2026-06-10</t>
        </is>
      </c>
    </row>
    <row r="65">
      <c r="A65" s="21" t="inlineStr">
        <is>
          <t>Продажа</t>
        </is>
      </c>
      <c r="B65" s="21" t="inlineStr">
        <is>
          <t>Городская</t>
        </is>
      </c>
      <c r="C65" s="21" t="inlineStr">
        <is>
          <t>Доля в квартире</t>
        </is>
      </c>
      <c r="D65" s="21" t="inlineStr">
        <is>
          <t>Волгоград</t>
        </is>
      </c>
      <c r="E65" s="22" t="n">
        <v>303</v>
      </c>
      <c r="F65" s="24" t="inlineStr">
        <is>
          <t>—</t>
        </is>
      </c>
      <c r="G65" s="24" t="inlineStr">
        <is>
          <t>—</t>
        </is>
      </c>
      <c r="H65" s="24" t="inlineStr">
        <is>
          <t>—</t>
        </is>
      </c>
      <c r="I65" s="21" t="inlineStr">
        <is>
          <t>Цена зависит от стоимости объекта</t>
        </is>
      </c>
      <c r="J65" s="23" t="inlineStr">
        <is>
          <t>2026-06-10</t>
        </is>
      </c>
    </row>
    <row r="66">
      <c r="A66" s="17" t="inlineStr">
        <is>
          <t>Продажа</t>
        </is>
      </c>
      <c r="B66" s="17" t="inlineStr">
        <is>
          <t>Загородная</t>
        </is>
      </c>
      <c r="C66" s="18" t="inlineStr">
        <is>
          <t>Коттедж</t>
        </is>
      </c>
      <c r="D66" s="18" t="inlineStr">
        <is>
          <t>Москва</t>
        </is>
      </c>
      <c r="E66" s="19" t="n">
        <v>3090</v>
      </c>
      <c r="F66" s="19" t="n">
        <v>1074</v>
      </c>
      <c r="G66" s="19" t="n">
        <v>437</v>
      </c>
      <c r="H66" s="19" t="n">
        <v>131</v>
      </c>
      <c r="I66" s="18" t="inlineStr">
        <is>
          <t>Цена зависит от стоимости объекта</t>
        </is>
      </c>
      <c r="J66" s="20" t="inlineStr">
        <is>
          <t>2026-06-10</t>
        </is>
      </c>
    </row>
    <row r="67">
      <c r="A67" s="21" t="inlineStr">
        <is>
          <t>Продажа</t>
        </is>
      </c>
      <c r="B67" s="21" t="inlineStr">
        <is>
          <t>Загородная</t>
        </is>
      </c>
      <c r="C67" s="21" t="inlineStr">
        <is>
          <t>Коттедж</t>
        </is>
      </c>
      <c r="D67" s="21" t="inlineStr">
        <is>
          <t>Санкт-Петербург</t>
        </is>
      </c>
      <c r="E67" s="22" t="n">
        <v>783</v>
      </c>
      <c r="F67" s="22" t="n">
        <v>268</v>
      </c>
      <c r="G67" s="22" t="n">
        <v>113</v>
      </c>
      <c r="H67" s="22" t="n">
        <v>36</v>
      </c>
      <c r="I67" s="21" t="inlineStr">
        <is>
          <t>Цена зависит от стоимости объекта</t>
        </is>
      </c>
      <c r="J67" s="23" t="inlineStr">
        <is>
          <t>2026-06-10</t>
        </is>
      </c>
    </row>
    <row r="68">
      <c r="A68" s="21" t="inlineStr">
        <is>
          <t>Продажа</t>
        </is>
      </c>
      <c r="B68" s="21" t="inlineStr">
        <is>
          <t>Загородная</t>
        </is>
      </c>
      <c r="C68" s="21" t="inlineStr">
        <is>
          <t>Коттедж</t>
        </is>
      </c>
      <c r="D68" s="21" t="inlineStr">
        <is>
          <t>Новосибирск</t>
        </is>
      </c>
      <c r="E68" s="22" t="n">
        <v>1149</v>
      </c>
      <c r="F68" s="22" t="n">
        <v>385</v>
      </c>
      <c r="G68" s="22" t="n">
        <v>181</v>
      </c>
      <c r="H68" s="22" t="n">
        <v>54</v>
      </c>
      <c r="I68" s="21" t="inlineStr">
        <is>
          <t>Цена зависит от стоимости объекта</t>
        </is>
      </c>
      <c r="J68" s="23" t="inlineStr">
        <is>
          <t>2026-06-10</t>
        </is>
      </c>
    </row>
    <row r="69">
      <c r="A69" s="21" t="inlineStr">
        <is>
          <t>Продажа</t>
        </is>
      </c>
      <c r="B69" s="21" t="inlineStr">
        <is>
          <t>Загородная</t>
        </is>
      </c>
      <c r="C69" s="21" t="inlineStr">
        <is>
          <t>Коттедж</t>
        </is>
      </c>
      <c r="D69" s="21" t="inlineStr">
        <is>
          <t>Екатеринбург</t>
        </is>
      </c>
      <c r="E69" s="22" t="n">
        <v>813</v>
      </c>
      <c r="F69" s="22" t="n">
        <v>286</v>
      </c>
      <c r="G69" s="22" t="n">
        <v>162</v>
      </c>
      <c r="H69" s="22" t="n">
        <v>48</v>
      </c>
      <c r="I69" s="21" t="inlineStr">
        <is>
          <t>Цена зависит от стоимости объекта</t>
        </is>
      </c>
      <c r="J69" s="23" t="inlineStr">
        <is>
          <t>2026-06-10</t>
        </is>
      </c>
    </row>
    <row r="70">
      <c r="A70" s="21" t="inlineStr">
        <is>
          <t>Продажа</t>
        </is>
      </c>
      <c r="B70" s="21" t="inlineStr">
        <is>
          <t>Загородная</t>
        </is>
      </c>
      <c r="C70" s="21" t="inlineStr">
        <is>
          <t>Коттедж</t>
        </is>
      </c>
      <c r="D70" s="21" t="inlineStr">
        <is>
          <t>Казань</t>
        </is>
      </c>
      <c r="E70" s="22" t="n">
        <v>207</v>
      </c>
      <c r="F70" s="22" t="n">
        <v>169</v>
      </c>
      <c r="G70" s="22" t="n">
        <v>70</v>
      </c>
      <c r="H70" s="22" t="n">
        <v>23</v>
      </c>
      <c r="I70" s="21" t="inlineStr">
        <is>
          <t>Цена зависит от стоимости объекта</t>
        </is>
      </c>
      <c r="J70" s="23" t="inlineStr">
        <is>
          <t>2026-06-10</t>
        </is>
      </c>
    </row>
    <row r="71">
      <c r="A71" s="21" t="inlineStr">
        <is>
          <t>Продажа</t>
        </is>
      </c>
      <c r="B71" s="21" t="inlineStr">
        <is>
          <t>Загородная</t>
        </is>
      </c>
      <c r="C71" s="21" t="inlineStr">
        <is>
          <t>Коттедж</t>
        </is>
      </c>
      <c r="D71" s="21" t="inlineStr">
        <is>
          <t>Красноярск</t>
        </is>
      </c>
      <c r="E71" s="22" t="n">
        <v>258</v>
      </c>
      <c r="F71" s="24" t="inlineStr">
        <is>
          <t>—</t>
        </is>
      </c>
      <c r="G71" s="24" t="inlineStr">
        <is>
          <t>—</t>
        </is>
      </c>
      <c r="H71" s="24" t="inlineStr">
        <is>
          <t>—</t>
        </is>
      </c>
      <c r="I71" s="21" t="inlineStr">
        <is>
          <t>Цена зависит от стоимости объекта</t>
        </is>
      </c>
      <c r="J71" s="23" t="inlineStr">
        <is>
          <t>2026-06-10</t>
        </is>
      </c>
    </row>
    <row r="72">
      <c r="A72" s="21" t="inlineStr">
        <is>
          <t>Продажа</t>
        </is>
      </c>
      <c r="B72" s="21" t="inlineStr">
        <is>
          <t>Загородная</t>
        </is>
      </c>
      <c r="C72" s="21" t="inlineStr">
        <is>
          <t>Коттедж</t>
        </is>
      </c>
      <c r="D72" s="21" t="inlineStr">
        <is>
          <t>Нижний Новгород</t>
        </is>
      </c>
      <c r="E72" s="22" t="n">
        <v>234</v>
      </c>
      <c r="F72" s="22" t="n">
        <v>128</v>
      </c>
      <c r="G72" s="22" t="n">
        <v>54</v>
      </c>
      <c r="H72" s="22" t="n">
        <v>15</v>
      </c>
      <c r="I72" s="21" t="inlineStr">
        <is>
          <t>Цена зависит от стоимости объекта</t>
        </is>
      </c>
      <c r="J72" s="23" t="inlineStr">
        <is>
          <t>2026-06-10</t>
        </is>
      </c>
    </row>
    <row r="73">
      <c r="A73" s="21" t="inlineStr">
        <is>
          <t>Продажа</t>
        </is>
      </c>
      <c r="B73" s="21" t="inlineStr">
        <is>
          <t>Загородная</t>
        </is>
      </c>
      <c r="C73" s="21" t="inlineStr">
        <is>
          <t>Коттедж</t>
        </is>
      </c>
      <c r="D73" s="21" t="inlineStr">
        <is>
          <t>Челябинск</t>
        </is>
      </c>
      <c r="E73" s="22" t="n">
        <v>153</v>
      </c>
      <c r="F73" s="22" t="n">
        <v>226</v>
      </c>
      <c r="G73" s="22" t="n">
        <v>105</v>
      </c>
      <c r="H73" s="22" t="n">
        <v>30</v>
      </c>
      <c r="I73" s="21" t="inlineStr">
        <is>
          <t>Цена зависит от стоимости объекта</t>
        </is>
      </c>
      <c r="J73" s="23" t="inlineStr">
        <is>
          <t>2026-06-10</t>
        </is>
      </c>
    </row>
    <row r="74">
      <c r="A74" s="21" t="inlineStr">
        <is>
          <t>Продажа</t>
        </is>
      </c>
      <c r="B74" s="21" t="inlineStr">
        <is>
          <t>Загородная</t>
        </is>
      </c>
      <c r="C74" s="21" t="inlineStr">
        <is>
          <t>Коттедж</t>
        </is>
      </c>
      <c r="D74" s="21" t="inlineStr">
        <is>
          <t>Уфа</t>
        </is>
      </c>
      <c r="E74" s="22" t="n">
        <v>141</v>
      </c>
      <c r="F74" s="22" t="n">
        <v>131</v>
      </c>
      <c r="G74" s="22" t="n">
        <v>54</v>
      </c>
      <c r="H74" s="22" t="n">
        <v>18</v>
      </c>
      <c r="I74" s="21" t="inlineStr">
        <is>
          <t>Цена зависит от стоимости объекта</t>
        </is>
      </c>
      <c r="J74" s="23" t="inlineStr">
        <is>
          <t>2026-06-10</t>
        </is>
      </c>
    </row>
    <row r="75">
      <c r="A75" s="21" t="inlineStr">
        <is>
          <t>Продажа</t>
        </is>
      </c>
      <c r="B75" s="21" t="inlineStr">
        <is>
          <t>Загородная</t>
        </is>
      </c>
      <c r="C75" s="21" t="inlineStr">
        <is>
          <t>Коттедж</t>
        </is>
      </c>
      <c r="D75" s="21" t="inlineStr">
        <is>
          <t>Краснодар</t>
        </is>
      </c>
      <c r="E75" s="22" t="n">
        <v>210</v>
      </c>
      <c r="F75" s="22" t="n">
        <v>169</v>
      </c>
      <c r="G75" s="22" t="n">
        <v>66</v>
      </c>
      <c r="H75" s="22" t="n">
        <v>19</v>
      </c>
      <c r="I75" s="21" t="inlineStr">
        <is>
          <t>Цена зависит от стоимости объекта</t>
        </is>
      </c>
      <c r="J75" s="23" t="inlineStr">
        <is>
          <t>2026-06-10</t>
        </is>
      </c>
    </row>
    <row r="76">
      <c r="A76" s="21" t="inlineStr">
        <is>
          <t>Продажа</t>
        </is>
      </c>
      <c r="B76" s="21" t="inlineStr">
        <is>
          <t>Загородная</t>
        </is>
      </c>
      <c r="C76" s="21" t="inlineStr">
        <is>
          <t>Коттедж</t>
        </is>
      </c>
      <c r="D76" s="21" t="inlineStr">
        <is>
          <t>Самара</t>
        </is>
      </c>
      <c r="E76" s="22" t="n">
        <v>252</v>
      </c>
      <c r="F76" s="24" t="inlineStr">
        <is>
          <t>—</t>
        </is>
      </c>
      <c r="G76" s="24" t="inlineStr">
        <is>
          <t>—</t>
        </is>
      </c>
      <c r="H76" s="24" t="inlineStr">
        <is>
          <t>—</t>
        </is>
      </c>
      <c r="I76" s="21" t="inlineStr">
        <is>
          <t>Цена зависит от стоимости объекта</t>
        </is>
      </c>
      <c r="J76" s="23" t="inlineStr">
        <is>
          <t>2026-06-10</t>
        </is>
      </c>
    </row>
    <row r="77">
      <c r="A77" s="21" t="inlineStr">
        <is>
          <t>Продажа</t>
        </is>
      </c>
      <c r="B77" s="21" t="inlineStr">
        <is>
          <t>Загородная</t>
        </is>
      </c>
      <c r="C77" s="21" t="inlineStr">
        <is>
          <t>Коттедж</t>
        </is>
      </c>
      <c r="D77" s="21" t="inlineStr">
        <is>
          <t>Ростов-на-Дону</t>
        </is>
      </c>
      <c r="E77" s="22" t="n">
        <v>234</v>
      </c>
      <c r="F77" s="22" t="n">
        <v>172</v>
      </c>
      <c r="G77" s="22" t="n">
        <v>75</v>
      </c>
      <c r="H77" s="22" t="n">
        <v>22</v>
      </c>
      <c r="I77" s="21" t="inlineStr">
        <is>
          <t>Цена зависит от стоимости объекта</t>
        </is>
      </c>
      <c r="J77" s="23" t="inlineStr">
        <is>
          <t>2026-06-10</t>
        </is>
      </c>
    </row>
    <row r="78">
      <c r="A78" s="21" t="inlineStr">
        <is>
          <t>Продажа</t>
        </is>
      </c>
      <c r="B78" s="21" t="inlineStr">
        <is>
          <t>Загородная</t>
        </is>
      </c>
      <c r="C78" s="21" t="inlineStr">
        <is>
          <t>Коттедж</t>
        </is>
      </c>
      <c r="D78" s="21" t="inlineStr">
        <is>
          <t>Омск</t>
        </is>
      </c>
      <c r="E78" s="22" t="n">
        <v>354</v>
      </c>
      <c r="F78" s="22" t="n">
        <v>219</v>
      </c>
      <c r="G78" s="22" t="n">
        <v>102</v>
      </c>
      <c r="H78" s="22" t="n">
        <v>32</v>
      </c>
      <c r="I78" s="21" t="inlineStr">
        <is>
          <t>Цена зависит от стоимости объекта</t>
        </is>
      </c>
      <c r="J78" s="23" t="inlineStr">
        <is>
          <t>2026-06-10</t>
        </is>
      </c>
    </row>
    <row r="79">
      <c r="A79" s="21" t="inlineStr">
        <is>
          <t>Продажа</t>
        </is>
      </c>
      <c r="B79" s="21" t="inlineStr">
        <is>
          <t>Загородная</t>
        </is>
      </c>
      <c r="C79" s="21" t="inlineStr">
        <is>
          <t>Коттедж</t>
        </is>
      </c>
      <c r="D79" s="21" t="inlineStr">
        <is>
          <t>Воронеж</t>
        </is>
      </c>
      <c r="E79" s="22" t="n">
        <v>168</v>
      </c>
      <c r="F79" s="24" t="inlineStr">
        <is>
          <t>—</t>
        </is>
      </c>
      <c r="G79" s="24" t="inlineStr">
        <is>
          <t>—</t>
        </is>
      </c>
      <c r="H79" s="24" t="inlineStr">
        <is>
          <t>—</t>
        </is>
      </c>
      <c r="I79" s="21" t="inlineStr">
        <is>
          <t>Цена зависит от стоимости объекта</t>
        </is>
      </c>
      <c r="J79" s="23" t="inlineStr">
        <is>
          <t>2026-06-10</t>
        </is>
      </c>
    </row>
    <row r="80">
      <c r="A80" s="21" t="inlineStr">
        <is>
          <t>Продажа</t>
        </is>
      </c>
      <c r="B80" s="21" t="inlineStr">
        <is>
          <t>Загородная</t>
        </is>
      </c>
      <c r="C80" s="21" t="inlineStr">
        <is>
          <t>Коттедж</t>
        </is>
      </c>
      <c r="D80" s="21" t="inlineStr">
        <is>
          <t>Пермь</t>
        </is>
      </c>
      <c r="E80" s="22" t="n">
        <v>153</v>
      </c>
      <c r="F80" s="24" t="inlineStr">
        <is>
          <t>—</t>
        </is>
      </c>
      <c r="G80" s="24" t="inlineStr">
        <is>
          <t>—</t>
        </is>
      </c>
      <c r="H80" s="24" t="inlineStr">
        <is>
          <t>—</t>
        </is>
      </c>
      <c r="I80" s="21" t="inlineStr">
        <is>
          <t>Цена зависит от стоимости объекта</t>
        </is>
      </c>
      <c r="J80" s="23" t="inlineStr">
        <is>
          <t>2026-06-10</t>
        </is>
      </c>
    </row>
    <row r="81">
      <c r="A81" s="21" t="inlineStr">
        <is>
          <t>Продажа</t>
        </is>
      </c>
      <c r="B81" s="21" t="inlineStr">
        <is>
          <t>Загородная</t>
        </is>
      </c>
      <c r="C81" s="21" t="inlineStr">
        <is>
          <t>Коттедж</t>
        </is>
      </c>
      <c r="D81" s="21" t="inlineStr">
        <is>
          <t>Волгоград</t>
        </is>
      </c>
      <c r="E81" s="22" t="n">
        <v>111</v>
      </c>
      <c r="F81" s="24" t="inlineStr">
        <is>
          <t>—</t>
        </is>
      </c>
      <c r="G81" s="24" t="inlineStr">
        <is>
          <t>—</t>
        </is>
      </c>
      <c r="H81" s="24" t="inlineStr">
        <is>
          <t>—</t>
        </is>
      </c>
      <c r="I81" s="21" t="inlineStr">
        <is>
          <t>Цена зависит от стоимости объекта</t>
        </is>
      </c>
      <c r="J81" s="23" t="inlineStr">
        <is>
          <t>2026-06-10</t>
        </is>
      </c>
    </row>
    <row r="82">
      <c r="A82" s="21" t="inlineStr">
        <is>
          <t>Продажа</t>
        </is>
      </c>
      <c r="B82" s="21" t="inlineStr">
        <is>
          <t>Загородная</t>
        </is>
      </c>
      <c r="C82" s="21" t="inlineStr">
        <is>
          <t>Дом/Дача</t>
        </is>
      </c>
      <c r="D82" s="21" t="inlineStr">
        <is>
          <t>Москва</t>
        </is>
      </c>
      <c r="E82" s="22" t="n">
        <v>3090</v>
      </c>
      <c r="F82" s="22" t="n">
        <v>1213</v>
      </c>
      <c r="G82" s="22" t="n">
        <v>512</v>
      </c>
      <c r="H82" s="22" t="n">
        <v>155</v>
      </c>
      <c r="I82" s="21" t="inlineStr">
        <is>
          <t>Цена зависит от стоимости объекта</t>
        </is>
      </c>
      <c r="J82" s="23" t="inlineStr">
        <is>
          <t>2026-06-10</t>
        </is>
      </c>
    </row>
    <row r="83">
      <c r="A83" s="21" t="inlineStr">
        <is>
          <t>Продажа</t>
        </is>
      </c>
      <c r="B83" s="21" t="inlineStr">
        <is>
          <t>Загородная</t>
        </is>
      </c>
      <c r="C83" s="21" t="inlineStr">
        <is>
          <t>Дом/Дача</t>
        </is>
      </c>
      <c r="D83" s="21" t="inlineStr">
        <is>
          <t>Санкт-Петербург</t>
        </is>
      </c>
      <c r="E83" s="22" t="n">
        <v>723</v>
      </c>
      <c r="F83" s="22" t="n">
        <v>272</v>
      </c>
      <c r="G83" s="22" t="n">
        <v>115</v>
      </c>
      <c r="H83" s="22" t="n">
        <v>36</v>
      </c>
      <c r="I83" s="21" t="inlineStr">
        <is>
          <t>Цена зависит от стоимости объекта</t>
        </is>
      </c>
      <c r="J83" s="23" t="inlineStr">
        <is>
          <t>2026-06-10</t>
        </is>
      </c>
    </row>
    <row r="84">
      <c r="A84" s="21" t="inlineStr">
        <is>
          <t>Продажа</t>
        </is>
      </c>
      <c r="B84" s="21" t="inlineStr">
        <is>
          <t>Загородная</t>
        </is>
      </c>
      <c r="C84" s="21" t="inlineStr">
        <is>
          <t>Дом/Дача</t>
        </is>
      </c>
      <c r="D84" s="21" t="inlineStr">
        <is>
          <t>Новосибирск</t>
        </is>
      </c>
      <c r="E84" s="22" t="n">
        <v>1050</v>
      </c>
      <c r="F84" s="22" t="n">
        <v>290</v>
      </c>
      <c r="G84" s="22" t="n">
        <v>149</v>
      </c>
      <c r="H84" s="22" t="n">
        <v>45</v>
      </c>
      <c r="I84" s="21" t="inlineStr">
        <is>
          <t>Цена зависит от стоимости объекта</t>
        </is>
      </c>
      <c r="J84" s="23" t="inlineStr">
        <is>
          <t>2026-06-10</t>
        </is>
      </c>
    </row>
    <row r="85">
      <c r="A85" s="21" t="inlineStr">
        <is>
          <t>Продажа</t>
        </is>
      </c>
      <c r="B85" s="21" t="inlineStr">
        <is>
          <t>Загородная</t>
        </is>
      </c>
      <c r="C85" s="21" t="inlineStr">
        <is>
          <t>Дом/Дача</t>
        </is>
      </c>
      <c r="D85" s="21" t="inlineStr">
        <is>
          <t>Екатеринбург</t>
        </is>
      </c>
      <c r="E85" s="22" t="n">
        <v>813</v>
      </c>
      <c r="F85" s="22" t="n">
        <v>317</v>
      </c>
      <c r="G85" s="22" t="n">
        <v>171</v>
      </c>
      <c r="H85" s="22" t="n">
        <v>50</v>
      </c>
      <c r="I85" s="21" t="inlineStr">
        <is>
          <t>Цена зависит от стоимости объекта</t>
        </is>
      </c>
      <c r="J85" s="23" t="inlineStr">
        <is>
          <t>2026-06-10</t>
        </is>
      </c>
    </row>
    <row r="86">
      <c r="A86" s="21" t="inlineStr">
        <is>
          <t>Продажа</t>
        </is>
      </c>
      <c r="B86" s="21" t="inlineStr">
        <is>
          <t>Загородная</t>
        </is>
      </c>
      <c r="C86" s="21" t="inlineStr">
        <is>
          <t>Дом/Дача</t>
        </is>
      </c>
      <c r="D86" s="21" t="inlineStr">
        <is>
          <t>Казань</t>
        </is>
      </c>
      <c r="E86" s="22" t="n">
        <v>207</v>
      </c>
      <c r="F86" s="22" t="n">
        <v>126</v>
      </c>
      <c r="G86" s="22" t="n">
        <v>56</v>
      </c>
      <c r="H86" s="22" t="n">
        <v>18</v>
      </c>
      <c r="I86" s="21" t="inlineStr">
        <is>
          <t>Цена зависит от стоимости объекта</t>
        </is>
      </c>
      <c r="J86" s="23" t="inlineStr">
        <is>
          <t>2026-06-10</t>
        </is>
      </c>
    </row>
    <row r="87">
      <c r="A87" s="21" t="inlineStr">
        <is>
          <t>Продажа</t>
        </is>
      </c>
      <c r="B87" s="21" t="inlineStr">
        <is>
          <t>Загородная</t>
        </is>
      </c>
      <c r="C87" s="21" t="inlineStr">
        <is>
          <t>Дом/Дача</t>
        </is>
      </c>
      <c r="D87" s="21" t="inlineStr">
        <is>
          <t>Красноярск</t>
        </is>
      </c>
      <c r="E87" s="22" t="n">
        <v>270</v>
      </c>
      <c r="F87" s="24" t="inlineStr">
        <is>
          <t>—</t>
        </is>
      </c>
      <c r="G87" s="24" t="inlineStr">
        <is>
          <t>—</t>
        </is>
      </c>
      <c r="H87" s="24" t="inlineStr">
        <is>
          <t>—</t>
        </is>
      </c>
      <c r="I87" s="21" t="inlineStr">
        <is>
          <t>Цена зависит от стоимости объекта</t>
        </is>
      </c>
      <c r="J87" s="23" t="inlineStr">
        <is>
          <t>2026-06-10</t>
        </is>
      </c>
    </row>
    <row r="88">
      <c r="A88" s="21" t="inlineStr">
        <is>
          <t>Продажа</t>
        </is>
      </c>
      <c r="B88" s="21" t="inlineStr">
        <is>
          <t>Загородная</t>
        </is>
      </c>
      <c r="C88" s="21" t="inlineStr">
        <is>
          <t>Дом/Дача</t>
        </is>
      </c>
      <c r="D88" s="21" t="inlineStr">
        <is>
          <t>Нижний Новгород</t>
        </is>
      </c>
      <c r="E88" s="22" t="n">
        <v>207</v>
      </c>
      <c r="F88" s="22" t="n">
        <v>118</v>
      </c>
      <c r="G88" s="22" t="n">
        <v>48</v>
      </c>
      <c r="H88" s="22" t="n">
        <v>14</v>
      </c>
      <c r="I88" s="21" t="inlineStr">
        <is>
          <t>Цена зависит от стоимости объекта</t>
        </is>
      </c>
      <c r="J88" s="23" t="inlineStr">
        <is>
          <t>2026-06-10</t>
        </is>
      </c>
    </row>
    <row r="89">
      <c r="A89" s="21" t="inlineStr">
        <is>
          <t>Продажа</t>
        </is>
      </c>
      <c r="B89" s="21" t="inlineStr">
        <is>
          <t>Загородная</t>
        </is>
      </c>
      <c r="C89" s="21" t="inlineStr">
        <is>
          <t>Дом/Дача</t>
        </is>
      </c>
      <c r="D89" s="21" t="inlineStr">
        <is>
          <t>Челябинск</t>
        </is>
      </c>
      <c r="E89" s="22" t="n">
        <v>258</v>
      </c>
      <c r="F89" s="22" t="n">
        <v>184</v>
      </c>
      <c r="G89" s="22" t="n">
        <v>89</v>
      </c>
      <c r="H89" s="22" t="n">
        <v>26</v>
      </c>
      <c r="I89" s="21" t="inlineStr">
        <is>
          <t>Цена зависит от стоимости объекта</t>
        </is>
      </c>
      <c r="J89" s="23" t="inlineStr">
        <is>
          <t>2026-06-10</t>
        </is>
      </c>
    </row>
    <row r="90">
      <c r="A90" s="21" t="inlineStr">
        <is>
          <t>Продажа</t>
        </is>
      </c>
      <c r="B90" s="21" t="inlineStr">
        <is>
          <t>Загородная</t>
        </is>
      </c>
      <c r="C90" s="21" t="inlineStr">
        <is>
          <t>Дом/Дача</t>
        </is>
      </c>
      <c r="D90" s="21" t="inlineStr">
        <is>
          <t>Уфа</t>
        </is>
      </c>
      <c r="E90" s="22" t="n">
        <v>234</v>
      </c>
      <c r="F90" s="22" t="n">
        <v>115</v>
      </c>
      <c r="G90" s="22" t="n">
        <v>48</v>
      </c>
      <c r="H90" s="22" t="n">
        <v>15</v>
      </c>
      <c r="I90" s="21" t="inlineStr">
        <is>
          <t>Цена зависит от стоимости объекта</t>
        </is>
      </c>
      <c r="J90" s="23" t="inlineStr">
        <is>
          <t>2026-06-10</t>
        </is>
      </c>
    </row>
    <row r="91">
      <c r="A91" s="21" t="inlineStr">
        <is>
          <t>Продажа</t>
        </is>
      </c>
      <c r="B91" s="21" t="inlineStr">
        <is>
          <t>Загородная</t>
        </is>
      </c>
      <c r="C91" s="21" t="inlineStr">
        <is>
          <t>Дом/Дача</t>
        </is>
      </c>
      <c r="D91" s="21" t="inlineStr">
        <is>
          <t>Краснодар</t>
        </is>
      </c>
      <c r="E91" s="22" t="n">
        <v>150</v>
      </c>
      <c r="F91" s="22" t="n">
        <v>170</v>
      </c>
      <c r="G91" s="22" t="n">
        <v>67</v>
      </c>
      <c r="H91" s="22" t="n">
        <v>20</v>
      </c>
      <c r="I91" s="21" t="inlineStr">
        <is>
          <t>Цена зависит от стоимости объекта</t>
        </is>
      </c>
      <c r="J91" s="23" t="inlineStr">
        <is>
          <t>2026-06-10</t>
        </is>
      </c>
    </row>
    <row r="92">
      <c r="A92" s="21" t="inlineStr">
        <is>
          <t>Продажа</t>
        </is>
      </c>
      <c r="B92" s="21" t="inlineStr">
        <is>
          <t>Загородная</t>
        </is>
      </c>
      <c r="C92" s="21" t="inlineStr">
        <is>
          <t>Дом/Дача</t>
        </is>
      </c>
      <c r="D92" s="21" t="inlineStr">
        <is>
          <t>Самара</t>
        </is>
      </c>
      <c r="E92" s="22" t="n">
        <v>225</v>
      </c>
      <c r="F92" s="24" t="inlineStr">
        <is>
          <t>—</t>
        </is>
      </c>
      <c r="G92" s="24" t="inlineStr">
        <is>
          <t>—</t>
        </is>
      </c>
      <c r="H92" s="24" t="inlineStr">
        <is>
          <t>—</t>
        </is>
      </c>
      <c r="I92" s="21" t="inlineStr">
        <is>
          <t>Цена зависит от стоимости объекта</t>
        </is>
      </c>
      <c r="J92" s="23" t="inlineStr">
        <is>
          <t>2026-06-10</t>
        </is>
      </c>
    </row>
    <row r="93">
      <c r="A93" s="21" t="inlineStr">
        <is>
          <t>Продажа</t>
        </is>
      </c>
      <c r="B93" s="21" t="inlineStr">
        <is>
          <t>Загородная</t>
        </is>
      </c>
      <c r="C93" s="21" t="inlineStr">
        <is>
          <t>Дом/Дача</t>
        </is>
      </c>
      <c r="D93" s="21" t="inlineStr">
        <is>
          <t>Ростов-на-Дону</t>
        </is>
      </c>
      <c r="E93" s="22" t="n">
        <v>234</v>
      </c>
      <c r="F93" s="22" t="n">
        <v>154</v>
      </c>
      <c r="G93" s="22" t="n">
        <v>63</v>
      </c>
      <c r="H93" s="22" t="n">
        <v>20</v>
      </c>
      <c r="I93" s="21" t="inlineStr">
        <is>
          <t>Цена зависит от стоимости объекта</t>
        </is>
      </c>
      <c r="J93" s="23" t="inlineStr">
        <is>
          <t>2026-06-10</t>
        </is>
      </c>
    </row>
    <row r="94">
      <c r="A94" s="21" t="inlineStr">
        <is>
          <t>Продажа</t>
        </is>
      </c>
      <c r="B94" s="21" t="inlineStr">
        <is>
          <t>Загородная</t>
        </is>
      </c>
      <c r="C94" s="21" t="inlineStr">
        <is>
          <t>Дом/Дача</t>
        </is>
      </c>
      <c r="D94" s="21" t="inlineStr">
        <is>
          <t>Омск</t>
        </is>
      </c>
      <c r="E94" s="22" t="n">
        <v>354</v>
      </c>
      <c r="F94" s="22" t="n">
        <v>200</v>
      </c>
      <c r="G94" s="22" t="n">
        <v>97</v>
      </c>
      <c r="H94" s="22" t="n">
        <v>31</v>
      </c>
      <c r="I94" s="21" t="inlineStr">
        <is>
          <t>Цена зависит от стоимости объекта</t>
        </is>
      </c>
      <c r="J94" s="23" t="inlineStr">
        <is>
          <t>2026-06-10</t>
        </is>
      </c>
    </row>
    <row r="95">
      <c r="A95" s="21" t="inlineStr">
        <is>
          <t>Продажа</t>
        </is>
      </c>
      <c r="B95" s="21" t="inlineStr">
        <is>
          <t>Загородная</t>
        </is>
      </c>
      <c r="C95" s="21" t="inlineStr">
        <is>
          <t>Дом/Дача</t>
        </is>
      </c>
      <c r="D95" s="21" t="inlineStr">
        <is>
          <t>Воронеж</t>
        </is>
      </c>
      <c r="E95" s="22" t="n">
        <v>99</v>
      </c>
      <c r="F95" s="24" t="inlineStr">
        <is>
          <t>—</t>
        </is>
      </c>
      <c r="G95" s="24" t="inlineStr">
        <is>
          <t>—</t>
        </is>
      </c>
      <c r="H95" s="24" t="inlineStr">
        <is>
          <t>—</t>
        </is>
      </c>
      <c r="I95" s="21" t="inlineStr">
        <is>
          <t>Цена зависит от стоимости объекта</t>
        </is>
      </c>
      <c r="J95" s="23" t="inlineStr">
        <is>
          <t>2026-06-10</t>
        </is>
      </c>
    </row>
    <row r="96">
      <c r="A96" s="21" t="inlineStr">
        <is>
          <t>Продажа</t>
        </is>
      </c>
      <c r="B96" s="21" t="inlineStr">
        <is>
          <t>Загородная</t>
        </is>
      </c>
      <c r="C96" s="21" t="inlineStr">
        <is>
          <t>Дом/Дача</t>
        </is>
      </c>
      <c r="D96" s="21" t="inlineStr">
        <is>
          <t>Пермь</t>
        </is>
      </c>
      <c r="E96" s="22" t="n">
        <v>168</v>
      </c>
      <c r="F96" s="24" t="inlineStr">
        <is>
          <t>—</t>
        </is>
      </c>
      <c r="G96" s="24" t="inlineStr">
        <is>
          <t>—</t>
        </is>
      </c>
      <c r="H96" s="24" t="inlineStr">
        <is>
          <t>—</t>
        </is>
      </c>
      <c r="I96" s="21" t="inlineStr">
        <is>
          <t>Цена зависит от стоимости объекта</t>
        </is>
      </c>
      <c r="J96" s="23" t="inlineStr">
        <is>
          <t>2026-06-10</t>
        </is>
      </c>
    </row>
    <row r="97">
      <c r="A97" s="21" t="inlineStr">
        <is>
          <t>Продажа</t>
        </is>
      </c>
      <c r="B97" s="21" t="inlineStr">
        <is>
          <t>Загородная</t>
        </is>
      </c>
      <c r="C97" s="21" t="inlineStr">
        <is>
          <t>Дом/Дача</t>
        </is>
      </c>
      <c r="D97" s="21" t="inlineStr">
        <is>
          <t>Волгоград</t>
        </is>
      </c>
      <c r="E97" s="22" t="n">
        <v>273</v>
      </c>
      <c r="F97" s="24" t="inlineStr">
        <is>
          <t>—</t>
        </is>
      </c>
      <c r="G97" s="24" t="inlineStr">
        <is>
          <t>—</t>
        </is>
      </c>
      <c r="H97" s="24" t="inlineStr">
        <is>
          <t>—</t>
        </is>
      </c>
      <c r="I97" s="21" t="inlineStr">
        <is>
          <t>Цена зависит от стоимости объекта</t>
        </is>
      </c>
      <c r="J97" s="23" t="inlineStr">
        <is>
          <t>2026-06-10</t>
        </is>
      </c>
    </row>
    <row r="98">
      <c r="A98" s="21" t="inlineStr">
        <is>
          <t>Продажа</t>
        </is>
      </c>
      <c r="B98" s="21" t="inlineStr">
        <is>
          <t>Загородная</t>
        </is>
      </c>
      <c r="C98" s="21" t="inlineStr">
        <is>
          <t>Таунхаус</t>
        </is>
      </c>
      <c r="D98" s="21" t="inlineStr">
        <is>
          <t>Москва</t>
        </is>
      </c>
      <c r="E98" s="22" t="n">
        <v>3090</v>
      </c>
      <c r="F98" s="22" t="n">
        <v>1031</v>
      </c>
      <c r="G98" s="22" t="n">
        <v>418</v>
      </c>
      <c r="H98" s="22" t="n">
        <v>125</v>
      </c>
      <c r="I98" s="21" t="inlineStr">
        <is>
          <t>Цена зависит от стоимости объекта</t>
        </is>
      </c>
      <c r="J98" s="23" t="inlineStr">
        <is>
          <t>2026-06-10</t>
        </is>
      </c>
    </row>
    <row r="99">
      <c r="A99" s="21" t="inlineStr">
        <is>
          <t>Продажа</t>
        </is>
      </c>
      <c r="B99" s="21" t="inlineStr">
        <is>
          <t>Загородная</t>
        </is>
      </c>
      <c r="C99" s="21" t="inlineStr">
        <is>
          <t>Таунхаус</t>
        </is>
      </c>
      <c r="D99" s="21" t="inlineStr">
        <is>
          <t>Санкт-Петербург</t>
        </is>
      </c>
      <c r="E99" s="22" t="n">
        <v>783</v>
      </c>
      <c r="F99" s="22" t="n">
        <v>204</v>
      </c>
      <c r="G99" s="22" t="n">
        <v>89</v>
      </c>
      <c r="H99" s="22" t="n">
        <v>26</v>
      </c>
      <c r="I99" s="21" t="inlineStr">
        <is>
          <t>Цена зависит от стоимости объекта</t>
        </is>
      </c>
      <c r="J99" s="23" t="inlineStr">
        <is>
          <t>2026-06-10</t>
        </is>
      </c>
    </row>
    <row r="100">
      <c r="A100" s="21" t="inlineStr">
        <is>
          <t>Продажа</t>
        </is>
      </c>
      <c r="B100" s="21" t="inlineStr">
        <is>
          <t>Загородная</t>
        </is>
      </c>
      <c r="C100" s="21" t="inlineStr">
        <is>
          <t>Таунхаус</t>
        </is>
      </c>
      <c r="D100" s="21" t="inlineStr">
        <is>
          <t>Новосибирск</t>
        </is>
      </c>
      <c r="E100" s="22" t="n">
        <v>1200</v>
      </c>
      <c r="F100" s="22" t="n">
        <v>353</v>
      </c>
      <c r="G100" s="22" t="n">
        <v>164</v>
      </c>
      <c r="H100" s="22" t="n">
        <v>50</v>
      </c>
      <c r="I100" s="21" t="inlineStr">
        <is>
          <t>Цена зависит от стоимости объекта</t>
        </is>
      </c>
      <c r="J100" s="23" t="inlineStr">
        <is>
          <t>2026-06-10</t>
        </is>
      </c>
    </row>
    <row r="101">
      <c r="A101" s="21" t="inlineStr">
        <is>
          <t>Продажа</t>
        </is>
      </c>
      <c r="B101" s="21" t="inlineStr">
        <is>
          <t>Загородная</t>
        </is>
      </c>
      <c r="C101" s="21" t="inlineStr">
        <is>
          <t>Таунхаус</t>
        </is>
      </c>
      <c r="D101" s="21" t="inlineStr">
        <is>
          <t>Екатеринбург</t>
        </is>
      </c>
      <c r="E101" s="22" t="n">
        <v>813</v>
      </c>
      <c r="F101" s="22" t="n">
        <v>402</v>
      </c>
      <c r="G101" s="22" t="n">
        <v>198</v>
      </c>
      <c r="H101" s="22" t="n">
        <v>61</v>
      </c>
      <c r="I101" s="21" t="inlineStr">
        <is>
          <t>Цена зависит от стоимости объекта</t>
        </is>
      </c>
      <c r="J101" s="23" t="inlineStr">
        <is>
          <t>2026-06-10</t>
        </is>
      </c>
    </row>
    <row r="102">
      <c r="A102" s="21" t="inlineStr">
        <is>
          <t>Продажа</t>
        </is>
      </c>
      <c r="B102" s="21" t="inlineStr">
        <is>
          <t>Загородная</t>
        </is>
      </c>
      <c r="C102" s="21" t="inlineStr">
        <is>
          <t>Таунхаус</t>
        </is>
      </c>
      <c r="D102" s="21" t="inlineStr">
        <is>
          <t>Казань</t>
        </is>
      </c>
      <c r="E102" s="22" t="n">
        <v>165</v>
      </c>
      <c r="F102" s="22" t="n">
        <v>147</v>
      </c>
      <c r="G102" s="22" t="n">
        <v>65</v>
      </c>
      <c r="H102" s="22" t="n">
        <v>21</v>
      </c>
      <c r="I102" s="21" t="inlineStr">
        <is>
          <t>Цена зависит от стоимости объекта</t>
        </is>
      </c>
      <c r="J102" s="23" t="inlineStr">
        <is>
          <t>2026-06-10</t>
        </is>
      </c>
    </row>
    <row r="103">
      <c r="A103" s="21" t="inlineStr">
        <is>
          <t>Продажа</t>
        </is>
      </c>
      <c r="B103" s="21" t="inlineStr">
        <is>
          <t>Загородная</t>
        </is>
      </c>
      <c r="C103" s="21" t="inlineStr">
        <is>
          <t>Таунхаус</t>
        </is>
      </c>
      <c r="D103" s="21" t="inlineStr">
        <is>
          <t>Красноярск</t>
        </is>
      </c>
      <c r="E103" s="22" t="n">
        <v>354</v>
      </c>
      <c r="F103" s="24" t="inlineStr">
        <is>
          <t>—</t>
        </is>
      </c>
      <c r="G103" s="24" t="inlineStr">
        <is>
          <t>—</t>
        </is>
      </c>
      <c r="H103" s="24" t="inlineStr">
        <is>
          <t>—</t>
        </is>
      </c>
      <c r="I103" s="21" t="inlineStr">
        <is>
          <t>Цена зависит от стоимости объекта</t>
        </is>
      </c>
      <c r="J103" s="23" t="inlineStr">
        <is>
          <t>2026-06-10</t>
        </is>
      </c>
    </row>
    <row r="104">
      <c r="A104" s="21" t="inlineStr">
        <is>
          <t>Продажа</t>
        </is>
      </c>
      <c r="B104" s="21" t="inlineStr">
        <is>
          <t>Загородная</t>
        </is>
      </c>
      <c r="C104" s="21" t="inlineStr">
        <is>
          <t>Таунхаус</t>
        </is>
      </c>
      <c r="D104" s="21" t="inlineStr">
        <is>
          <t>Нижний Новгород</t>
        </is>
      </c>
      <c r="E104" s="22" t="n">
        <v>234</v>
      </c>
      <c r="F104" s="22" t="n">
        <v>121</v>
      </c>
      <c r="G104" s="22" t="n">
        <v>54</v>
      </c>
      <c r="H104" s="22" t="n">
        <v>17</v>
      </c>
      <c r="I104" s="21" t="inlineStr">
        <is>
          <t>Цена зависит от стоимости объекта</t>
        </is>
      </c>
      <c r="J104" s="23" t="inlineStr">
        <is>
          <t>2026-06-10</t>
        </is>
      </c>
    </row>
    <row r="105">
      <c r="A105" s="21" t="inlineStr">
        <is>
          <t>Продажа</t>
        </is>
      </c>
      <c r="B105" s="21" t="inlineStr">
        <is>
          <t>Загородная</t>
        </is>
      </c>
      <c r="C105" s="21" t="inlineStr">
        <is>
          <t>Таунхаус</t>
        </is>
      </c>
      <c r="D105" s="21" t="inlineStr">
        <is>
          <t>Челябинск</t>
        </is>
      </c>
      <c r="E105" s="22" t="n">
        <v>195</v>
      </c>
      <c r="F105" s="22" t="n">
        <v>257</v>
      </c>
      <c r="G105" s="22" t="n">
        <v>121</v>
      </c>
      <c r="H105" s="22" t="n">
        <v>36</v>
      </c>
      <c r="I105" s="21" t="inlineStr">
        <is>
          <t>Цена зависит от стоимости объекта</t>
        </is>
      </c>
      <c r="J105" s="23" t="inlineStr">
        <is>
          <t>2026-06-10</t>
        </is>
      </c>
    </row>
    <row r="106">
      <c r="A106" s="21" t="inlineStr">
        <is>
          <t>Продажа</t>
        </is>
      </c>
      <c r="B106" s="21" t="inlineStr">
        <is>
          <t>Загородная</t>
        </is>
      </c>
      <c r="C106" s="21" t="inlineStr">
        <is>
          <t>Таунхаус</t>
        </is>
      </c>
      <c r="D106" s="21" t="inlineStr">
        <is>
          <t>Уфа</t>
        </is>
      </c>
      <c r="E106" s="22" t="n">
        <v>156</v>
      </c>
      <c r="F106" s="22" t="n">
        <v>141</v>
      </c>
      <c r="G106" s="22" t="n">
        <v>62</v>
      </c>
      <c r="H106" s="22" t="n">
        <v>20</v>
      </c>
      <c r="I106" s="21" t="inlineStr">
        <is>
          <t>Цена зависит от стоимости объекта</t>
        </is>
      </c>
      <c r="J106" s="23" t="inlineStr">
        <is>
          <t>2026-06-10</t>
        </is>
      </c>
    </row>
    <row r="107">
      <c r="A107" s="21" t="inlineStr">
        <is>
          <t>Продажа</t>
        </is>
      </c>
      <c r="B107" s="21" t="inlineStr">
        <is>
          <t>Загородная</t>
        </is>
      </c>
      <c r="C107" s="21" t="inlineStr">
        <is>
          <t>Таунхаус</t>
        </is>
      </c>
      <c r="D107" s="21" t="inlineStr">
        <is>
          <t>Краснодар</t>
        </is>
      </c>
      <c r="E107" s="22" t="n">
        <v>183</v>
      </c>
      <c r="F107" s="22" t="n">
        <v>127</v>
      </c>
      <c r="G107" s="22" t="n">
        <v>50</v>
      </c>
      <c r="H107" s="22" t="n">
        <v>15</v>
      </c>
      <c r="I107" s="21" t="inlineStr">
        <is>
          <t>Цена зависит от стоимости объекта</t>
        </is>
      </c>
      <c r="J107" s="23" t="inlineStr">
        <is>
          <t>2026-06-10</t>
        </is>
      </c>
    </row>
    <row r="108">
      <c r="A108" s="21" t="inlineStr">
        <is>
          <t>Продажа</t>
        </is>
      </c>
      <c r="B108" s="21" t="inlineStr">
        <is>
          <t>Загородная</t>
        </is>
      </c>
      <c r="C108" s="21" t="inlineStr">
        <is>
          <t>Таунхаус</t>
        </is>
      </c>
      <c r="D108" s="21" t="inlineStr">
        <is>
          <t>Самара</t>
        </is>
      </c>
      <c r="E108" s="22" t="n">
        <v>300</v>
      </c>
      <c r="F108" s="24" t="inlineStr">
        <is>
          <t>—</t>
        </is>
      </c>
      <c r="G108" s="24" t="inlineStr">
        <is>
          <t>—</t>
        </is>
      </c>
      <c r="H108" s="24" t="inlineStr">
        <is>
          <t>—</t>
        </is>
      </c>
      <c r="I108" s="21" t="inlineStr">
        <is>
          <t>Цена зависит от стоимости объекта</t>
        </is>
      </c>
      <c r="J108" s="23" t="inlineStr">
        <is>
          <t>2026-06-10</t>
        </is>
      </c>
    </row>
    <row r="109">
      <c r="A109" s="21" t="inlineStr">
        <is>
          <t>Продажа</t>
        </is>
      </c>
      <c r="B109" s="21" t="inlineStr">
        <is>
          <t>Загородная</t>
        </is>
      </c>
      <c r="C109" s="21" t="inlineStr">
        <is>
          <t>Таунхаус</t>
        </is>
      </c>
      <c r="D109" s="21" t="inlineStr">
        <is>
          <t>Ростов-на-Дону</t>
        </is>
      </c>
      <c r="E109" s="22" t="n">
        <v>234</v>
      </c>
      <c r="F109" s="22" t="n">
        <v>198</v>
      </c>
      <c r="G109" s="22" t="n">
        <v>82</v>
      </c>
      <c r="H109" s="22" t="n">
        <v>25</v>
      </c>
      <c r="I109" s="21" t="inlineStr">
        <is>
          <t>Цена зависит от стоимости объекта</t>
        </is>
      </c>
      <c r="J109" s="23" t="inlineStr">
        <is>
          <t>2026-06-10</t>
        </is>
      </c>
    </row>
    <row r="110">
      <c r="A110" s="21" t="inlineStr">
        <is>
          <t>Продажа</t>
        </is>
      </c>
      <c r="B110" s="21" t="inlineStr">
        <is>
          <t>Загородная</t>
        </is>
      </c>
      <c r="C110" s="21" t="inlineStr">
        <is>
          <t>Таунхаус</t>
        </is>
      </c>
      <c r="D110" s="21" t="inlineStr">
        <is>
          <t>Омск</t>
        </is>
      </c>
      <c r="E110" s="22" t="n">
        <v>354</v>
      </c>
      <c r="F110" s="22" t="n">
        <v>235</v>
      </c>
      <c r="G110" s="22" t="n">
        <v>114</v>
      </c>
      <c r="H110" s="22" t="n">
        <v>36</v>
      </c>
      <c r="I110" s="21" t="inlineStr">
        <is>
          <t>Цена зависит от стоимости объекта</t>
        </is>
      </c>
      <c r="J110" s="23" t="inlineStr">
        <is>
          <t>2026-06-10</t>
        </is>
      </c>
    </row>
    <row r="111">
      <c r="A111" s="21" t="inlineStr">
        <is>
          <t>Продажа</t>
        </is>
      </c>
      <c r="B111" s="21" t="inlineStr">
        <is>
          <t>Загородная</t>
        </is>
      </c>
      <c r="C111" s="21" t="inlineStr">
        <is>
          <t>Таунхаус</t>
        </is>
      </c>
      <c r="D111" s="21" t="inlineStr">
        <is>
          <t>Воронеж</t>
        </is>
      </c>
      <c r="E111" s="22" t="n">
        <v>84</v>
      </c>
      <c r="F111" s="24" t="inlineStr">
        <is>
          <t>—</t>
        </is>
      </c>
      <c r="G111" s="24" t="inlineStr">
        <is>
          <t>—</t>
        </is>
      </c>
      <c r="H111" s="24" t="inlineStr">
        <is>
          <t>—</t>
        </is>
      </c>
      <c r="I111" s="21" t="inlineStr">
        <is>
          <t>Цена зависит от стоимости объекта</t>
        </is>
      </c>
      <c r="J111" s="23" t="inlineStr">
        <is>
          <t>2026-06-10</t>
        </is>
      </c>
    </row>
    <row r="112">
      <c r="A112" s="21" t="inlineStr">
        <is>
          <t>Продажа</t>
        </is>
      </c>
      <c r="B112" s="21" t="inlineStr">
        <is>
          <t>Загородная</t>
        </is>
      </c>
      <c r="C112" s="21" t="inlineStr">
        <is>
          <t>Таунхаус</t>
        </is>
      </c>
      <c r="D112" s="21" t="inlineStr">
        <is>
          <t>Пермь</t>
        </is>
      </c>
      <c r="E112" s="22" t="n">
        <v>168</v>
      </c>
      <c r="F112" s="24" t="inlineStr">
        <is>
          <t>—</t>
        </is>
      </c>
      <c r="G112" s="24" t="inlineStr">
        <is>
          <t>—</t>
        </is>
      </c>
      <c r="H112" s="24" t="inlineStr">
        <is>
          <t>—</t>
        </is>
      </c>
      <c r="I112" s="21" t="inlineStr">
        <is>
          <t>Цена зависит от стоимости объекта</t>
        </is>
      </c>
      <c r="J112" s="23" t="inlineStr">
        <is>
          <t>2026-06-10</t>
        </is>
      </c>
    </row>
    <row r="113">
      <c r="A113" s="21" t="inlineStr">
        <is>
          <t>Продажа</t>
        </is>
      </c>
      <c r="B113" s="21" t="inlineStr">
        <is>
          <t>Загородная</t>
        </is>
      </c>
      <c r="C113" s="21" t="inlineStr">
        <is>
          <t>Таунхаус</t>
        </is>
      </c>
      <c r="D113" s="21" t="inlineStr">
        <is>
          <t>Волгоград</t>
        </is>
      </c>
      <c r="E113" s="22" t="n">
        <v>108</v>
      </c>
      <c r="F113" s="24" t="inlineStr">
        <is>
          <t>—</t>
        </is>
      </c>
      <c r="G113" s="24" t="inlineStr">
        <is>
          <t>—</t>
        </is>
      </c>
      <c r="H113" s="24" t="inlineStr">
        <is>
          <t>—</t>
        </is>
      </c>
      <c r="I113" s="21" t="inlineStr">
        <is>
          <t>Цена зависит от стоимости объекта</t>
        </is>
      </c>
      <c r="J113" s="23" t="inlineStr">
        <is>
          <t>2026-06-10</t>
        </is>
      </c>
    </row>
    <row r="114">
      <c r="A114" s="21" t="inlineStr">
        <is>
          <t>Продажа</t>
        </is>
      </c>
      <c r="B114" s="21" t="inlineStr">
        <is>
          <t>Загородная</t>
        </is>
      </c>
      <c r="C114" s="21" t="inlineStr">
        <is>
          <t>Часть дома</t>
        </is>
      </c>
      <c r="D114" s="21" t="inlineStr">
        <is>
          <t>Москва</t>
        </is>
      </c>
      <c r="E114" s="22" t="n">
        <v>3090</v>
      </c>
      <c r="F114" s="22" t="n">
        <v>1213</v>
      </c>
      <c r="G114" s="22" t="n">
        <v>492</v>
      </c>
      <c r="H114" s="22" t="n">
        <v>147</v>
      </c>
      <c r="I114" s="21" t="inlineStr">
        <is>
          <t>Цена зависит от стоимости объекта</t>
        </is>
      </c>
      <c r="J114" s="23" t="inlineStr">
        <is>
          <t>2026-06-10</t>
        </is>
      </c>
    </row>
    <row r="115">
      <c r="A115" s="21" t="inlineStr">
        <is>
          <t>Продажа</t>
        </is>
      </c>
      <c r="B115" s="21" t="inlineStr">
        <is>
          <t>Загородная</t>
        </is>
      </c>
      <c r="C115" s="21" t="inlineStr">
        <is>
          <t>Часть дома</t>
        </is>
      </c>
      <c r="D115" s="21" t="inlineStr">
        <is>
          <t>Санкт-Петербург</t>
        </is>
      </c>
      <c r="E115" s="22" t="n">
        <v>723</v>
      </c>
      <c r="F115" s="22" t="n">
        <v>290</v>
      </c>
      <c r="G115" s="22" t="n">
        <v>122</v>
      </c>
      <c r="H115" s="22" t="n">
        <v>38</v>
      </c>
      <c r="I115" s="21" t="inlineStr">
        <is>
          <t>Цена зависит от стоимости объекта</t>
        </is>
      </c>
      <c r="J115" s="23" t="inlineStr">
        <is>
          <t>2026-06-10</t>
        </is>
      </c>
    </row>
    <row r="116">
      <c r="A116" s="21" t="inlineStr">
        <is>
          <t>Продажа</t>
        </is>
      </c>
      <c r="B116" s="21" t="inlineStr">
        <is>
          <t>Загородная</t>
        </is>
      </c>
      <c r="C116" s="21" t="inlineStr">
        <is>
          <t>Часть дома</t>
        </is>
      </c>
      <c r="D116" s="21" t="inlineStr">
        <is>
          <t>Новосибирск</t>
        </is>
      </c>
      <c r="E116" s="22" t="n">
        <v>1050</v>
      </c>
      <c r="F116" s="22" t="n">
        <v>322</v>
      </c>
      <c r="G116" s="22" t="n">
        <v>157</v>
      </c>
      <c r="H116" s="22" t="n">
        <v>48</v>
      </c>
      <c r="I116" s="21" t="inlineStr">
        <is>
          <t>Цена зависит от стоимости объекта</t>
        </is>
      </c>
      <c r="J116" s="23" t="inlineStr">
        <is>
          <t>2026-06-10</t>
        </is>
      </c>
    </row>
    <row r="117">
      <c r="A117" s="21" t="inlineStr">
        <is>
          <t>Продажа</t>
        </is>
      </c>
      <c r="B117" s="21" t="inlineStr">
        <is>
          <t>Загородная</t>
        </is>
      </c>
      <c r="C117" s="21" t="inlineStr">
        <is>
          <t>Часть дома</t>
        </is>
      </c>
      <c r="D117" s="21" t="inlineStr">
        <is>
          <t>Екатеринбург</t>
        </is>
      </c>
      <c r="E117" s="22" t="n">
        <v>813</v>
      </c>
      <c r="F117" s="22" t="n">
        <v>365</v>
      </c>
      <c r="G117" s="22" t="n">
        <v>190</v>
      </c>
      <c r="H117" s="22" t="n">
        <v>56</v>
      </c>
      <c r="I117" s="21" t="inlineStr">
        <is>
          <t>Цена зависит от стоимости объекта</t>
        </is>
      </c>
      <c r="J117" s="23" t="inlineStr">
        <is>
          <t>2026-06-10</t>
        </is>
      </c>
    </row>
    <row r="118">
      <c r="A118" s="21" t="inlineStr">
        <is>
          <t>Продажа</t>
        </is>
      </c>
      <c r="B118" s="21" t="inlineStr">
        <is>
          <t>Загородная</t>
        </is>
      </c>
      <c r="C118" s="21" t="inlineStr">
        <is>
          <t>Часть дома</t>
        </is>
      </c>
      <c r="D118" s="21" t="inlineStr">
        <is>
          <t>Казань</t>
        </is>
      </c>
      <c r="E118" s="22" t="n">
        <v>207</v>
      </c>
      <c r="F118" s="22" t="n">
        <v>148</v>
      </c>
      <c r="G118" s="22" t="n">
        <v>66</v>
      </c>
      <c r="H118" s="22" t="n">
        <v>21</v>
      </c>
      <c r="I118" s="21" t="inlineStr">
        <is>
          <t>Цена зависит от стоимости объекта</t>
        </is>
      </c>
      <c r="J118" s="23" t="inlineStr">
        <is>
          <t>2026-06-10</t>
        </is>
      </c>
    </row>
    <row r="119">
      <c r="A119" s="21" t="inlineStr">
        <is>
          <t>Продажа</t>
        </is>
      </c>
      <c r="B119" s="21" t="inlineStr">
        <is>
          <t>Загородная</t>
        </is>
      </c>
      <c r="C119" s="21" t="inlineStr">
        <is>
          <t>Часть дома</t>
        </is>
      </c>
      <c r="D119" s="21" t="inlineStr">
        <is>
          <t>Красноярск</t>
        </is>
      </c>
      <c r="E119" s="22" t="n">
        <v>270</v>
      </c>
      <c r="F119" s="24" t="inlineStr">
        <is>
          <t>—</t>
        </is>
      </c>
      <c r="G119" s="24" t="inlineStr">
        <is>
          <t>—</t>
        </is>
      </c>
      <c r="H119" s="24" t="inlineStr">
        <is>
          <t>—</t>
        </is>
      </c>
      <c r="I119" s="21" t="inlineStr">
        <is>
          <t>Цена зависит от стоимости объекта</t>
        </is>
      </c>
      <c r="J119" s="23" t="inlineStr">
        <is>
          <t>2026-06-10</t>
        </is>
      </c>
    </row>
    <row r="120">
      <c r="A120" s="21" t="inlineStr">
        <is>
          <t>Продажа</t>
        </is>
      </c>
      <c r="B120" s="21" t="inlineStr">
        <is>
          <t>Загородная</t>
        </is>
      </c>
      <c r="C120" s="21" t="inlineStr">
        <is>
          <t>Часть дома</t>
        </is>
      </c>
      <c r="D120" s="21" t="inlineStr">
        <is>
          <t>Нижний Новгород</t>
        </is>
      </c>
      <c r="E120" s="22" t="n">
        <v>207</v>
      </c>
      <c r="F120" s="22" t="n">
        <v>139</v>
      </c>
      <c r="G120" s="22" t="n">
        <v>56</v>
      </c>
      <c r="H120" s="22" t="n">
        <v>16</v>
      </c>
      <c r="I120" s="21" t="inlineStr">
        <is>
          <t>Цена зависит от стоимости объекта</t>
        </is>
      </c>
      <c r="J120" s="23" t="inlineStr">
        <is>
          <t>2026-06-10</t>
        </is>
      </c>
    </row>
    <row r="121">
      <c r="A121" s="21" t="inlineStr">
        <is>
          <t>Продажа</t>
        </is>
      </c>
      <c r="B121" s="21" t="inlineStr">
        <is>
          <t>Загородная</t>
        </is>
      </c>
      <c r="C121" s="21" t="inlineStr">
        <is>
          <t>Часть дома</t>
        </is>
      </c>
      <c r="D121" s="21" t="inlineStr">
        <is>
          <t>Челябинск</t>
        </is>
      </c>
      <c r="E121" s="22" t="n">
        <v>258</v>
      </c>
      <c r="F121" s="22" t="n">
        <v>225</v>
      </c>
      <c r="G121" s="22" t="n">
        <v>109</v>
      </c>
      <c r="H121" s="22" t="n">
        <v>31</v>
      </c>
      <c r="I121" s="21" t="inlineStr">
        <is>
          <t>Цена зависит от стоимости объекта</t>
        </is>
      </c>
      <c r="J121" s="23" t="inlineStr">
        <is>
          <t>2026-06-10</t>
        </is>
      </c>
    </row>
    <row r="122">
      <c r="A122" s="21" t="inlineStr">
        <is>
          <t>Продажа</t>
        </is>
      </c>
      <c r="B122" s="21" t="inlineStr">
        <is>
          <t>Загородная</t>
        </is>
      </c>
      <c r="C122" s="21" t="inlineStr">
        <is>
          <t>Часть дома</t>
        </is>
      </c>
      <c r="D122" s="21" t="inlineStr">
        <is>
          <t>Уфа</t>
        </is>
      </c>
      <c r="E122" s="22" t="n">
        <v>234</v>
      </c>
      <c r="F122" s="22" t="n">
        <v>141</v>
      </c>
      <c r="G122" s="22" t="n">
        <v>62</v>
      </c>
      <c r="H122" s="22" t="n">
        <v>20</v>
      </c>
      <c r="I122" s="21" t="inlineStr">
        <is>
          <t>Цена зависит от стоимости объекта</t>
        </is>
      </c>
      <c r="J122" s="23" t="inlineStr">
        <is>
          <t>2026-06-10</t>
        </is>
      </c>
    </row>
    <row r="123">
      <c r="A123" s="21" t="inlineStr">
        <is>
          <t>Продажа</t>
        </is>
      </c>
      <c r="B123" s="21" t="inlineStr">
        <is>
          <t>Загородная</t>
        </is>
      </c>
      <c r="C123" s="21" t="inlineStr">
        <is>
          <t>Часть дома</t>
        </is>
      </c>
      <c r="D123" s="21" t="inlineStr">
        <is>
          <t>Краснодар</t>
        </is>
      </c>
      <c r="E123" s="22" t="n">
        <v>150</v>
      </c>
      <c r="F123" s="22" t="n">
        <v>145</v>
      </c>
      <c r="G123" s="22" t="n">
        <v>57</v>
      </c>
      <c r="H123" s="22" t="n">
        <v>17</v>
      </c>
      <c r="I123" s="21" t="inlineStr">
        <is>
          <t>Цена зависит от стоимости объекта</t>
        </is>
      </c>
      <c r="J123" s="23" t="inlineStr">
        <is>
          <t>2026-06-10</t>
        </is>
      </c>
    </row>
    <row r="124">
      <c r="A124" s="21" t="inlineStr">
        <is>
          <t>Продажа</t>
        </is>
      </c>
      <c r="B124" s="21" t="inlineStr">
        <is>
          <t>Загородная</t>
        </is>
      </c>
      <c r="C124" s="21" t="inlineStr">
        <is>
          <t>Часть дома</t>
        </is>
      </c>
      <c r="D124" s="21" t="inlineStr">
        <is>
          <t>Самара</t>
        </is>
      </c>
      <c r="E124" s="22" t="n">
        <v>225</v>
      </c>
      <c r="F124" s="24" t="inlineStr">
        <is>
          <t>—</t>
        </is>
      </c>
      <c r="G124" s="24" t="inlineStr">
        <is>
          <t>—</t>
        </is>
      </c>
      <c r="H124" s="24" t="inlineStr">
        <is>
          <t>—</t>
        </is>
      </c>
      <c r="I124" s="21" t="inlineStr">
        <is>
          <t>Цена зависит от стоимости объекта</t>
        </is>
      </c>
      <c r="J124" s="23" t="inlineStr">
        <is>
          <t>2026-06-10</t>
        </is>
      </c>
    </row>
    <row r="125">
      <c r="A125" s="21" t="inlineStr">
        <is>
          <t>Продажа</t>
        </is>
      </c>
      <c r="B125" s="21" t="inlineStr">
        <is>
          <t>Загородная</t>
        </is>
      </c>
      <c r="C125" s="21" t="inlineStr">
        <is>
          <t>Часть дома</t>
        </is>
      </c>
      <c r="D125" s="21" t="inlineStr">
        <is>
          <t>Ростов-на-Дону</t>
        </is>
      </c>
      <c r="E125" s="22" t="n">
        <v>234</v>
      </c>
      <c r="F125" s="22" t="n">
        <v>181</v>
      </c>
      <c r="G125" s="22" t="n">
        <v>71</v>
      </c>
      <c r="H125" s="22" t="n">
        <v>20</v>
      </c>
      <c r="I125" s="21" t="inlineStr">
        <is>
          <t>Цена зависит от стоимости объекта</t>
        </is>
      </c>
      <c r="J125" s="23" t="inlineStr">
        <is>
          <t>2026-06-10</t>
        </is>
      </c>
    </row>
    <row r="126">
      <c r="A126" s="21" t="inlineStr">
        <is>
          <t>Продажа</t>
        </is>
      </c>
      <c r="B126" s="21" t="inlineStr">
        <is>
          <t>Загородная</t>
        </is>
      </c>
      <c r="C126" s="21" t="inlineStr">
        <is>
          <t>Часть дома</t>
        </is>
      </c>
      <c r="D126" s="21" t="inlineStr">
        <is>
          <t>Омск</t>
        </is>
      </c>
      <c r="E126" s="22" t="n">
        <v>354</v>
      </c>
      <c r="F126" s="22" t="n">
        <v>235</v>
      </c>
      <c r="G126" s="22" t="n">
        <v>114</v>
      </c>
      <c r="H126" s="22" t="n">
        <v>36</v>
      </c>
      <c r="I126" s="21" t="inlineStr">
        <is>
          <t>Цена зависит от стоимости объекта</t>
        </is>
      </c>
      <c r="J126" s="23" t="inlineStr">
        <is>
          <t>2026-06-10</t>
        </is>
      </c>
    </row>
    <row r="127">
      <c r="A127" s="21" t="inlineStr">
        <is>
          <t>Продажа</t>
        </is>
      </c>
      <c r="B127" s="21" t="inlineStr">
        <is>
          <t>Загородная</t>
        </is>
      </c>
      <c r="C127" s="21" t="inlineStr">
        <is>
          <t>Часть дома</t>
        </is>
      </c>
      <c r="D127" s="21" t="inlineStr">
        <is>
          <t>Воронеж</t>
        </is>
      </c>
      <c r="E127" s="22" t="n">
        <v>99</v>
      </c>
      <c r="F127" s="24" t="inlineStr">
        <is>
          <t>—</t>
        </is>
      </c>
      <c r="G127" s="24" t="inlineStr">
        <is>
          <t>—</t>
        </is>
      </c>
      <c r="H127" s="24" t="inlineStr">
        <is>
          <t>—</t>
        </is>
      </c>
      <c r="I127" s="21" t="inlineStr">
        <is>
          <t>Цена зависит от стоимости объекта</t>
        </is>
      </c>
      <c r="J127" s="23" t="inlineStr">
        <is>
          <t>2026-06-10</t>
        </is>
      </c>
    </row>
    <row r="128">
      <c r="A128" s="21" t="inlineStr">
        <is>
          <t>Продажа</t>
        </is>
      </c>
      <c r="B128" s="21" t="inlineStr">
        <is>
          <t>Загородная</t>
        </is>
      </c>
      <c r="C128" s="21" t="inlineStr">
        <is>
          <t>Часть дома</t>
        </is>
      </c>
      <c r="D128" s="21" t="inlineStr">
        <is>
          <t>Пермь</t>
        </is>
      </c>
      <c r="E128" s="22" t="n">
        <v>168</v>
      </c>
      <c r="F128" s="24" t="inlineStr">
        <is>
          <t>—</t>
        </is>
      </c>
      <c r="G128" s="24" t="inlineStr">
        <is>
          <t>—</t>
        </is>
      </c>
      <c r="H128" s="24" t="inlineStr">
        <is>
          <t>—</t>
        </is>
      </c>
      <c r="I128" s="21" t="inlineStr">
        <is>
          <t>Цена зависит от стоимости объекта</t>
        </is>
      </c>
      <c r="J128" s="23" t="inlineStr">
        <is>
          <t>2026-06-10</t>
        </is>
      </c>
    </row>
    <row r="129">
      <c r="A129" s="21" t="inlineStr">
        <is>
          <t>Продажа</t>
        </is>
      </c>
      <c r="B129" s="21" t="inlineStr">
        <is>
          <t>Загородная</t>
        </is>
      </c>
      <c r="C129" s="21" t="inlineStr">
        <is>
          <t>Часть дома</t>
        </is>
      </c>
      <c r="D129" s="21" t="inlineStr">
        <is>
          <t>Волгоград</t>
        </is>
      </c>
      <c r="E129" s="22" t="n">
        <v>273</v>
      </c>
      <c r="F129" s="24" t="inlineStr">
        <is>
          <t>—</t>
        </is>
      </c>
      <c r="G129" s="24" t="inlineStr">
        <is>
          <t>—</t>
        </is>
      </c>
      <c r="H129" s="24" t="inlineStr">
        <is>
          <t>—</t>
        </is>
      </c>
      <c r="I129" s="21" t="inlineStr">
        <is>
          <t>Цена зависит от стоимости объекта</t>
        </is>
      </c>
      <c r="J129" s="23" t="inlineStr">
        <is>
          <t>2026-06-10</t>
        </is>
      </c>
    </row>
    <row r="130">
      <c r="A130" s="21" t="inlineStr">
        <is>
          <t>Продажа</t>
        </is>
      </c>
      <c r="B130" s="21" t="inlineStr">
        <is>
          <t>Загородная</t>
        </is>
      </c>
      <c r="C130" s="21" t="inlineStr">
        <is>
          <t>Участок</t>
        </is>
      </c>
      <c r="D130" s="21" t="inlineStr">
        <is>
          <t>Москва</t>
        </is>
      </c>
      <c r="E130" s="22" t="n">
        <v>2940</v>
      </c>
      <c r="F130" s="22" t="n">
        <v>943</v>
      </c>
      <c r="G130" s="22" t="n">
        <v>399</v>
      </c>
      <c r="H130" s="22" t="n">
        <v>120</v>
      </c>
      <c r="I130" s="21" t="inlineStr">
        <is>
          <t>Цена зависит от стоимости объекта</t>
        </is>
      </c>
      <c r="J130" s="23" t="inlineStr">
        <is>
          <t>2026-06-10</t>
        </is>
      </c>
    </row>
    <row r="131">
      <c r="A131" s="21" t="inlineStr">
        <is>
          <t>Продажа</t>
        </is>
      </c>
      <c r="B131" s="21" t="inlineStr">
        <is>
          <t>Загородная</t>
        </is>
      </c>
      <c r="C131" s="21" t="inlineStr">
        <is>
          <t>Участок</t>
        </is>
      </c>
      <c r="D131" s="21" t="inlineStr">
        <is>
          <t>Санкт-Петербург</t>
        </is>
      </c>
      <c r="E131" s="22" t="n">
        <v>825</v>
      </c>
      <c r="F131" s="22" t="n">
        <v>250</v>
      </c>
      <c r="G131" s="22" t="n">
        <v>110</v>
      </c>
      <c r="H131" s="22" t="n">
        <v>34</v>
      </c>
      <c r="I131" s="21" t="inlineStr">
        <is>
          <t>Цена зависит от стоимости объекта</t>
        </is>
      </c>
      <c r="J131" s="23" t="inlineStr">
        <is>
          <t>2026-06-10</t>
        </is>
      </c>
    </row>
    <row r="132">
      <c r="A132" s="21" t="inlineStr">
        <is>
          <t>Продажа</t>
        </is>
      </c>
      <c r="B132" s="21" t="inlineStr">
        <is>
          <t>Загородная</t>
        </is>
      </c>
      <c r="C132" s="21" t="inlineStr">
        <is>
          <t>Участок</t>
        </is>
      </c>
      <c r="D132" s="21" t="inlineStr">
        <is>
          <t>Новосибирск</t>
        </is>
      </c>
      <c r="E132" s="22" t="n">
        <v>948</v>
      </c>
      <c r="F132" s="22" t="n">
        <v>341</v>
      </c>
      <c r="G132" s="22" t="n">
        <v>162</v>
      </c>
      <c r="H132" s="22" t="n">
        <v>48</v>
      </c>
      <c r="I132" s="21" t="inlineStr">
        <is>
          <t>Цена зависит от стоимости объекта</t>
        </is>
      </c>
      <c r="J132" s="23" t="inlineStr">
        <is>
          <t>2026-06-10</t>
        </is>
      </c>
    </row>
    <row r="133">
      <c r="A133" s="21" t="inlineStr">
        <is>
          <t>Продажа</t>
        </is>
      </c>
      <c r="B133" s="21" t="inlineStr">
        <is>
          <t>Загородная</t>
        </is>
      </c>
      <c r="C133" s="21" t="inlineStr">
        <is>
          <t>Участок</t>
        </is>
      </c>
      <c r="D133" s="21" t="inlineStr">
        <is>
          <t>Екатеринбург</t>
        </is>
      </c>
      <c r="E133" s="22" t="n">
        <v>813</v>
      </c>
      <c r="F133" s="22" t="n">
        <v>359</v>
      </c>
      <c r="G133" s="22" t="n">
        <v>184</v>
      </c>
      <c r="H133" s="22" t="n">
        <v>57</v>
      </c>
      <c r="I133" s="21" t="inlineStr">
        <is>
          <t>Цена зависит от стоимости объекта</t>
        </is>
      </c>
      <c r="J133" s="23" t="inlineStr">
        <is>
          <t>2026-06-10</t>
        </is>
      </c>
    </row>
    <row r="134">
      <c r="A134" s="21" t="inlineStr">
        <is>
          <t>Продажа</t>
        </is>
      </c>
      <c r="B134" s="21" t="inlineStr">
        <is>
          <t>Загородная</t>
        </is>
      </c>
      <c r="C134" s="21" t="inlineStr">
        <is>
          <t>Участок</t>
        </is>
      </c>
      <c r="D134" s="21" t="inlineStr">
        <is>
          <t>Казань</t>
        </is>
      </c>
      <c r="E134" s="22" t="n">
        <v>165</v>
      </c>
      <c r="F134" s="22" t="n">
        <v>126</v>
      </c>
      <c r="G134" s="22" t="n">
        <v>56</v>
      </c>
      <c r="H134" s="22" t="n">
        <v>18</v>
      </c>
      <c r="I134" s="21" t="inlineStr">
        <is>
          <t>Цена зависит от стоимости объекта</t>
        </is>
      </c>
      <c r="J134" s="23" t="inlineStr">
        <is>
          <t>2026-06-10</t>
        </is>
      </c>
    </row>
    <row r="135">
      <c r="A135" s="21" t="inlineStr">
        <is>
          <t>Продажа</t>
        </is>
      </c>
      <c r="B135" s="21" t="inlineStr">
        <is>
          <t>Загородная</t>
        </is>
      </c>
      <c r="C135" s="21" t="inlineStr">
        <is>
          <t>Участок</t>
        </is>
      </c>
      <c r="D135" s="21" t="inlineStr">
        <is>
          <t>Красноярск</t>
        </is>
      </c>
      <c r="E135" s="22" t="n">
        <v>258</v>
      </c>
      <c r="F135" s="24" t="inlineStr">
        <is>
          <t>—</t>
        </is>
      </c>
      <c r="G135" s="24" t="inlineStr">
        <is>
          <t>—</t>
        </is>
      </c>
      <c r="H135" s="24" t="inlineStr">
        <is>
          <t>—</t>
        </is>
      </c>
      <c r="I135" s="21" t="inlineStr">
        <is>
          <t>Цена зависит от стоимости объекта</t>
        </is>
      </c>
      <c r="J135" s="23" t="inlineStr">
        <is>
          <t>2026-06-10</t>
        </is>
      </c>
    </row>
    <row r="136">
      <c r="A136" s="21" t="inlineStr">
        <is>
          <t>Продажа</t>
        </is>
      </c>
      <c r="B136" s="21" t="inlineStr">
        <is>
          <t>Загородная</t>
        </is>
      </c>
      <c r="C136" s="21" t="inlineStr">
        <is>
          <t>Участок</t>
        </is>
      </c>
      <c r="D136" s="21" t="inlineStr">
        <is>
          <t>Нижний Новгород</t>
        </is>
      </c>
      <c r="E136" s="22" t="n">
        <v>165</v>
      </c>
      <c r="F136" s="22" t="n">
        <v>126</v>
      </c>
      <c r="G136" s="22" t="n">
        <v>52</v>
      </c>
      <c r="H136" s="22" t="n">
        <v>15</v>
      </c>
      <c r="I136" s="21" t="inlineStr">
        <is>
          <t>Цена зависит от стоимости объекта</t>
        </is>
      </c>
      <c r="J136" s="23" t="inlineStr">
        <is>
          <t>2026-06-10</t>
        </is>
      </c>
    </row>
    <row r="137">
      <c r="A137" s="21" t="inlineStr">
        <is>
          <t>Продажа</t>
        </is>
      </c>
      <c r="B137" s="21" t="inlineStr">
        <is>
          <t>Загородная</t>
        </is>
      </c>
      <c r="C137" s="21" t="inlineStr">
        <is>
          <t>Участок</t>
        </is>
      </c>
      <c r="D137" s="21" t="inlineStr">
        <is>
          <t>Челябинск</t>
        </is>
      </c>
      <c r="E137" s="22" t="n">
        <v>195</v>
      </c>
      <c r="F137" s="22" t="n">
        <v>207</v>
      </c>
      <c r="G137" s="22" t="n">
        <v>100</v>
      </c>
      <c r="H137" s="22" t="n">
        <v>29</v>
      </c>
      <c r="I137" s="21" t="inlineStr">
        <is>
          <t>Цена зависит от стоимости объекта</t>
        </is>
      </c>
      <c r="J137" s="23" t="inlineStr">
        <is>
          <t>2026-06-10</t>
        </is>
      </c>
    </row>
    <row r="138">
      <c r="A138" s="21" t="inlineStr">
        <is>
          <t>Продажа</t>
        </is>
      </c>
      <c r="B138" s="21" t="inlineStr">
        <is>
          <t>Загородная</t>
        </is>
      </c>
      <c r="C138" s="21" t="inlineStr">
        <is>
          <t>Участок</t>
        </is>
      </c>
      <c r="D138" s="21" t="inlineStr">
        <is>
          <t>Уфа</t>
        </is>
      </c>
      <c r="E138" s="22" t="n">
        <v>195</v>
      </c>
      <c r="F138" s="22" t="n">
        <v>127</v>
      </c>
      <c r="G138" s="22" t="n">
        <v>53</v>
      </c>
      <c r="H138" s="22" t="n">
        <v>16</v>
      </c>
      <c r="I138" s="21" t="inlineStr">
        <is>
          <t>Цена зависит от стоимости объекта</t>
        </is>
      </c>
      <c r="J138" s="23" t="inlineStr">
        <is>
          <t>2026-06-10</t>
        </is>
      </c>
    </row>
    <row r="139">
      <c r="A139" s="21" t="inlineStr">
        <is>
          <t>Продажа</t>
        </is>
      </c>
      <c r="B139" s="21" t="inlineStr">
        <is>
          <t>Загородная</t>
        </is>
      </c>
      <c r="C139" s="21" t="inlineStr">
        <is>
          <t>Участок</t>
        </is>
      </c>
      <c r="D139" s="21" t="inlineStr">
        <is>
          <t>Краснодар</t>
        </is>
      </c>
      <c r="E139" s="22" t="n">
        <v>150</v>
      </c>
      <c r="F139" s="22" t="n">
        <v>153</v>
      </c>
      <c r="G139" s="22" t="n">
        <v>60</v>
      </c>
      <c r="H139" s="22" t="n">
        <v>18</v>
      </c>
      <c r="I139" s="21" t="inlineStr">
        <is>
          <t>Цена зависит от стоимости объекта</t>
        </is>
      </c>
      <c r="J139" s="23" t="inlineStr">
        <is>
          <t>2026-06-10</t>
        </is>
      </c>
    </row>
    <row r="140">
      <c r="A140" s="21" t="inlineStr">
        <is>
          <t>Продажа</t>
        </is>
      </c>
      <c r="B140" s="21" t="inlineStr">
        <is>
          <t>Загородная</t>
        </is>
      </c>
      <c r="C140" s="21" t="inlineStr">
        <is>
          <t>Участок</t>
        </is>
      </c>
      <c r="D140" s="21" t="inlineStr">
        <is>
          <t>Самара</t>
        </is>
      </c>
      <c r="E140" s="22" t="n">
        <v>129</v>
      </c>
      <c r="F140" s="24" t="inlineStr">
        <is>
          <t>—</t>
        </is>
      </c>
      <c r="G140" s="24" t="inlineStr">
        <is>
          <t>—</t>
        </is>
      </c>
      <c r="H140" s="24" t="inlineStr">
        <is>
          <t>—</t>
        </is>
      </c>
      <c r="I140" s="21" t="inlineStr">
        <is>
          <t>Цена зависит от стоимости объекта</t>
        </is>
      </c>
      <c r="J140" s="23" t="inlineStr">
        <is>
          <t>2026-06-10</t>
        </is>
      </c>
    </row>
    <row r="141">
      <c r="A141" s="21" t="inlineStr">
        <is>
          <t>Продажа</t>
        </is>
      </c>
      <c r="B141" s="21" t="inlineStr">
        <is>
          <t>Загородная</t>
        </is>
      </c>
      <c r="C141" s="21" t="inlineStr">
        <is>
          <t>Участок</t>
        </is>
      </c>
      <c r="D141" s="21" t="inlineStr">
        <is>
          <t>Ростов-на-Дону</t>
        </is>
      </c>
      <c r="E141" s="22" t="n">
        <v>225</v>
      </c>
      <c r="F141" s="22" t="n">
        <v>137</v>
      </c>
      <c r="G141" s="22" t="n">
        <v>58</v>
      </c>
      <c r="H141" s="22" t="n">
        <v>18</v>
      </c>
      <c r="I141" s="21" t="inlineStr">
        <is>
          <t>Цена зависит от стоимости объекта</t>
        </is>
      </c>
      <c r="J141" s="23" t="inlineStr">
        <is>
          <t>2026-06-10</t>
        </is>
      </c>
    </row>
    <row r="142">
      <c r="A142" s="21" t="inlineStr">
        <is>
          <t>Продажа</t>
        </is>
      </c>
      <c r="B142" s="21" t="inlineStr">
        <is>
          <t>Загородная</t>
        </is>
      </c>
      <c r="C142" s="21" t="inlineStr">
        <is>
          <t>Участок</t>
        </is>
      </c>
      <c r="D142" s="21" t="inlineStr">
        <is>
          <t>Омск</t>
        </is>
      </c>
      <c r="E142" s="22" t="n">
        <v>297</v>
      </c>
      <c r="F142" s="22" t="n">
        <v>176</v>
      </c>
      <c r="G142" s="22" t="n">
        <v>88</v>
      </c>
      <c r="H142" s="22" t="n">
        <v>27</v>
      </c>
      <c r="I142" s="21" t="inlineStr">
        <is>
          <t>Цена зависит от стоимости объекта</t>
        </is>
      </c>
      <c r="J142" s="23" t="inlineStr">
        <is>
          <t>2026-06-10</t>
        </is>
      </c>
    </row>
    <row r="143">
      <c r="A143" s="21" t="inlineStr">
        <is>
          <t>Продажа</t>
        </is>
      </c>
      <c r="B143" s="21" t="inlineStr">
        <is>
          <t>Загородная</t>
        </is>
      </c>
      <c r="C143" s="21" t="inlineStr">
        <is>
          <t>Участок</t>
        </is>
      </c>
      <c r="D143" s="21" t="inlineStr">
        <is>
          <t>Воронеж</t>
        </is>
      </c>
      <c r="E143" s="22" t="n">
        <v>69</v>
      </c>
      <c r="F143" s="24" t="inlineStr">
        <is>
          <t>—</t>
        </is>
      </c>
      <c r="G143" s="24" t="inlineStr">
        <is>
          <t>—</t>
        </is>
      </c>
      <c r="H143" s="24" t="inlineStr">
        <is>
          <t>—</t>
        </is>
      </c>
      <c r="I143" s="21" t="inlineStr">
        <is>
          <t>Цена зависит от стоимости объекта</t>
        </is>
      </c>
      <c r="J143" s="23" t="inlineStr">
        <is>
          <t>2026-06-10</t>
        </is>
      </c>
    </row>
    <row r="144">
      <c r="A144" s="21" t="inlineStr">
        <is>
          <t>Продажа</t>
        </is>
      </c>
      <c r="B144" s="21" t="inlineStr">
        <is>
          <t>Загородная</t>
        </is>
      </c>
      <c r="C144" s="21" t="inlineStr">
        <is>
          <t>Участок</t>
        </is>
      </c>
      <c r="D144" s="21" t="inlineStr">
        <is>
          <t>Пермь</t>
        </is>
      </c>
      <c r="E144" s="22" t="n">
        <v>126</v>
      </c>
      <c r="F144" s="24" t="inlineStr">
        <is>
          <t>—</t>
        </is>
      </c>
      <c r="G144" s="24" t="inlineStr">
        <is>
          <t>—</t>
        </is>
      </c>
      <c r="H144" s="24" t="inlineStr">
        <is>
          <t>—</t>
        </is>
      </c>
      <c r="I144" s="21" t="inlineStr">
        <is>
          <t>Цена зависит от стоимости объекта</t>
        </is>
      </c>
      <c r="J144" s="23" t="inlineStr">
        <is>
          <t>2026-06-10</t>
        </is>
      </c>
    </row>
    <row r="145">
      <c r="A145" s="21" t="inlineStr">
        <is>
          <t>Продажа</t>
        </is>
      </c>
      <c r="B145" s="21" t="inlineStr">
        <is>
          <t>Загородная</t>
        </is>
      </c>
      <c r="C145" s="21" t="inlineStr">
        <is>
          <t>Участок</t>
        </is>
      </c>
      <c r="D145" s="21" t="inlineStr">
        <is>
          <t>Волгоград</t>
        </is>
      </c>
      <c r="E145" s="22" t="n">
        <v>264</v>
      </c>
      <c r="F145" s="24" t="inlineStr">
        <is>
          <t>—</t>
        </is>
      </c>
      <c r="G145" s="24" t="inlineStr">
        <is>
          <t>—</t>
        </is>
      </c>
      <c r="H145" s="24" t="inlineStr">
        <is>
          <t>—</t>
        </is>
      </c>
      <c r="I145" s="21" t="inlineStr">
        <is>
          <t>Цена зависит от стоимости объекта</t>
        </is>
      </c>
      <c r="J145" s="23" t="inlineStr">
        <is>
          <t>2026-06-10</t>
        </is>
      </c>
    </row>
    <row r="146">
      <c r="A146" s="17" t="inlineStr">
        <is>
          <t>Продажа</t>
        </is>
      </c>
      <c r="B146" s="17" t="inlineStr">
        <is>
          <t>Коммерческая</t>
        </is>
      </c>
      <c r="C146" s="18" t="inlineStr">
        <is>
          <t>Офис</t>
        </is>
      </c>
      <c r="D146" s="18" t="inlineStr">
        <is>
          <t>Москва</t>
        </is>
      </c>
      <c r="E146" s="19" t="n">
        <v>3420</v>
      </c>
      <c r="F146" s="19" t="n">
        <v>1044</v>
      </c>
      <c r="G146" s="19" t="n">
        <v>429</v>
      </c>
      <c r="H146" s="19" t="n">
        <v>181</v>
      </c>
      <c r="I146" s="18" t="inlineStr">
        <is>
          <t>Цена зависит от стоимости объекта</t>
        </is>
      </c>
      <c r="J146" s="20" t="inlineStr">
        <is>
          <t>2026-06-10</t>
        </is>
      </c>
    </row>
    <row r="147">
      <c r="A147" s="21" t="inlineStr">
        <is>
          <t>Продажа</t>
        </is>
      </c>
      <c r="B147" s="21" t="inlineStr">
        <is>
          <t>Коммерческая</t>
        </is>
      </c>
      <c r="C147" s="21" t="inlineStr">
        <is>
          <t>Офис</t>
        </is>
      </c>
      <c r="D147" s="21" t="inlineStr">
        <is>
          <t>Санкт-Петербург</t>
        </is>
      </c>
      <c r="E147" s="22" t="n">
        <v>1893</v>
      </c>
      <c r="F147" s="22" t="n">
        <v>493</v>
      </c>
      <c r="G147" s="22" t="n">
        <v>217</v>
      </c>
      <c r="H147" s="22" t="n">
        <v>67</v>
      </c>
      <c r="I147" s="21" t="inlineStr">
        <is>
          <t>Цена зависит от стоимости объекта</t>
        </is>
      </c>
      <c r="J147" s="23" t="inlineStr">
        <is>
          <t>2026-06-10</t>
        </is>
      </c>
    </row>
    <row r="148">
      <c r="A148" s="21" t="inlineStr">
        <is>
          <t>Продажа</t>
        </is>
      </c>
      <c r="B148" s="21" t="inlineStr">
        <is>
          <t>Коммерческая</t>
        </is>
      </c>
      <c r="C148" s="21" t="inlineStr">
        <is>
          <t>Офис</t>
        </is>
      </c>
      <c r="D148" s="21" t="inlineStr">
        <is>
          <t>Новосибирск</t>
        </is>
      </c>
      <c r="E148" s="22" t="n">
        <v>1389</v>
      </c>
      <c r="F148" s="22" t="n">
        <v>314</v>
      </c>
      <c r="G148" s="22" t="n">
        <v>145</v>
      </c>
      <c r="H148" s="22" t="n">
        <v>44</v>
      </c>
      <c r="I148" s="21" t="inlineStr">
        <is>
          <t>Цена зависит от стоимости объекта</t>
        </is>
      </c>
      <c r="J148" s="23" t="inlineStr">
        <is>
          <t>2026-06-10</t>
        </is>
      </c>
    </row>
    <row r="149">
      <c r="A149" s="21" t="inlineStr">
        <is>
          <t>Продажа</t>
        </is>
      </c>
      <c r="B149" s="21" t="inlineStr">
        <is>
          <t>Коммерческая</t>
        </is>
      </c>
      <c r="C149" s="21" t="inlineStr">
        <is>
          <t>Офис</t>
        </is>
      </c>
      <c r="D149" s="21" t="inlineStr">
        <is>
          <t>Екатеринбург</t>
        </is>
      </c>
      <c r="E149" s="22" t="n">
        <v>1176</v>
      </c>
      <c r="F149" s="22" t="n">
        <v>443</v>
      </c>
      <c r="G149" s="22" t="n">
        <v>217</v>
      </c>
      <c r="H149" s="22" t="n">
        <v>67</v>
      </c>
      <c r="I149" s="21" t="inlineStr">
        <is>
          <t>Цена зависит от стоимости объекта</t>
        </is>
      </c>
      <c r="J149" s="23" t="inlineStr">
        <is>
          <t>2026-06-10</t>
        </is>
      </c>
    </row>
    <row r="150">
      <c r="A150" s="21" t="inlineStr">
        <is>
          <t>Продажа</t>
        </is>
      </c>
      <c r="B150" s="21" t="inlineStr">
        <is>
          <t>Коммерческая</t>
        </is>
      </c>
      <c r="C150" s="21" t="inlineStr">
        <is>
          <t>Офис</t>
        </is>
      </c>
      <c r="D150" s="21" t="inlineStr">
        <is>
          <t>Казань</t>
        </is>
      </c>
      <c r="E150" s="22" t="n">
        <v>525</v>
      </c>
      <c r="F150" s="22" t="n">
        <v>132</v>
      </c>
      <c r="G150" s="22" t="n">
        <v>58</v>
      </c>
      <c r="H150" s="22" t="n">
        <v>19</v>
      </c>
      <c r="I150" s="21" t="inlineStr">
        <is>
          <t>Цена зависит от стоимости объекта</t>
        </is>
      </c>
      <c r="J150" s="23" t="inlineStr">
        <is>
          <t>2026-06-10</t>
        </is>
      </c>
    </row>
    <row r="151">
      <c r="A151" s="21" t="inlineStr">
        <is>
          <t>Продажа</t>
        </is>
      </c>
      <c r="B151" s="21" t="inlineStr">
        <is>
          <t>Коммерческая</t>
        </is>
      </c>
      <c r="C151" s="21" t="inlineStr">
        <is>
          <t>Офис</t>
        </is>
      </c>
      <c r="D151" s="21" t="inlineStr">
        <is>
          <t>Красноярск</t>
        </is>
      </c>
      <c r="E151" s="22" t="n">
        <v>705</v>
      </c>
      <c r="F151" s="24" t="inlineStr">
        <is>
          <t>—</t>
        </is>
      </c>
      <c r="G151" s="24" t="inlineStr">
        <is>
          <t>—</t>
        </is>
      </c>
      <c r="H151" s="24" t="inlineStr">
        <is>
          <t>—</t>
        </is>
      </c>
      <c r="I151" s="21" t="inlineStr">
        <is>
          <t>Цена зависит от стоимости объекта</t>
        </is>
      </c>
      <c r="J151" s="23" t="inlineStr">
        <is>
          <t>2026-06-10</t>
        </is>
      </c>
    </row>
    <row r="152">
      <c r="A152" s="21" t="inlineStr">
        <is>
          <t>Продажа</t>
        </is>
      </c>
      <c r="B152" s="21" t="inlineStr">
        <is>
          <t>Коммерческая</t>
        </is>
      </c>
      <c r="C152" s="21" t="inlineStr">
        <is>
          <t>Офис</t>
        </is>
      </c>
      <c r="D152" s="21" t="inlineStr">
        <is>
          <t>Нижний Новгород</t>
        </is>
      </c>
      <c r="E152" s="22" t="n">
        <v>294</v>
      </c>
      <c r="F152" s="22" t="n">
        <v>143</v>
      </c>
      <c r="G152" s="22" t="n">
        <v>63</v>
      </c>
      <c r="H152" s="22" t="n">
        <v>19</v>
      </c>
      <c r="I152" s="21" t="inlineStr">
        <is>
          <t>Цена зависит от стоимости объекта</t>
        </is>
      </c>
      <c r="J152" s="23" t="inlineStr">
        <is>
          <t>2026-06-10</t>
        </is>
      </c>
    </row>
    <row r="153">
      <c r="A153" s="21" t="inlineStr">
        <is>
          <t>Продажа</t>
        </is>
      </c>
      <c r="B153" s="21" t="inlineStr">
        <is>
          <t>Коммерческая</t>
        </is>
      </c>
      <c r="C153" s="21" t="inlineStr">
        <is>
          <t>Офис</t>
        </is>
      </c>
      <c r="D153" s="21" t="inlineStr">
        <is>
          <t>Челябинск</t>
        </is>
      </c>
      <c r="E153" s="22" t="n">
        <v>450</v>
      </c>
      <c r="F153" s="22" t="n">
        <v>290</v>
      </c>
      <c r="G153" s="22" t="n">
        <v>130</v>
      </c>
      <c r="H153" s="22" t="n">
        <v>40</v>
      </c>
      <c r="I153" s="21" t="inlineStr">
        <is>
          <t>Цена зависит от стоимости объекта</t>
        </is>
      </c>
      <c r="J153" s="23" t="inlineStr">
        <is>
          <t>2026-06-10</t>
        </is>
      </c>
    </row>
    <row r="154">
      <c r="A154" s="21" t="inlineStr">
        <is>
          <t>Продажа</t>
        </is>
      </c>
      <c r="B154" s="21" t="inlineStr">
        <is>
          <t>Коммерческая</t>
        </is>
      </c>
      <c r="C154" s="21" t="inlineStr">
        <is>
          <t>Офис</t>
        </is>
      </c>
      <c r="D154" s="21" t="inlineStr">
        <is>
          <t>Уфа</t>
        </is>
      </c>
      <c r="E154" s="22" t="n">
        <v>645</v>
      </c>
      <c r="F154" s="22" t="n">
        <v>119</v>
      </c>
      <c r="G154" s="22" t="n">
        <v>52</v>
      </c>
      <c r="H154" s="22" t="n">
        <v>17</v>
      </c>
      <c r="I154" s="21" t="inlineStr">
        <is>
          <t>Цена зависит от стоимости объекта</t>
        </is>
      </c>
      <c r="J154" s="23" t="inlineStr">
        <is>
          <t>2026-06-10</t>
        </is>
      </c>
    </row>
    <row r="155">
      <c r="A155" s="21" t="inlineStr">
        <is>
          <t>Продажа</t>
        </is>
      </c>
      <c r="B155" s="21" t="inlineStr">
        <is>
          <t>Коммерческая</t>
        </is>
      </c>
      <c r="C155" s="21" t="inlineStr">
        <is>
          <t>Офис</t>
        </is>
      </c>
      <c r="D155" s="21" t="inlineStr">
        <is>
          <t>Краснодар</t>
        </is>
      </c>
      <c r="E155" s="22" t="n">
        <v>405</v>
      </c>
      <c r="F155" s="22" t="n">
        <v>150</v>
      </c>
      <c r="G155" s="22" t="n">
        <v>63</v>
      </c>
      <c r="H155" s="22" t="n">
        <v>20</v>
      </c>
      <c r="I155" s="21" t="inlineStr">
        <is>
          <t>Цена зависит от стоимости объекта</t>
        </is>
      </c>
      <c r="J155" s="23" t="inlineStr">
        <is>
          <t>2026-06-10</t>
        </is>
      </c>
    </row>
    <row r="156">
      <c r="A156" s="21" t="inlineStr">
        <is>
          <t>Продажа</t>
        </is>
      </c>
      <c r="B156" s="21" t="inlineStr">
        <is>
          <t>Коммерческая</t>
        </is>
      </c>
      <c r="C156" s="21" t="inlineStr">
        <is>
          <t>Офис</t>
        </is>
      </c>
      <c r="D156" s="21" t="inlineStr">
        <is>
          <t>Самара</t>
        </is>
      </c>
      <c r="E156" s="22" t="n">
        <v>192</v>
      </c>
      <c r="F156" s="24" t="inlineStr">
        <is>
          <t>—</t>
        </is>
      </c>
      <c r="G156" s="24" t="inlineStr">
        <is>
          <t>—</t>
        </is>
      </c>
      <c r="H156" s="24" t="inlineStr">
        <is>
          <t>—</t>
        </is>
      </c>
      <c r="I156" s="21" t="inlineStr">
        <is>
          <t>Цена зависит от стоимости объекта</t>
        </is>
      </c>
      <c r="J156" s="23" t="inlineStr">
        <is>
          <t>2026-06-10</t>
        </is>
      </c>
    </row>
    <row r="157">
      <c r="A157" s="21" t="inlineStr">
        <is>
          <t>Продажа</t>
        </is>
      </c>
      <c r="B157" s="21" t="inlineStr">
        <is>
          <t>Коммерческая</t>
        </is>
      </c>
      <c r="C157" s="21" t="inlineStr">
        <is>
          <t>Офис</t>
        </is>
      </c>
      <c r="D157" s="21" t="inlineStr">
        <is>
          <t>Ростов-на-Дону</t>
        </is>
      </c>
      <c r="E157" s="22" t="n">
        <v>456</v>
      </c>
      <c r="F157" s="22" t="n">
        <v>126</v>
      </c>
      <c r="G157" s="22" t="n">
        <v>52</v>
      </c>
      <c r="H157" s="22" t="n">
        <v>15</v>
      </c>
      <c r="I157" s="21" t="inlineStr">
        <is>
          <t>Цена зависит от стоимости объекта</t>
        </is>
      </c>
      <c r="J157" s="23" t="inlineStr">
        <is>
          <t>2026-06-10</t>
        </is>
      </c>
    </row>
    <row r="158">
      <c r="A158" s="21" t="inlineStr">
        <is>
          <t>Продажа</t>
        </is>
      </c>
      <c r="B158" s="21" t="inlineStr">
        <is>
          <t>Коммерческая</t>
        </is>
      </c>
      <c r="C158" s="21" t="inlineStr">
        <is>
          <t>Офис</t>
        </is>
      </c>
      <c r="D158" s="21" t="inlineStr">
        <is>
          <t>Омск</t>
        </is>
      </c>
      <c r="E158" s="22" t="n">
        <v>765</v>
      </c>
      <c r="F158" s="22" t="n">
        <v>286</v>
      </c>
      <c r="G158" s="22" t="n">
        <v>161</v>
      </c>
      <c r="H158" s="22" t="n">
        <v>53</v>
      </c>
      <c r="I158" s="21" t="inlineStr">
        <is>
          <t>Цена зависит от стоимости объекта</t>
        </is>
      </c>
      <c r="J158" s="23" t="inlineStr">
        <is>
          <t>2026-06-10</t>
        </is>
      </c>
    </row>
    <row r="159">
      <c r="A159" s="21" t="inlineStr">
        <is>
          <t>Продажа</t>
        </is>
      </c>
      <c r="B159" s="21" t="inlineStr">
        <is>
          <t>Коммерческая</t>
        </is>
      </c>
      <c r="C159" s="21" t="inlineStr">
        <is>
          <t>Офис</t>
        </is>
      </c>
      <c r="D159" s="21" t="inlineStr">
        <is>
          <t>Воронеж</t>
        </is>
      </c>
      <c r="E159" s="22" t="n">
        <v>159</v>
      </c>
      <c r="F159" s="24" t="inlineStr">
        <is>
          <t>—</t>
        </is>
      </c>
      <c r="G159" s="24" t="inlineStr">
        <is>
          <t>—</t>
        </is>
      </c>
      <c r="H159" s="24" t="inlineStr">
        <is>
          <t>—</t>
        </is>
      </c>
      <c r="I159" s="21" t="inlineStr">
        <is>
          <t>Цена зависит от стоимости объекта</t>
        </is>
      </c>
      <c r="J159" s="23" t="inlineStr">
        <is>
          <t>2026-06-10</t>
        </is>
      </c>
    </row>
    <row r="160">
      <c r="A160" s="21" t="inlineStr">
        <is>
          <t>Продажа</t>
        </is>
      </c>
      <c r="B160" s="21" t="inlineStr">
        <is>
          <t>Коммерческая</t>
        </is>
      </c>
      <c r="C160" s="21" t="inlineStr">
        <is>
          <t>Офис</t>
        </is>
      </c>
      <c r="D160" s="21" t="inlineStr">
        <is>
          <t>Пермь</t>
        </is>
      </c>
      <c r="E160" s="22" t="n">
        <v>111</v>
      </c>
      <c r="F160" s="24" t="inlineStr">
        <is>
          <t>—</t>
        </is>
      </c>
      <c r="G160" s="24" t="inlineStr">
        <is>
          <t>—</t>
        </is>
      </c>
      <c r="H160" s="24" t="inlineStr">
        <is>
          <t>—</t>
        </is>
      </c>
      <c r="I160" s="21" t="inlineStr">
        <is>
          <t>Цена зависит от стоимости объекта</t>
        </is>
      </c>
      <c r="J160" s="23" t="inlineStr">
        <is>
          <t>2026-06-10</t>
        </is>
      </c>
    </row>
    <row r="161">
      <c r="A161" s="21" t="inlineStr">
        <is>
          <t>Продажа</t>
        </is>
      </c>
      <c r="B161" s="21" t="inlineStr">
        <is>
          <t>Коммерческая</t>
        </is>
      </c>
      <c r="C161" s="21" t="inlineStr">
        <is>
          <t>Офис</t>
        </is>
      </c>
      <c r="D161" s="21" t="inlineStr">
        <is>
          <t>Волгоград</t>
        </is>
      </c>
      <c r="E161" s="22" t="n">
        <v>642</v>
      </c>
      <c r="F161" s="24" t="inlineStr">
        <is>
          <t>—</t>
        </is>
      </c>
      <c r="G161" s="24" t="inlineStr">
        <is>
          <t>—</t>
        </is>
      </c>
      <c r="H161" s="24" t="inlineStr">
        <is>
          <t>—</t>
        </is>
      </c>
      <c r="I161" s="21" t="inlineStr">
        <is>
          <t>Цена зависит от стоимости объекта</t>
        </is>
      </c>
      <c r="J161" s="23" t="inlineStr">
        <is>
          <t>2026-06-10</t>
        </is>
      </c>
    </row>
    <row r="162">
      <c r="A162" s="21" t="inlineStr">
        <is>
          <t>Продажа</t>
        </is>
      </c>
      <c r="B162" s="21" t="inlineStr">
        <is>
          <t>Коммерческая</t>
        </is>
      </c>
      <c r="C162" s="21" t="inlineStr">
        <is>
          <t>Здание</t>
        </is>
      </c>
      <c r="D162" s="21" t="inlineStr">
        <is>
          <t>Москва</t>
        </is>
      </c>
      <c r="E162" s="22" t="n">
        <v>3420</v>
      </c>
      <c r="F162" s="22" t="n">
        <v>1045</v>
      </c>
      <c r="G162" s="22" t="n">
        <v>409</v>
      </c>
      <c r="H162" s="22" t="n">
        <v>136</v>
      </c>
      <c r="I162" s="21" t="inlineStr">
        <is>
          <t>Цена зависит от стоимости объекта</t>
        </is>
      </c>
      <c r="J162" s="23" t="inlineStr">
        <is>
          <t>2026-06-10</t>
        </is>
      </c>
    </row>
    <row r="163">
      <c r="A163" s="21" t="inlineStr">
        <is>
          <t>Продажа</t>
        </is>
      </c>
      <c r="B163" s="21" t="inlineStr">
        <is>
          <t>Коммерческая</t>
        </is>
      </c>
      <c r="C163" s="21" t="inlineStr">
        <is>
          <t>Здание</t>
        </is>
      </c>
      <c r="D163" s="21" t="inlineStr">
        <is>
          <t>Санкт-Петербург</t>
        </is>
      </c>
      <c r="E163" s="22" t="n">
        <v>1830</v>
      </c>
      <c r="F163" s="22" t="n">
        <v>557</v>
      </c>
      <c r="G163" s="22" t="n">
        <v>246</v>
      </c>
      <c r="H163" s="22" t="n">
        <v>76</v>
      </c>
      <c r="I163" s="21" t="inlineStr">
        <is>
          <t>Цена зависит от стоимости объекта</t>
        </is>
      </c>
      <c r="J163" s="23" t="inlineStr">
        <is>
          <t>2026-06-10</t>
        </is>
      </c>
    </row>
    <row r="164">
      <c r="A164" s="21" t="inlineStr">
        <is>
          <t>Продажа</t>
        </is>
      </c>
      <c r="B164" s="21" t="inlineStr">
        <is>
          <t>Коммерческая</t>
        </is>
      </c>
      <c r="C164" s="21" t="inlineStr">
        <is>
          <t>Здание</t>
        </is>
      </c>
      <c r="D164" s="21" t="inlineStr">
        <is>
          <t>Новосибирск</t>
        </is>
      </c>
      <c r="E164" s="22" t="n">
        <v>1263</v>
      </c>
      <c r="F164" s="22" t="n">
        <v>385</v>
      </c>
      <c r="G164" s="22" t="n">
        <v>171</v>
      </c>
      <c r="H164" s="22" t="n">
        <v>52</v>
      </c>
      <c r="I164" s="21" t="inlineStr">
        <is>
          <t>Цена зависит от стоимости объекта</t>
        </is>
      </c>
      <c r="J164" s="23" t="inlineStr">
        <is>
          <t>2026-06-10</t>
        </is>
      </c>
    </row>
    <row r="165">
      <c r="A165" s="21" t="inlineStr">
        <is>
          <t>Продажа</t>
        </is>
      </c>
      <c r="B165" s="21" t="inlineStr">
        <is>
          <t>Коммерческая</t>
        </is>
      </c>
      <c r="C165" s="21" t="inlineStr">
        <is>
          <t>Здание</t>
        </is>
      </c>
      <c r="D165" s="21" t="inlineStr">
        <is>
          <t>Екатеринбург</t>
        </is>
      </c>
      <c r="E165" s="22" t="n">
        <v>1122</v>
      </c>
      <c r="F165" s="22" t="n">
        <v>418</v>
      </c>
      <c r="G165" s="22" t="n">
        <v>222</v>
      </c>
      <c r="H165" s="22" t="n">
        <v>69</v>
      </c>
      <c r="I165" s="21" t="inlineStr">
        <is>
          <t>Цена зависит от стоимости объекта</t>
        </is>
      </c>
      <c r="J165" s="23" t="inlineStr">
        <is>
          <t>2026-06-10</t>
        </is>
      </c>
    </row>
    <row r="166">
      <c r="A166" s="21" t="inlineStr">
        <is>
          <t>Продажа</t>
        </is>
      </c>
      <c r="B166" s="21" t="inlineStr">
        <is>
          <t>Коммерческая</t>
        </is>
      </c>
      <c r="C166" s="21" t="inlineStr">
        <is>
          <t>Здание</t>
        </is>
      </c>
      <c r="D166" s="21" t="inlineStr">
        <is>
          <t>Казань</t>
        </is>
      </c>
      <c r="E166" s="22" t="n">
        <v>609</v>
      </c>
      <c r="F166" s="22" t="n">
        <v>161</v>
      </c>
      <c r="G166" s="22" t="n">
        <v>68</v>
      </c>
      <c r="H166" s="22" t="n">
        <v>22</v>
      </c>
      <c r="I166" s="21" t="inlineStr">
        <is>
          <t>Цена зависит от стоимости объекта</t>
        </is>
      </c>
      <c r="J166" s="23" t="inlineStr">
        <is>
          <t>2026-06-10</t>
        </is>
      </c>
    </row>
    <row r="167">
      <c r="A167" s="21" t="inlineStr">
        <is>
          <t>Продажа</t>
        </is>
      </c>
      <c r="B167" s="21" t="inlineStr">
        <is>
          <t>Коммерческая</t>
        </is>
      </c>
      <c r="C167" s="21" t="inlineStr">
        <is>
          <t>Здание</t>
        </is>
      </c>
      <c r="D167" s="21" t="inlineStr">
        <is>
          <t>Красноярск</t>
        </is>
      </c>
      <c r="E167" s="22" t="n">
        <v>666</v>
      </c>
      <c r="F167" s="24" t="inlineStr">
        <is>
          <t>—</t>
        </is>
      </c>
      <c r="G167" s="24" t="inlineStr">
        <is>
          <t>—</t>
        </is>
      </c>
      <c r="H167" s="24" t="inlineStr">
        <is>
          <t>—</t>
        </is>
      </c>
      <c r="I167" s="21" t="inlineStr">
        <is>
          <t>Цена зависит от стоимости объекта</t>
        </is>
      </c>
      <c r="J167" s="23" t="inlineStr">
        <is>
          <t>2026-06-10</t>
        </is>
      </c>
    </row>
    <row r="168">
      <c r="A168" s="21" t="inlineStr">
        <is>
          <t>Продажа</t>
        </is>
      </c>
      <c r="B168" s="21" t="inlineStr">
        <is>
          <t>Коммерческая</t>
        </is>
      </c>
      <c r="C168" s="21" t="inlineStr">
        <is>
          <t>Здание</t>
        </is>
      </c>
      <c r="D168" s="21" t="inlineStr">
        <is>
          <t>Нижний Новгород</t>
        </is>
      </c>
      <c r="E168" s="22" t="n">
        <v>294</v>
      </c>
      <c r="F168" s="22" t="n">
        <v>143</v>
      </c>
      <c r="G168" s="22" t="n">
        <v>63</v>
      </c>
      <c r="H168" s="22" t="n">
        <v>18</v>
      </c>
      <c r="I168" s="21" t="inlineStr">
        <is>
          <t>Цена зависит от стоимости объекта</t>
        </is>
      </c>
      <c r="J168" s="23" t="inlineStr">
        <is>
          <t>2026-06-10</t>
        </is>
      </c>
    </row>
    <row r="169">
      <c r="A169" s="21" t="inlineStr">
        <is>
          <t>Продажа</t>
        </is>
      </c>
      <c r="B169" s="21" t="inlineStr">
        <is>
          <t>Коммерческая</t>
        </is>
      </c>
      <c r="C169" s="21" t="inlineStr">
        <is>
          <t>Здание</t>
        </is>
      </c>
      <c r="D169" s="21" t="inlineStr">
        <is>
          <t>Челябинск</t>
        </is>
      </c>
      <c r="E169" s="22" t="n">
        <v>540</v>
      </c>
      <c r="F169" s="22" t="n">
        <v>221</v>
      </c>
      <c r="G169" s="22" t="n">
        <v>107</v>
      </c>
      <c r="H169" s="22" t="n">
        <v>31</v>
      </c>
      <c r="I169" s="21" t="inlineStr">
        <is>
          <t>Цена зависит от стоимости объекта</t>
        </is>
      </c>
      <c r="J169" s="23" t="inlineStr">
        <is>
          <t>2026-06-10</t>
        </is>
      </c>
    </row>
    <row r="170">
      <c r="A170" s="21" t="inlineStr">
        <is>
          <t>Продажа</t>
        </is>
      </c>
      <c r="B170" s="21" t="inlineStr">
        <is>
          <t>Коммерческая</t>
        </is>
      </c>
      <c r="C170" s="21" t="inlineStr">
        <is>
          <t>Здание</t>
        </is>
      </c>
      <c r="D170" s="21" t="inlineStr">
        <is>
          <t>Уфа</t>
        </is>
      </c>
      <c r="E170" s="22" t="n">
        <v>720</v>
      </c>
      <c r="F170" s="22" t="n">
        <v>134</v>
      </c>
      <c r="G170" s="22" t="n">
        <v>58</v>
      </c>
      <c r="H170" s="22" t="n">
        <v>18</v>
      </c>
      <c r="I170" s="21" t="inlineStr">
        <is>
          <t>Цена зависит от стоимости объекта</t>
        </is>
      </c>
      <c r="J170" s="23" t="inlineStr">
        <is>
          <t>2026-06-10</t>
        </is>
      </c>
    </row>
    <row r="171">
      <c r="A171" s="21" t="inlineStr">
        <is>
          <t>Продажа</t>
        </is>
      </c>
      <c r="B171" s="21" t="inlineStr">
        <is>
          <t>Коммерческая</t>
        </is>
      </c>
      <c r="C171" s="21" t="inlineStr">
        <is>
          <t>Здание</t>
        </is>
      </c>
      <c r="D171" s="21" t="inlineStr">
        <is>
          <t>Краснодар</t>
        </is>
      </c>
      <c r="E171" s="22" t="n">
        <v>534</v>
      </c>
      <c r="F171" s="22" t="n">
        <v>152</v>
      </c>
      <c r="G171" s="22" t="n">
        <v>64</v>
      </c>
      <c r="H171" s="22" t="n">
        <v>21</v>
      </c>
      <c r="I171" s="21" t="inlineStr">
        <is>
          <t>Цена зависит от стоимости объекта</t>
        </is>
      </c>
      <c r="J171" s="23" t="inlineStr">
        <is>
          <t>2026-06-10</t>
        </is>
      </c>
    </row>
    <row r="172">
      <c r="A172" s="21" t="inlineStr">
        <is>
          <t>Продажа</t>
        </is>
      </c>
      <c r="B172" s="21" t="inlineStr">
        <is>
          <t>Коммерческая</t>
        </is>
      </c>
      <c r="C172" s="21" t="inlineStr">
        <is>
          <t>Здание</t>
        </is>
      </c>
      <c r="D172" s="21" t="inlineStr">
        <is>
          <t>Самара</t>
        </is>
      </c>
      <c r="E172" s="22" t="n">
        <v>333</v>
      </c>
      <c r="F172" s="24" t="inlineStr">
        <is>
          <t>—</t>
        </is>
      </c>
      <c r="G172" s="24" t="inlineStr">
        <is>
          <t>—</t>
        </is>
      </c>
      <c r="H172" s="24" t="inlineStr">
        <is>
          <t>—</t>
        </is>
      </c>
      <c r="I172" s="21" t="inlineStr">
        <is>
          <t>Цена зависит от стоимости объекта</t>
        </is>
      </c>
      <c r="J172" s="23" t="inlineStr">
        <is>
          <t>2026-06-10</t>
        </is>
      </c>
    </row>
    <row r="173">
      <c r="A173" s="21" t="inlineStr">
        <is>
          <t>Продажа</t>
        </is>
      </c>
      <c r="B173" s="21" t="inlineStr">
        <is>
          <t>Коммерческая</t>
        </is>
      </c>
      <c r="C173" s="21" t="inlineStr">
        <is>
          <t>Здание</t>
        </is>
      </c>
      <c r="D173" s="21" t="inlineStr">
        <is>
          <t>Ростов-на-Дону</t>
        </is>
      </c>
      <c r="E173" s="22" t="n">
        <v>390</v>
      </c>
      <c r="F173" s="22" t="n">
        <v>117</v>
      </c>
      <c r="G173" s="22" t="n">
        <v>52</v>
      </c>
      <c r="H173" s="22" t="n">
        <v>15</v>
      </c>
      <c r="I173" s="21" t="inlineStr">
        <is>
          <t>Цена зависит от стоимости объекта</t>
        </is>
      </c>
      <c r="J173" s="23" t="inlineStr">
        <is>
          <t>2026-06-10</t>
        </is>
      </c>
    </row>
    <row r="174">
      <c r="A174" s="21" t="inlineStr">
        <is>
          <t>Продажа</t>
        </is>
      </c>
      <c r="B174" s="21" t="inlineStr">
        <is>
          <t>Коммерческая</t>
        </is>
      </c>
      <c r="C174" s="21" t="inlineStr">
        <is>
          <t>Здание</t>
        </is>
      </c>
      <c r="D174" s="21" t="inlineStr">
        <is>
          <t>Омск</t>
        </is>
      </c>
      <c r="E174" s="22" t="n">
        <v>918</v>
      </c>
      <c r="F174" s="22" t="n">
        <v>327</v>
      </c>
      <c r="G174" s="22" t="n">
        <v>186</v>
      </c>
      <c r="H174" s="22" t="n">
        <v>63</v>
      </c>
      <c r="I174" s="21" t="inlineStr">
        <is>
          <t>Цена зависит от стоимости объекта</t>
        </is>
      </c>
      <c r="J174" s="23" t="inlineStr">
        <is>
          <t>2026-06-10</t>
        </is>
      </c>
    </row>
    <row r="175">
      <c r="A175" s="21" t="inlineStr">
        <is>
          <t>Продажа</t>
        </is>
      </c>
      <c r="B175" s="21" t="inlineStr">
        <is>
          <t>Коммерческая</t>
        </is>
      </c>
      <c r="C175" s="21" t="inlineStr">
        <is>
          <t>Здание</t>
        </is>
      </c>
      <c r="D175" s="21" t="inlineStr">
        <is>
          <t>Воронеж</t>
        </is>
      </c>
      <c r="E175" s="22" t="n">
        <v>171</v>
      </c>
      <c r="F175" s="24" t="inlineStr">
        <is>
          <t>—</t>
        </is>
      </c>
      <c r="G175" s="24" t="inlineStr">
        <is>
          <t>—</t>
        </is>
      </c>
      <c r="H175" s="24" t="inlineStr">
        <is>
          <t>—</t>
        </is>
      </c>
      <c r="I175" s="21" t="inlineStr">
        <is>
          <t>Цена зависит от стоимости объекта</t>
        </is>
      </c>
      <c r="J175" s="23" t="inlineStr">
        <is>
          <t>2026-06-10</t>
        </is>
      </c>
    </row>
    <row r="176">
      <c r="A176" s="21" t="inlineStr">
        <is>
          <t>Продажа</t>
        </is>
      </c>
      <c r="B176" s="21" t="inlineStr">
        <is>
          <t>Коммерческая</t>
        </is>
      </c>
      <c r="C176" s="21" t="inlineStr">
        <is>
          <t>Здание</t>
        </is>
      </c>
      <c r="D176" s="21" t="inlineStr">
        <is>
          <t>Пермь</t>
        </is>
      </c>
      <c r="E176" s="22" t="n">
        <v>120</v>
      </c>
      <c r="F176" s="24" t="inlineStr">
        <is>
          <t>—</t>
        </is>
      </c>
      <c r="G176" s="24" t="inlineStr">
        <is>
          <t>—</t>
        </is>
      </c>
      <c r="H176" s="24" t="inlineStr">
        <is>
          <t>—</t>
        </is>
      </c>
      <c r="I176" s="21" t="inlineStr">
        <is>
          <t>Цена зависит от стоимости объекта</t>
        </is>
      </c>
      <c r="J176" s="23" t="inlineStr">
        <is>
          <t>2026-06-10</t>
        </is>
      </c>
    </row>
    <row r="177">
      <c r="A177" s="21" t="inlineStr">
        <is>
          <t>Продажа</t>
        </is>
      </c>
      <c r="B177" s="21" t="inlineStr">
        <is>
          <t>Коммерческая</t>
        </is>
      </c>
      <c r="C177" s="21" t="inlineStr">
        <is>
          <t>Здание</t>
        </is>
      </c>
      <c r="D177" s="21" t="inlineStr">
        <is>
          <t>Волгоград</t>
        </is>
      </c>
      <c r="E177" s="22" t="n">
        <v>681</v>
      </c>
      <c r="F177" s="24" t="inlineStr">
        <is>
          <t>—</t>
        </is>
      </c>
      <c r="G177" s="24" t="inlineStr">
        <is>
          <t>—</t>
        </is>
      </c>
      <c r="H177" s="24" t="inlineStr">
        <is>
          <t>—</t>
        </is>
      </c>
      <c r="I177" s="21" t="inlineStr">
        <is>
          <t>Цена зависит от стоимости объекта</t>
        </is>
      </c>
      <c r="J177" s="23" t="inlineStr">
        <is>
          <t>2026-06-10</t>
        </is>
      </c>
    </row>
    <row r="178">
      <c r="A178" s="21" t="inlineStr">
        <is>
          <t>Продажа</t>
        </is>
      </c>
      <c r="B178" s="21" t="inlineStr">
        <is>
          <t>Коммерческая</t>
        </is>
      </c>
      <c r="C178" s="21" t="inlineStr">
        <is>
          <t>Торговая площадь</t>
        </is>
      </c>
      <c r="D178" s="21" t="inlineStr">
        <is>
          <t>Москва</t>
        </is>
      </c>
      <c r="E178" s="22" t="n">
        <v>1620</v>
      </c>
      <c r="F178" s="22" t="n">
        <v>1090</v>
      </c>
      <c r="G178" s="22" t="n">
        <v>429</v>
      </c>
      <c r="H178" s="22" t="n">
        <v>219</v>
      </c>
      <c r="I178" s="21" t="inlineStr">
        <is>
          <t>Цена зависит от стоимости объекта</t>
        </is>
      </c>
      <c r="J178" s="23" t="inlineStr">
        <is>
          <t>2026-06-10</t>
        </is>
      </c>
    </row>
    <row r="179">
      <c r="A179" s="21" t="inlineStr">
        <is>
          <t>Продажа</t>
        </is>
      </c>
      <c r="B179" s="21" t="inlineStr">
        <is>
          <t>Коммерческая</t>
        </is>
      </c>
      <c r="C179" s="21" t="inlineStr">
        <is>
          <t>Торговая площадь</t>
        </is>
      </c>
      <c r="D179" s="21" t="inlineStr">
        <is>
          <t>Санкт-Петербург</t>
        </is>
      </c>
      <c r="E179" s="22" t="n">
        <v>720</v>
      </c>
      <c r="F179" s="22" t="n">
        <v>563</v>
      </c>
      <c r="G179" s="22" t="n">
        <v>237</v>
      </c>
      <c r="H179" s="22" t="n">
        <v>74</v>
      </c>
      <c r="I179" s="21" t="inlineStr">
        <is>
          <t>Цена зависит от стоимости объекта</t>
        </is>
      </c>
      <c r="J179" s="23" t="inlineStr">
        <is>
          <t>2026-06-10</t>
        </is>
      </c>
    </row>
    <row r="180">
      <c r="A180" s="21" t="inlineStr">
        <is>
          <t>Продажа</t>
        </is>
      </c>
      <c r="B180" s="21" t="inlineStr">
        <is>
          <t>Коммерческая</t>
        </is>
      </c>
      <c r="C180" s="21" t="inlineStr">
        <is>
          <t>Торговая площадь</t>
        </is>
      </c>
      <c r="D180" s="21" t="inlineStr">
        <is>
          <t>Новосибирск</t>
        </is>
      </c>
      <c r="E180" s="22" t="n">
        <v>1263</v>
      </c>
      <c r="F180" s="22" t="n">
        <v>314</v>
      </c>
      <c r="G180" s="22" t="n">
        <v>145</v>
      </c>
      <c r="H180" s="22" t="n">
        <v>44</v>
      </c>
      <c r="I180" s="21" t="inlineStr">
        <is>
          <t>Цена зависит от стоимости объекта</t>
        </is>
      </c>
      <c r="J180" s="23" t="inlineStr">
        <is>
          <t>2026-06-10</t>
        </is>
      </c>
    </row>
    <row r="181">
      <c r="A181" s="21" t="inlineStr">
        <is>
          <t>Продажа</t>
        </is>
      </c>
      <c r="B181" s="21" t="inlineStr">
        <is>
          <t>Коммерческая</t>
        </is>
      </c>
      <c r="C181" s="21" t="inlineStr">
        <is>
          <t>Торговая площадь</t>
        </is>
      </c>
      <c r="D181" s="21" t="inlineStr">
        <is>
          <t>Екатеринбург</t>
        </is>
      </c>
      <c r="E181" s="22" t="n">
        <v>1122</v>
      </c>
      <c r="F181" s="22" t="n">
        <v>437</v>
      </c>
      <c r="G181" s="22" t="n">
        <v>231</v>
      </c>
      <c r="H181" s="22" t="n">
        <v>71</v>
      </c>
      <c r="I181" s="21" t="inlineStr">
        <is>
          <t>Цена зависит от стоимости объекта</t>
        </is>
      </c>
      <c r="J181" s="23" t="inlineStr">
        <is>
          <t>2026-06-10</t>
        </is>
      </c>
    </row>
    <row r="182">
      <c r="A182" s="21" t="inlineStr">
        <is>
          <t>Продажа</t>
        </is>
      </c>
      <c r="B182" s="21" t="inlineStr">
        <is>
          <t>Коммерческая</t>
        </is>
      </c>
      <c r="C182" s="21" t="inlineStr">
        <is>
          <t>Торговая площадь</t>
        </is>
      </c>
      <c r="D182" s="21" t="inlineStr">
        <is>
          <t>Казань</t>
        </is>
      </c>
      <c r="E182" s="22" t="n">
        <v>516</v>
      </c>
      <c r="F182" s="22" t="n">
        <v>149</v>
      </c>
      <c r="G182" s="22" t="n">
        <v>66</v>
      </c>
      <c r="H182" s="22" t="n">
        <v>20</v>
      </c>
      <c r="I182" s="21" t="inlineStr">
        <is>
          <t>Цена зависит от стоимости объекта</t>
        </is>
      </c>
      <c r="J182" s="23" t="inlineStr">
        <is>
          <t>2026-06-10</t>
        </is>
      </c>
    </row>
    <row r="183">
      <c r="A183" s="21" t="inlineStr">
        <is>
          <t>Продажа</t>
        </is>
      </c>
      <c r="B183" s="21" t="inlineStr">
        <is>
          <t>Коммерческая</t>
        </is>
      </c>
      <c r="C183" s="21" t="inlineStr">
        <is>
          <t>Торговая площадь</t>
        </is>
      </c>
      <c r="D183" s="21" t="inlineStr">
        <is>
          <t>Красноярск</t>
        </is>
      </c>
      <c r="E183" s="22" t="n">
        <v>642</v>
      </c>
      <c r="F183" s="24" t="inlineStr">
        <is>
          <t>—</t>
        </is>
      </c>
      <c r="G183" s="24" t="inlineStr">
        <is>
          <t>—</t>
        </is>
      </c>
      <c r="H183" s="24" t="inlineStr">
        <is>
          <t>—</t>
        </is>
      </c>
      <c r="I183" s="21" t="inlineStr">
        <is>
          <t>Цена зависит от стоимости объекта</t>
        </is>
      </c>
      <c r="J183" s="23" t="inlineStr">
        <is>
          <t>2026-06-10</t>
        </is>
      </c>
    </row>
    <row r="184">
      <c r="A184" s="21" t="inlineStr">
        <is>
          <t>Продажа</t>
        </is>
      </c>
      <c r="B184" s="21" t="inlineStr">
        <is>
          <t>Коммерческая</t>
        </is>
      </c>
      <c r="C184" s="21" t="inlineStr">
        <is>
          <t>Торговая площадь</t>
        </is>
      </c>
      <c r="D184" s="21" t="inlineStr">
        <is>
          <t>Нижний Новгород</t>
        </is>
      </c>
      <c r="E184" s="22" t="n">
        <v>294</v>
      </c>
      <c r="F184" s="22" t="n">
        <v>148</v>
      </c>
      <c r="G184" s="22" t="n">
        <v>66</v>
      </c>
      <c r="H184" s="22" t="n">
        <v>21</v>
      </c>
      <c r="I184" s="21" t="inlineStr">
        <is>
          <t>Цена зависит от стоимости объекта</t>
        </is>
      </c>
      <c r="J184" s="23" t="inlineStr">
        <is>
          <t>2026-06-10</t>
        </is>
      </c>
    </row>
    <row r="185">
      <c r="A185" s="21" t="inlineStr">
        <is>
          <t>Продажа</t>
        </is>
      </c>
      <c r="B185" s="21" t="inlineStr">
        <is>
          <t>Коммерческая</t>
        </is>
      </c>
      <c r="C185" s="21" t="inlineStr">
        <is>
          <t>Торговая площадь</t>
        </is>
      </c>
      <c r="D185" s="21" t="inlineStr">
        <is>
          <t>Челябинск</t>
        </is>
      </c>
      <c r="E185" s="22" t="n">
        <v>411</v>
      </c>
      <c r="F185" s="22" t="n">
        <v>265</v>
      </c>
      <c r="G185" s="22" t="n">
        <v>124</v>
      </c>
      <c r="H185" s="22" t="n">
        <v>39</v>
      </c>
      <c r="I185" s="21" t="inlineStr">
        <is>
          <t>Цена зависит от стоимости объекта</t>
        </is>
      </c>
      <c r="J185" s="23" t="inlineStr">
        <is>
          <t>2026-06-10</t>
        </is>
      </c>
    </row>
    <row r="186">
      <c r="A186" s="21" t="inlineStr">
        <is>
          <t>Продажа</t>
        </is>
      </c>
      <c r="B186" s="21" t="inlineStr">
        <is>
          <t>Коммерческая</t>
        </is>
      </c>
      <c r="C186" s="21" t="inlineStr">
        <is>
          <t>Торговая площадь</t>
        </is>
      </c>
      <c r="D186" s="21" t="inlineStr">
        <is>
          <t>Уфа</t>
        </is>
      </c>
      <c r="E186" s="22" t="n">
        <v>543</v>
      </c>
      <c r="F186" s="22" t="n">
        <v>142</v>
      </c>
      <c r="G186" s="22" t="n">
        <v>65</v>
      </c>
      <c r="H186" s="22" t="n">
        <v>21</v>
      </c>
      <c r="I186" s="21" t="inlineStr">
        <is>
          <t>Цена зависит от стоимости объекта</t>
        </is>
      </c>
      <c r="J186" s="23" t="inlineStr">
        <is>
          <t>2026-06-10</t>
        </is>
      </c>
    </row>
    <row r="187">
      <c r="A187" s="21" t="inlineStr">
        <is>
          <t>Продажа</t>
        </is>
      </c>
      <c r="B187" s="21" t="inlineStr">
        <is>
          <t>Коммерческая</t>
        </is>
      </c>
      <c r="C187" s="21" t="inlineStr">
        <is>
          <t>Торговая площадь</t>
        </is>
      </c>
      <c r="D187" s="21" t="inlineStr">
        <is>
          <t>Краснодар</t>
        </is>
      </c>
      <c r="E187" s="22" t="n">
        <v>369</v>
      </c>
      <c r="F187" s="22" t="n">
        <v>142</v>
      </c>
      <c r="G187" s="22" t="n">
        <v>65</v>
      </c>
      <c r="H187" s="22" t="n">
        <v>20</v>
      </c>
      <c r="I187" s="21" t="inlineStr">
        <is>
          <t>Цена зависит от стоимости объекта</t>
        </is>
      </c>
      <c r="J187" s="23" t="inlineStr">
        <is>
          <t>2026-06-10</t>
        </is>
      </c>
    </row>
    <row r="188">
      <c r="A188" s="21" t="inlineStr">
        <is>
          <t>Продажа</t>
        </is>
      </c>
      <c r="B188" s="21" t="inlineStr">
        <is>
          <t>Коммерческая</t>
        </is>
      </c>
      <c r="C188" s="21" t="inlineStr">
        <is>
          <t>Торговая площадь</t>
        </is>
      </c>
      <c r="D188" s="21" t="inlineStr">
        <is>
          <t>Самара</t>
        </is>
      </c>
      <c r="E188" s="22" t="n">
        <v>234</v>
      </c>
      <c r="F188" s="24" t="inlineStr">
        <is>
          <t>—</t>
        </is>
      </c>
      <c r="G188" s="24" t="inlineStr">
        <is>
          <t>—</t>
        </is>
      </c>
      <c r="H188" s="24" t="inlineStr">
        <is>
          <t>—</t>
        </is>
      </c>
      <c r="I188" s="21" t="inlineStr">
        <is>
          <t>Цена зависит от стоимости объекта</t>
        </is>
      </c>
      <c r="J188" s="23" t="inlineStr">
        <is>
          <t>2026-06-10</t>
        </is>
      </c>
    </row>
    <row r="189">
      <c r="A189" s="21" t="inlineStr">
        <is>
          <t>Продажа</t>
        </is>
      </c>
      <c r="B189" s="21" t="inlineStr">
        <is>
          <t>Коммерческая</t>
        </is>
      </c>
      <c r="C189" s="21" t="inlineStr">
        <is>
          <t>Торговая площадь</t>
        </is>
      </c>
      <c r="D189" s="21" t="inlineStr">
        <is>
          <t>Ростов-на-Дону</t>
        </is>
      </c>
      <c r="E189" s="22" t="n">
        <v>438</v>
      </c>
      <c r="F189" s="22" t="n">
        <v>128</v>
      </c>
      <c r="G189" s="22" t="n">
        <v>54</v>
      </c>
      <c r="H189" s="22" t="n">
        <v>15</v>
      </c>
      <c r="I189" s="21" t="inlineStr">
        <is>
          <t>Цена зависит от стоимости объекта</t>
        </is>
      </c>
      <c r="J189" s="23" t="inlineStr">
        <is>
          <t>2026-06-10</t>
        </is>
      </c>
    </row>
    <row r="190">
      <c r="A190" s="21" t="inlineStr">
        <is>
          <t>Продажа</t>
        </is>
      </c>
      <c r="B190" s="21" t="inlineStr">
        <is>
          <t>Коммерческая</t>
        </is>
      </c>
      <c r="C190" s="21" t="inlineStr">
        <is>
          <t>Торговая площадь</t>
        </is>
      </c>
      <c r="D190" s="21" t="inlineStr">
        <is>
          <t>Омск</t>
        </is>
      </c>
      <c r="E190" s="22" t="n">
        <v>294</v>
      </c>
      <c r="F190" s="22" t="n">
        <v>356</v>
      </c>
      <c r="G190" s="22" t="n">
        <v>194</v>
      </c>
      <c r="H190" s="22" t="n">
        <v>66</v>
      </c>
      <c r="I190" s="21" t="inlineStr">
        <is>
          <t>Цена зависит от стоимости объекта</t>
        </is>
      </c>
      <c r="J190" s="23" t="inlineStr">
        <is>
          <t>2026-06-10</t>
        </is>
      </c>
    </row>
    <row r="191">
      <c r="A191" s="21" t="inlineStr">
        <is>
          <t>Продажа</t>
        </is>
      </c>
      <c r="B191" s="21" t="inlineStr">
        <is>
          <t>Коммерческая</t>
        </is>
      </c>
      <c r="C191" s="21" t="inlineStr">
        <is>
          <t>Торговая площадь</t>
        </is>
      </c>
      <c r="D191" s="21" t="inlineStr">
        <is>
          <t>Воронеж</t>
        </is>
      </c>
      <c r="E191" s="22" t="n">
        <v>159</v>
      </c>
      <c r="F191" s="24" t="inlineStr">
        <is>
          <t>—</t>
        </is>
      </c>
      <c r="G191" s="24" t="inlineStr">
        <is>
          <t>—</t>
        </is>
      </c>
      <c r="H191" s="24" t="inlineStr">
        <is>
          <t>—</t>
        </is>
      </c>
      <c r="I191" s="21" t="inlineStr">
        <is>
          <t>Цена зависит от стоимости объекта</t>
        </is>
      </c>
      <c r="J191" s="23" t="inlineStr">
        <is>
          <t>2026-06-10</t>
        </is>
      </c>
    </row>
    <row r="192">
      <c r="A192" s="21" t="inlineStr">
        <is>
          <t>Продажа</t>
        </is>
      </c>
      <c r="B192" s="21" t="inlineStr">
        <is>
          <t>Коммерческая</t>
        </is>
      </c>
      <c r="C192" s="21" t="inlineStr">
        <is>
          <t>Торговая площадь</t>
        </is>
      </c>
      <c r="D192" s="21" t="inlineStr">
        <is>
          <t>Пермь</t>
        </is>
      </c>
      <c r="E192" s="22" t="n">
        <v>39</v>
      </c>
      <c r="F192" s="24" t="inlineStr">
        <is>
          <t>—</t>
        </is>
      </c>
      <c r="G192" s="24" t="inlineStr">
        <is>
          <t>—</t>
        </is>
      </c>
      <c r="H192" s="24" t="inlineStr">
        <is>
          <t>—</t>
        </is>
      </c>
      <c r="I192" s="21" t="inlineStr">
        <is>
          <t>Цена зависит от стоимости объекта</t>
        </is>
      </c>
      <c r="J192" s="23" t="inlineStr">
        <is>
          <t>2026-06-10</t>
        </is>
      </c>
    </row>
    <row r="193">
      <c r="A193" s="21" t="inlineStr">
        <is>
          <t>Продажа</t>
        </is>
      </c>
      <c r="B193" s="21" t="inlineStr">
        <is>
          <t>Коммерческая</t>
        </is>
      </c>
      <c r="C193" s="21" t="inlineStr">
        <is>
          <t>Торговая площадь</t>
        </is>
      </c>
      <c r="D193" s="21" t="inlineStr">
        <is>
          <t>Волгоград</t>
        </is>
      </c>
      <c r="E193" s="22" t="n">
        <v>543</v>
      </c>
      <c r="F193" s="24" t="inlineStr">
        <is>
          <t>—</t>
        </is>
      </c>
      <c r="G193" s="24" t="inlineStr">
        <is>
          <t>—</t>
        </is>
      </c>
      <c r="H193" s="24" t="inlineStr">
        <is>
          <t>—</t>
        </is>
      </c>
      <c r="I193" s="21" t="inlineStr">
        <is>
          <t>Цена зависит от стоимости объекта</t>
        </is>
      </c>
      <c r="J193" s="23" t="inlineStr">
        <is>
          <t>2026-06-10</t>
        </is>
      </c>
    </row>
    <row r="194">
      <c r="A194" s="21" t="inlineStr">
        <is>
          <t>Продажа</t>
        </is>
      </c>
      <c r="B194" s="21" t="inlineStr">
        <is>
          <t>Коммерческая</t>
        </is>
      </c>
      <c r="C194" s="21" t="inlineStr">
        <is>
          <t>Предприятие сферы услуг</t>
        </is>
      </c>
      <c r="D194" s="21" t="inlineStr">
        <is>
          <t>Москва</t>
        </is>
      </c>
      <c r="E194" s="22" t="n">
        <v>3420</v>
      </c>
      <c r="F194" s="22" t="n">
        <v>1090</v>
      </c>
      <c r="G194" s="22" t="n">
        <v>450</v>
      </c>
      <c r="H194" s="22" t="n">
        <v>372</v>
      </c>
      <c r="I194" s="21" t="inlineStr">
        <is>
          <t>Цена зависит от стоимости объекта</t>
        </is>
      </c>
      <c r="J194" s="23" t="inlineStr">
        <is>
          <t>2026-06-10</t>
        </is>
      </c>
    </row>
    <row r="195">
      <c r="A195" s="21" t="inlineStr">
        <is>
          <t>Продажа</t>
        </is>
      </c>
      <c r="B195" s="21" t="inlineStr">
        <is>
          <t>Коммерческая</t>
        </is>
      </c>
      <c r="C195" s="21" t="inlineStr">
        <is>
          <t>Предприятие сферы услуг</t>
        </is>
      </c>
      <c r="D195" s="21" t="inlineStr">
        <is>
          <t>Санкт-Петербург</t>
        </is>
      </c>
      <c r="E195" s="22" t="n">
        <v>1893</v>
      </c>
      <c r="F195" s="22" t="n">
        <v>662</v>
      </c>
      <c r="G195" s="22" t="n">
        <v>280</v>
      </c>
      <c r="H195" s="22" t="n">
        <v>87</v>
      </c>
      <c r="I195" s="21" t="inlineStr">
        <is>
          <t>Цена зависит от стоимости объекта</t>
        </is>
      </c>
      <c r="J195" s="23" t="inlineStr">
        <is>
          <t>2026-06-10</t>
        </is>
      </c>
    </row>
    <row r="196">
      <c r="A196" s="21" t="inlineStr">
        <is>
          <t>Продажа</t>
        </is>
      </c>
      <c r="B196" s="21" t="inlineStr">
        <is>
          <t>Коммерческая</t>
        </is>
      </c>
      <c r="C196" s="21" t="inlineStr">
        <is>
          <t>Предприятие сферы услуг</t>
        </is>
      </c>
      <c r="D196" s="21" t="inlineStr">
        <is>
          <t>Новосибирск</t>
        </is>
      </c>
      <c r="E196" s="22" t="n">
        <v>1530</v>
      </c>
      <c r="F196" s="22" t="n">
        <v>419</v>
      </c>
      <c r="G196" s="22" t="n">
        <v>190</v>
      </c>
      <c r="H196" s="22" t="n">
        <v>56</v>
      </c>
      <c r="I196" s="21" t="inlineStr">
        <is>
          <t>Цена зависит от стоимости объекта</t>
        </is>
      </c>
      <c r="J196" s="23" t="inlineStr">
        <is>
          <t>2026-06-10</t>
        </is>
      </c>
    </row>
    <row r="197">
      <c r="A197" s="21" t="inlineStr">
        <is>
          <t>Продажа</t>
        </is>
      </c>
      <c r="B197" s="21" t="inlineStr">
        <is>
          <t>Коммерческая</t>
        </is>
      </c>
      <c r="C197" s="21" t="inlineStr">
        <is>
          <t>Предприятие сферы услуг</t>
        </is>
      </c>
      <c r="D197" s="21" t="inlineStr">
        <is>
          <t>Екатеринбург</t>
        </is>
      </c>
      <c r="E197" s="22" t="n">
        <v>1230</v>
      </c>
      <c r="F197" s="22" t="n">
        <v>566</v>
      </c>
      <c r="G197" s="22" t="n">
        <v>278</v>
      </c>
      <c r="H197" s="22" t="n">
        <v>84</v>
      </c>
      <c r="I197" s="21" t="inlineStr">
        <is>
          <t>Цена зависит от стоимости объекта</t>
        </is>
      </c>
      <c r="J197" s="23" t="inlineStr">
        <is>
          <t>2026-06-10</t>
        </is>
      </c>
    </row>
    <row r="198">
      <c r="A198" s="21" t="inlineStr">
        <is>
          <t>Продажа</t>
        </is>
      </c>
      <c r="B198" s="21" t="inlineStr">
        <is>
          <t>Коммерческая</t>
        </is>
      </c>
      <c r="C198" s="21" t="inlineStr">
        <is>
          <t>Предприятие сферы услуг</t>
        </is>
      </c>
      <c r="D198" s="21" t="inlineStr">
        <is>
          <t>Казань</t>
        </is>
      </c>
      <c r="E198" s="22" t="n">
        <v>609</v>
      </c>
      <c r="F198" s="22" t="n">
        <v>163</v>
      </c>
      <c r="G198" s="22" t="n">
        <v>68</v>
      </c>
      <c r="H198" s="22" t="n">
        <v>22</v>
      </c>
      <c r="I198" s="21" t="inlineStr">
        <is>
          <t>Цена зависит от стоимости объекта</t>
        </is>
      </c>
      <c r="J198" s="23" t="inlineStr">
        <is>
          <t>2026-06-10</t>
        </is>
      </c>
    </row>
    <row r="199">
      <c r="A199" s="21" t="inlineStr">
        <is>
          <t>Продажа</t>
        </is>
      </c>
      <c r="B199" s="21" t="inlineStr">
        <is>
          <t>Коммерческая</t>
        </is>
      </c>
      <c r="C199" s="21" t="inlineStr">
        <is>
          <t>Предприятие сферы услуг</t>
        </is>
      </c>
      <c r="D199" s="21" t="inlineStr">
        <is>
          <t>Красноярск</t>
        </is>
      </c>
      <c r="E199" s="22" t="n">
        <v>771</v>
      </c>
      <c r="F199" s="24" t="inlineStr">
        <is>
          <t>—</t>
        </is>
      </c>
      <c r="G199" s="24" t="inlineStr">
        <is>
          <t>—</t>
        </is>
      </c>
      <c r="H199" s="24" t="inlineStr">
        <is>
          <t>—</t>
        </is>
      </c>
      <c r="I199" s="21" t="inlineStr">
        <is>
          <t>Цена зависит от стоимости объекта</t>
        </is>
      </c>
      <c r="J199" s="23" t="inlineStr">
        <is>
          <t>2026-06-10</t>
        </is>
      </c>
    </row>
    <row r="200">
      <c r="A200" s="21" t="inlineStr">
        <is>
          <t>Продажа</t>
        </is>
      </c>
      <c r="B200" s="21" t="inlineStr">
        <is>
          <t>Коммерческая</t>
        </is>
      </c>
      <c r="C200" s="21" t="inlineStr">
        <is>
          <t>Предприятие сферы услуг</t>
        </is>
      </c>
      <c r="D200" s="21" t="inlineStr">
        <is>
          <t>Нижний Новгород</t>
        </is>
      </c>
      <c r="E200" s="22" t="n">
        <v>294</v>
      </c>
      <c r="F200" s="22" t="n">
        <v>162</v>
      </c>
      <c r="G200" s="22" t="n">
        <v>68</v>
      </c>
      <c r="H200" s="22" t="n">
        <v>21</v>
      </c>
      <c r="I200" s="21" t="inlineStr">
        <is>
          <t>Цена зависит от стоимости объекта</t>
        </is>
      </c>
      <c r="J200" s="23" t="inlineStr">
        <is>
          <t>2026-06-10</t>
        </is>
      </c>
    </row>
    <row r="201">
      <c r="A201" s="21" t="inlineStr">
        <is>
          <t>Продажа</t>
        </is>
      </c>
      <c r="B201" s="21" t="inlineStr">
        <is>
          <t>Коммерческая</t>
        </is>
      </c>
      <c r="C201" s="21" t="inlineStr">
        <is>
          <t>Предприятие сферы услуг</t>
        </is>
      </c>
      <c r="D201" s="21" t="inlineStr">
        <is>
          <t>Челябинск</t>
        </is>
      </c>
      <c r="E201" s="22" t="n">
        <v>585</v>
      </c>
      <c r="F201" s="22" t="n">
        <v>302</v>
      </c>
      <c r="G201" s="22" t="n">
        <v>136</v>
      </c>
      <c r="H201" s="22" t="n">
        <v>43</v>
      </c>
      <c r="I201" s="21" t="inlineStr">
        <is>
          <t>Цена зависит от стоимости объекта</t>
        </is>
      </c>
      <c r="J201" s="23" t="inlineStr">
        <is>
          <t>2026-06-10</t>
        </is>
      </c>
    </row>
    <row r="202">
      <c r="A202" s="21" t="inlineStr">
        <is>
          <t>Продажа</t>
        </is>
      </c>
      <c r="B202" s="21" t="inlineStr">
        <is>
          <t>Коммерческая</t>
        </is>
      </c>
      <c r="C202" s="21" t="inlineStr">
        <is>
          <t>Предприятие сферы услуг</t>
        </is>
      </c>
      <c r="D202" s="21" t="inlineStr">
        <is>
          <t>Уфа</t>
        </is>
      </c>
      <c r="E202" s="22" t="n">
        <v>720</v>
      </c>
      <c r="F202" s="22" t="n">
        <v>142</v>
      </c>
      <c r="G202" s="22" t="n">
        <v>65</v>
      </c>
      <c r="H202" s="22" t="n">
        <v>21</v>
      </c>
      <c r="I202" s="21" t="inlineStr">
        <is>
          <t>Цена зависит от стоимости объекта</t>
        </is>
      </c>
      <c r="J202" s="23" t="inlineStr">
        <is>
          <t>2026-06-10</t>
        </is>
      </c>
    </row>
    <row r="203">
      <c r="A203" s="21" t="inlineStr">
        <is>
          <t>Продажа</t>
        </is>
      </c>
      <c r="B203" s="21" t="inlineStr">
        <is>
          <t>Коммерческая</t>
        </is>
      </c>
      <c r="C203" s="21" t="inlineStr">
        <is>
          <t>Предприятие сферы услуг</t>
        </is>
      </c>
      <c r="D203" s="21" t="inlineStr">
        <is>
          <t>Краснодар</t>
        </is>
      </c>
      <c r="E203" s="22" t="n">
        <v>534</v>
      </c>
      <c r="F203" s="22" t="n">
        <v>176</v>
      </c>
      <c r="G203" s="22" t="n">
        <v>74</v>
      </c>
      <c r="H203" s="22" t="n">
        <v>24</v>
      </c>
      <c r="I203" s="21" t="inlineStr">
        <is>
          <t>Цена зависит от стоимости объекта</t>
        </is>
      </c>
      <c r="J203" s="23" t="inlineStr">
        <is>
          <t>2026-06-10</t>
        </is>
      </c>
    </row>
    <row r="204">
      <c r="A204" s="21" t="inlineStr">
        <is>
          <t>Продажа</t>
        </is>
      </c>
      <c r="B204" s="21" t="inlineStr">
        <is>
          <t>Коммерческая</t>
        </is>
      </c>
      <c r="C204" s="21" t="inlineStr">
        <is>
          <t>Предприятие сферы услуг</t>
        </is>
      </c>
      <c r="D204" s="21" t="inlineStr">
        <is>
          <t>Самара</t>
        </is>
      </c>
      <c r="E204" s="22" t="n">
        <v>456</v>
      </c>
      <c r="F204" s="24" t="inlineStr">
        <is>
          <t>—</t>
        </is>
      </c>
      <c r="G204" s="24" t="inlineStr">
        <is>
          <t>—</t>
        </is>
      </c>
      <c r="H204" s="24" t="inlineStr">
        <is>
          <t>—</t>
        </is>
      </c>
      <c r="I204" s="21" t="inlineStr">
        <is>
          <t>Цена зависит от стоимости объекта</t>
        </is>
      </c>
      <c r="J204" s="23" t="inlineStr">
        <is>
          <t>2026-06-10</t>
        </is>
      </c>
    </row>
    <row r="205">
      <c r="A205" s="21" t="inlineStr">
        <is>
          <t>Продажа</t>
        </is>
      </c>
      <c r="B205" s="21" t="inlineStr">
        <is>
          <t>Коммерческая</t>
        </is>
      </c>
      <c r="C205" s="21" t="inlineStr">
        <is>
          <t>Предприятие сферы услуг</t>
        </is>
      </c>
      <c r="D205" s="21" t="inlineStr">
        <is>
          <t>Ростов-на-Дону</t>
        </is>
      </c>
      <c r="E205" s="22" t="n">
        <v>456</v>
      </c>
      <c r="F205" s="22" t="n">
        <v>150</v>
      </c>
      <c r="G205" s="22" t="n">
        <v>62</v>
      </c>
      <c r="H205" s="22" t="n">
        <v>20</v>
      </c>
      <c r="I205" s="21" t="inlineStr">
        <is>
          <t>Цена зависит от стоимости объекта</t>
        </is>
      </c>
      <c r="J205" s="23" t="inlineStr">
        <is>
          <t>2026-06-10</t>
        </is>
      </c>
    </row>
    <row r="206">
      <c r="A206" s="21" t="inlineStr">
        <is>
          <t>Продажа</t>
        </is>
      </c>
      <c r="B206" s="21" t="inlineStr">
        <is>
          <t>Коммерческая</t>
        </is>
      </c>
      <c r="C206" s="21" t="inlineStr">
        <is>
          <t>Предприятие сферы услуг</t>
        </is>
      </c>
      <c r="D206" s="21" t="inlineStr">
        <is>
          <t>Омск</t>
        </is>
      </c>
      <c r="E206" s="22" t="n">
        <v>918</v>
      </c>
      <c r="F206" s="22" t="n">
        <v>371</v>
      </c>
      <c r="G206" s="22" t="n">
        <v>194</v>
      </c>
      <c r="H206" s="22" t="n">
        <v>66</v>
      </c>
      <c r="I206" s="21" t="inlineStr">
        <is>
          <t>Цена зависит от стоимости объекта</t>
        </is>
      </c>
      <c r="J206" s="23" t="inlineStr">
        <is>
          <t>2026-06-10</t>
        </is>
      </c>
    </row>
    <row r="207">
      <c r="A207" s="21" t="inlineStr">
        <is>
          <t>Продажа</t>
        </is>
      </c>
      <c r="B207" s="21" t="inlineStr">
        <is>
          <t>Коммерческая</t>
        </is>
      </c>
      <c r="C207" s="21" t="inlineStr">
        <is>
          <t>Предприятие сферы услуг</t>
        </is>
      </c>
      <c r="D207" s="21" t="inlineStr">
        <is>
          <t>Воронеж</t>
        </is>
      </c>
      <c r="E207" s="22" t="n">
        <v>204</v>
      </c>
      <c r="F207" s="24" t="inlineStr">
        <is>
          <t>—</t>
        </is>
      </c>
      <c r="G207" s="24" t="inlineStr">
        <is>
          <t>—</t>
        </is>
      </c>
      <c r="H207" s="24" t="inlineStr">
        <is>
          <t>—</t>
        </is>
      </c>
      <c r="I207" s="21" t="inlineStr">
        <is>
          <t>Цена зависит от стоимости объекта</t>
        </is>
      </c>
      <c r="J207" s="23" t="inlineStr">
        <is>
          <t>2026-06-10</t>
        </is>
      </c>
    </row>
    <row r="208">
      <c r="A208" s="21" t="inlineStr">
        <is>
          <t>Продажа</t>
        </is>
      </c>
      <c r="B208" s="21" t="inlineStr">
        <is>
          <t>Коммерческая</t>
        </is>
      </c>
      <c r="C208" s="21" t="inlineStr">
        <is>
          <t>Предприятие сферы услуг</t>
        </is>
      </c>
      <c r="D208" s="21" t="inlineStr">
        <is>
          <t>Пермь</t>
        </is>
      </c>
      <c r="E208" s="22" t="n">
        <v>120</v>
      </c>
      <c r="F208" s="24" t="inlineStr">
        <is>
          <t>—</t>
        </is>
      </c>
      <c r="G208" s="24" t="inlineStr">
        <is>
          <t>—</t>
        </is>
      </c>
      <c r="H208" s="24" t="inlineStr">
        <is>
          <t>—</t>
        </is>
      </c>
      <c r="I208" s="21" t="inlineStr">
        <is>
          <t>Цена зависит от стоимости объекта</t>
        </is>
      </c>
      <c r="J208" s="23" t="inlineStr">
        <is>
          <t>2026-06-10</t>
        </is>
      </c>
    </row>
    <row r="209">
      <c r="A209" s="21" t="inlineStr">
        <is>
          <t>Продажа</t>
        </is>
      </c>
      <c r="B209" s="21" t="inlineStr">
        <is>
          <t>Коммерческая</t>
        </is>
      </c>
      <c r="C209" s="21" t="inlineStr">
        <is>
          <t>Предприятие сферы услуг</t>
        </is>
      </c>
      <c r="D209" s="21" t="inlineStr">
        <is>
          <t>Волгоград</t>
        </is>
      </c>
      <c r="E209" s="22" t="n">
        <v>720</v>
      </c>
      <c r="F209" s="24" t="inlineStr">
        <is>
          <t>—</t>
        </is>
      </c>
      <c r="G209" s="24" t="inlineStr">
        <is>
          <t>—</t>
        </is>
      </c>
      <c r="H209" s="24" t="inlineStr">
        <is>
          <t>—</t>
        </is>
      </c>
      <c r="I209" s="21" t="inlineStr">
        <is>
          <t>Цена зависит от стоимости объекта</t>
        </is>
      </c>
      <c r="J209" s="23" t="inlineStr">
        <is>
          <t>2026-06-10</t>
        </is>
      </c>
    </row>
    <row r="210">
      <c r="A210" s="21" t="inlineStr">
        <is>
          <t>Продажа</t>
        </is>
      </c>
      <c r="B210" s="21" t="inlineStr">
        <is>
          <t>Коммерческая</t>
        </is>
      </c>
      <c r="C210" s="21" t="inlineStr">
        <is>
          <t>Производство</t>
        </is>
      </c>
      <c r="D210" s="21" t="inlineStr">
        <is>
          <t>Москва</t>
        </is>
      </c>
      <c r="E210" s="22" t="n">
        <v>1413</v>
      </c>
      <c r="F210" s="22" t="n">
        <v>959</v>
      </c>
      <c r="G210" s="22" t="n">
        <v>394</v>
      </c>
      <c r="H210" s="22" t="n">
        <v>119</v>
      </c>
      <c r="I210" s="21" t="inlineStr">
        <is>
          <t>Цена зависит от стоимости объекта</t>
        </is>
      </c>
      <c r="J210" s="23" t="inlineStr">
        <is>
          <t>2026-06-10</t>
        </is>
      </c>
    </row>
    <row r="211">
      <c r="A211" s="21" t="inlineStr">
        <is>
          <t>Продажа</t>
        </is>
      </c>
      <c r="B211" s="21" t="inlineStr">
        <is>
          <t>Коммерческая</t>
        </is>
      </c>
      <c r="C211" s="21" t="inlineStr">
        <is>
          <t>Производство</t>
        </is>
      </c>
      <c r="D211" s="21" t="inlineStr">
        <is>
          <t>Санкт-Петербург</t>
        </is>
      </c>
      <c r="E211" s="22" t="n">
        <v>630</v>
      </c>
      <c r="F211" s="22" t="n">
        <v>532</v>
      </c>
      <c r="G211" s="22" t="n">
        <v>246</v>
      </c>
      <c r="H211" s="22" t="n">
        <v>76</v>
      </c>
      <c r="I211" s="21" t="inlineStr">
        <is>
          <t>Цена зависит от стоимости объекта</t>
        </is>
      </c>
      <c r="J211" s="23" t="inlineStr">
        <is>
          <t>2026-06-10</t>
        </is>
      </c>
    </row>
    <row r="212">
      <c r="A212" s="21" t="inlineStr">
        <is>
          <t>Продажа</t>
        </is>
      </c>
      <c r="B212" s="21" t="inlineStr">
        <is>
          <t>Коммерческая</t>
        </is>
      </c>
      <c r="C212" s="21" t="inlineStr">
        <is>
          <t>Производство</t>
        </is>
      </c>
      <c r="D212" s="21" t="inlineStr">
        <is>
          <t>Новосибирск</t>
        </is>
      </c>
      <c r="E212" s="22" t="n">
        <v>1263</v>
      </c>
      <c r="F212" s="22" t="n">
        <v>293</v>
      </c>
      <c r="G212" s="22" t="n">
        <v>143</v>
      </c>
      <c r="H212" s="22" t="n">
        <v>43</v>
      </c>
      <c r="I212" s="21" t="inlineStr">
        <is>
          <t>Цена зависит от стоимости объекта</t>
        </is>
      </c>
      <c r="J212" s="23" t="inlineStr">
        <is>
          <t>2026-06-10</t>
        </is>
      </c>
    </row>
    <row r="213">
      <c r="A213" s="21" t="inlineStr">
        <is>
          <t>Продажа</t>
        </is>
      </c>
      <c r="B213" s="21" t="inlineStr">
        <is>
          <t>Коммерческая</t>
        </is>
      </c>
      <c r="C213" s="21" t="inlineStr">
        <is>
          <t>Производство</t>
        </is>
      </c>
      <c r="D213" s="21" t="inlineStr">
        <is>
          <t>Екатеринбург</t>
        </is>
      </c>
      <c r="E213" s="22" t="n">
        <v>612</v>
      </c>
      <c r="F213" s="22" t="n">
        <v>397</v>
      </c>
      <c r="G213" s="22" t="n">
        <v>212</v>
      </c>
      <c r="H213" s="22" t="n">
        <v>66</v>
      </c>
      <c r="I213" s="21" t="inlineStr">
        <is>
          <t>Цена зависит от стоимости объекта</t>
        </is>
      </c>
      <c r="J213" s="23" t="inlineStr">
        <is>
          <t>2026-06-10</t>
        </is>
      </c>
    </row>
    <row r="214">
      <c r="A214" s="21" t="inlineStr">
        <is>
          <t>Продажа</t>
        </is>
      </c>
      <c r="B214" s="21" t="inlineStr">
        <is>
          <t>Коммерческая</t>
        </is>
      </c>
      <c r="C214" s="21" t="inlineStr">
        <is>
          <t>Производство</t>
        </is>
      </c>
      <c r="D214" s="21" t="inlineStr">
        <is>
          <t>Казань</t>
        </is>
      </c>
      <c r="E214" s="22" t="n">
        <v>396</v>
      </c>
      <c r="F214" s="22" t="n">
        <v>123</v>
      </c>
      <c r="G214" s="22" t="n">
        <v>55</v>
      </c>
      <c r="H214" s="22" t="n">
        <v>18</v>
      </c>
      <c r="I214" s="21" t="inlineStr">
        <is>
          <t>Цена зависит от стоимости объекта</t>
        </is>
      </c>
      <c r="J214" s="23" t="inlineStr">
        <is>
          <t>2026-06-10</t>
        </is>
      </c>
    </row>
    <row r="215">
      <c r="A215" s="21" t="inlineStr">
        <is>
          <t>Продажа</t>
        </is>
      </c>
      <c r="B215" s="21" t="inlineStr">
        <is>
          <t>Коммерческая</t>
        </is>
      </c>
      <c r="C215" s="21" t="inlineStr">
        <is>
          <t>Производство</t>
        </is>
      </c>
      <c r="D215" s="21" t="inlineStr">
        <is>
          <t>Красноярск</t>
        </is>
      </c>
      <c r="E215" s="22" t="n">
        <v>540</v>
      </c>
      <c r="F215" s="24" t="inlineStr">
        <is>
          <t>—</t>
        </is>
      </c>
      <c r="G215" s="24" t="inlineStr">
        <is>
          <t>—</t>
        </is>
      </c>
      <c r="H215" s="24" t="inlineStr">
        <is>
          <t>—</t>
        </is>
      </c>
      <c r="I215" s="21" t="inlineStr">
        <is>
          <t>Цена зависит от стоимости объекта</t>
        </is>
      </c>
      <c r="J215" s="23" t="inlineStr">
        <is>
          <t>2026-06-10</t>
        </is>
      </c>
    </row>
    <row r="216">
      <c r="A216" s="21" t="inlineStr">
        <is>
          <t>Продажа</t>
        </is>
      </c>
      <c r="B216" s="21" t="inlineStr">
        <is>
          <t>Коммерческая</t>
        </is>
      </c>
      <c r="C216" s="21" t="inlineStr">
        <is>
          <t>Производство</t>
        </is>
      </c>
      <c r="D216" s="21" t="inlineStr">
        <is>
          <t>Нижний Новгород</t>
        </is>
      </c>
      <c r="E216" s="22" t="n">
        <v>231</v>
      </c>
      <c r="F216" s="22" t="n">
        <v>123</v>
      </c>
      <c r="G216" s="22" t="n">
        <v>55</v>
      </c>
      <c r="H216" s="22" t="n">
        <v>18</v>
      </c>
      <c r="I216" s="21" t="inlineStr">
        <is>
          <t>Цена зависит от стоимости объекта</t>
        </is>
      </c>
      <c r="J216" s="23" t="inlineStr">
        <is>
          <t>2026-06-10</t>
        </is>
      </c>
    </row>
    <row r="217">
      <c r="A217" s="21" t="inlineStr">
        <is>
          <t>Продажа</t>
        </is>
      </c>
      <c r="B217" s="21" t="inlineStr">
        <is>
          <t>Коммерческая</t>
        </is>
      </c>
      <c r="C217" s="21" t="inlineStr">
        <is>
          <t>Производство</t>
        </is>
      </c>
      <c r="D217" s="21" t="inlineStr">
        <is>
          <t>Челябинск</t>
        </is>
      </c>
      <c r="E217" s="22" t="n">
        <v>165</v>
      </c>
      <c r="F217" s="22" t="n">
        <v>289</v>
      </c>
      <c r="G217" s="22" t="n">
        <v>136</v>
      </c>
      <c r="H217" s="22" t="n">
        <v>42</v>
      </c>
      <c r="I217" s="21" t="inlineStr">
        <is>
          <t>Цена зависит от стоимости объекта</t>
        </is>
      </c>
      <c r="J217" s="23" t="inlineStr">
        <is>
          <t>2026-06-10</t>
        </is>
      </c>
    </row>
    <row r="218">
      <c r="A218" s="21" t="inlineStr">
        <is>
          <t>Продажа</t>
        </is>
      </c>
      <c r="B218" s="21" t="inlineStr">
        <is>
          <t>Коммерческая</t>
        </is>
      </c>
      <c r="C218" s="21" t="inlineStr">
        <is>
          <t>Производство</t>
        </is>
      </c>
      <c r="D218" s="21" t="inlineStr">
        <is>
          <t>Уфа</t>
        </is>
      </c>
      <c r="E218" s="22" t="n">
        <v>621</v>
      </c>
      <c r="F218" s="22" t="n">
        <v>135</v>
      </c>
      <c r="G218" s="22" t="n">
        <v>63</v>
      </c>
      <c r="H218" s="22" t="n">
        <v>20</v>
      </c>
      <c r="I218" s="21" t="inlineStr">
        <is>
          <t>Цена зависит от стоимости объекта</t>
        </is>
      </c>
      <c r="J218" s="23" t="inlineStr">
        <is>
          <t>2026-06-10</t>
        </is>
      </c>
    </row>
    <row r="219">
      <c r="A219" s="21" t="inlineStr">
        <is>
          <t>Продажа</t>
        </is>
      </c>
      <c r="B219" s="21" t="inlineStr">
        <is>
          <t>Коммерческая</t>
        </is>
      </c>
      <c r="C219" s="21" t="inlineStr">
        <is>
          <t>Производство</t>
        </is>
      </c>
      <c r="D219" s="21" t="inlineStr">
        <is>
          <t>Краснодар</t>
        </is>
      </c>
      <c r="E219" s="22" t="n">
        <v>483</v>
      </c>
      <c r="F219" s="22" t="n">
        <v>123</v>
      </c>
      <c r="G219" s="22" t="n">
        <v>55</v>
      </c>
      <c r="H219" s="22" t="n">
        <v>18</v>
      </c>
      <c r="I219" s="21" t="inlineStr">
        <is>
          <t>Цена зависит от стоимости объекта</t>
        </is>
      </c>
      <c r="J219" s="23" t="inlineStr">
        <is>
          <t>2026-06-10</t>
        </is>
      </c>
    </row>
    <row r="220">
      <c r="A220" s="21" t="inlineStr">
        <is>
          <t>Продажа</t>
        </is>
      </c>
      <c r="B220" s="21" t="inlineStr">
        <is>
          <t>Коммерческая</t>
        </is>
      </c>
      <c r="C220" s="21" t="inlineStr">
        <is>
          <t>Производство</t>
        </is>
      </c>
      <c r="D220" s="21" t="inlineStr">
        <is>
          <t>Самара</t>
        </is>
      </c>
      <c r="E220" s="22" t="n">
        <v>321</v>
      </c>
      <c r="F220" s="24" t="inlineStr">
        <is>
          <t>—</t>
        </is>
      </c>
      <c r="G220" s="24" t="inlineStr">
        <is>
          <t>—</t>
        </is>
      </c>
      <c r="H220" s="24" t="inlineStr">
        <is>
          <t>—</t>
        </is>
      </c>
      <c r="I220" s="21" t="inlineStr">
        <is>
          <t>Цена зависит от стоимости объекта</t>
        </is>
      </c>
      <c r="J220" s="23" t="inlineStr">
        <is>
          <t>2026-06-10</t>
        </is>
      </c>
    </row>
    <row r="221">
      <c r="A221" s="21" t="inlineStr">
        <is>
          <t>Продажа</t>
        </is>
      </c>
      <c r="B221" s="21" t="inlineStr">
        <is>
          <t>Коммерческая</t>
        </is>
      </c>
      <c r="C221" s="21" t="inlineStr">
        <is>
          <t>Производство</t>
        </is>
      </c>
      <c r="D221" s="21" t="inlineStr">
        <is>
          <t>Ростов-на-Дону</t>
        </is>
      </c>
      <c r="E221" s="22" t="n">
        <v>411</v>
      </c>
      <c r="F221" s="22" t="n">
        <v>125</v>
      </c>
      <c r="G221" s="22" t="n">
        <v>55</v>
      </c>
      <c r="H221" s="22" t="n">
        <v>17</v>
      </c>
      <c r="I221" s="21" t="inlineStr">
        <is>
          <t>Цена зависит от стоимости объекта</t>
        </is>
      </c>
      <c r="J221" s="23" t="inlineStr">
        <is>
          <t>2026-06-10</t>
        </is>
      </c>
    </row>
    <row r="222">
      <c r="A222" s="21" t="inlineStr">
        <is>
          <t>Продажа</t>
        </is>
      </c>
      <c r="B222" s="21" t="inlineStr">
        <is>
          <t>Коммерческая</t>
        </is>
      </c>
      <c r="C222" s="21" t="inlineStr">
        <is>
          <t>Производство</t>
        </is>
      </c>
      <c r="D222" s="21" t="inlineStr">
        <is>
          <t>Омск</t>
        </is>
      </c>
      <c r="E222" s="22" t="n">
        <v>582</v>
      </c>
      <c r="F222" s="22" t="n">
        <v>342</v>
      </c>
      <c r="G222" s="22" t="n">
        <v>194</v>
      </c>
      <c r="H222" s="22" t="n">
        <v>66</v>
      </c>
      <c r="I222" s="21" t="inlineStr">
        <is>
          <t>Цена зависит от стоимости объекта</t>
        </is>
      </c>
      <c r="J222" s="23" t="inlineStr">
        <is>
          <t>2026-06-10</t>
        </is>
      </c>
    </row>
    <row r="223">
      <c r="A223" s="21" t="inlineStr">
        <is>
          <t>Продажа</t>
        </is>
      </c>
      <c r="B223" s="21" t="inlineStr">
        <is>
          <t>Коммерческая</t>
        </is>
      </c>
      <c r="C223" s="21" t="inlineStr">
        <is>
          <t>Производство</t>
        </is>
      </c>
      <c r="D223" s="21" t="inlineStr">
        <is>
          <t>Воронеж</t>
        </is>
      </c>
      <c r="E223" s="22" t="n">
        <v>54</v>
      </c>
      <c r="F223" s="24" t="inlineStr">
        <is>
          <t>—</t>
        </is>
      </c>
      <c r="G223" s="24" t="inlineStr">
        <is>
          <t>—</t>
        </is>
      </c>
      <c r="H223" s="24" t="inlineStr">
        <is>
          <t>—</t>
        </is>
      </c>
      <c r="I223" s="21" t="inlineStr">
        <is>
          <t>Цена зависит от стоимости объекта</t>
        </is>
      </c>
      <c r="J223" s="23" t="inlineStr">
        <is>
          <t>2026-06-10</t>
        </is>
      </c>
    </row>
    <row r="224">
      <c r="A224" s="21" t="inlineStr">
        <is>
          <t>Продажа</t>
        </is>
      </c>
      <c r="B224" s="21" t="inlineStr">
        <is>
          <t>Коммерческая</t>
        </is>
      </c>
      <c r="C224" s="21" t="inlineStr">
        <is>
          <t>Производство</t>
        </is>
      </c>
      <c r="D224" s="21" t="inlineStr">
        <is>
          <t>Пермь</t>
        </is>
      </c>
      <c r="E224" s="22" t="n">
        <v>45</v>
      </c>
      <c r="F224" s="24" t="inlineStr">
        <is>
          <t>—</t>
        </is>
      </c>
      <c r="G224" s="24" t="inlineStr">
        <is>
          <t>—</t>
        </is>
      </c>
      <c r="H224" s="24" t="inlineStr">
        <is>
          <t>—</t>
        </is>
      </c>
      <c r="I224" s="21" t="inlineStr">
        <is>
          <t>Цена зависит от стоимости объекта</t>
        </is>
      </c>
      <c r="J224" s="23" t="inlineStr">
        <is>
          <t>2026-06-10</t>
        </is>
      </c>
    </row>
    <row r="225">
      <c r="A225" s="21" t="inlineStr">
        <is>
          <t>Продажа</t>
        </is>
      </c>
      <c r="B225" s="21" t="inlineStr">
        <is>
          <t>Коммерческая</t>
        </is>
      </c>
      <c r="C225" s="21" t="inlineStr">
        <is>
          <t>Производство</t>
        </is>
      </c>
      <c r="D225" s="21" t="inlineStr">
        <is>
          <t>Волгоград</t>
        </is>
      </c>
      <c r="E225" s="22" t="n">
        <v>204</v>
      </c>
      <c r="F225" s="24" t="inlineStr">
        <is>
          <t>—</t>
        </is>
      </c>
      <c r="G225" s="24" t="inlineStr">
        <is>
          <t>—</t>
        </is>
      </c>
      <c r="H225" s="24" t="inlineStr">
        <is>
          <t>—</t>
        </is>
      </c>
      <c r="I225" s="21" t="inlineStr">
        <is>
          <t>Цена зависит от стоимости объекта</t>
        </is>
      </c>
      <c r="J225" s="23" t="inlineStr">
        <is>
          <t>2026-06-10</t>
        </is>
      </c>
    </row>
    <row r="226">
      <c r="A226" s="21" t="inlineStr">
        <is>
          <t>Продажа</t>
        </is>
      </c>
      <c r="B226" s="21" t="inlineStr">
        <is>
          <t>Коммерческая</t>
        </is>
      </c>
      <c r="C226" s="21" t="inlineStr">
        <is>
          <t>Помещение свободного назначения</t>
        </is>
      </c>
      <c r="D226" s="21" t="inlineStr">
        <is>
          <t>Москва</t>
        </is>
      </c>
      <c r="E226" s="22" t="n">
        <v>3120</v>
      </c>
      <c r="F226" s="22" t="n">
        <v>1002</v>
      </c>
      <c r="G226" s="22" t="n">
        <v>450</v>
      </c>
      <c r="H226" s="22" t="n">
        <v>372</v>
      </c>
      <c r="I226" s="21" t="inlineStr">
        <is>
          <t>Цена зависит от стоимости объекта</t>
        </is>
      </c>
      <c r="J226" s="23" t="inlineStr">
        <is>
          <t>2026-06-10</t>
        </is>
      </c>
    </row>
    <row r="227">
      <c r="A227" s="21" t="inlineStr">
        <is>
          <t>Продажа</t>
        </is>
      </c>
      <c r="B227" s="21" t="inlineStr">
        <is>
          <t>Коммерческая</t>
        </is>
      </c>
      <c r="C227" s="21" t="inlineStr">
        <is>
          <t>Помещение свободного назначения</t>
        </is>
      </c>
      <c r="D227" s="21" t="inlineStr">
        <is>
          <t>Санкт-Петербург</t>
        </is>
      </c>
      <c r="E227" s="22" t="n">
        <v>1659</v>
      </c>
      <c r="F227" s="22" t="n">
        <v>522</v>
      </c>
      <c r="G227" s="22" t="n">
        <v>230</v>
      </c>
      <c r="H227" s="22" t="n">
        <v>71</v>
      </c>
      <c r="I227" s="21" t="inlineStr">
        <is>
          <t>Цена зависит от стоимости объекта</t>
        </is>
      </c>
      <c r="J227" s="23" t="inlineStr">
        <is>
          <t>2026-06-10</t>
        </is>
      </c>
    </row>
    <row r="228">
      <c r="A228" s="21" t="inlineStr">
        <is>
          <t>Продажа</t>
        </is>
      </c>
      <c r="B228" s="21" t="inlineStr">
        <is>
          <t>Коммерческая</t>
        </is>
      </c>
      <c r="C228" s="21" t="inlineStr">
        <is>
          <t>Помещение свободного назначения</t>
        </is>
      </c>
      <c r="D228" s="21" t="inlineStr">
        <is>
          <t>Новосибирск</t>
        </is>
      </c>
      <c r="E228" s="22" t="n">
        <v>1389</v>
      </c>
      <c r="F228" s="22" t="n">
        <v>356</v>
      </c>
      <c r="G228" s="22" t="n">
        <v>162</v>
      </c>
      <c r="H228" s="22" t="n">
        <v>48</v>
      </c>
      <c r="I228" s="21" t="inlineStr">
        <is>
          <t>Цена зависит от стоимости объекта</t>
        </is>
      </c>
      <c r="J228" s="23" t="inlineStr">
        <is>
          <t>2026-06-10</t>
        </is>
      </c>
    </row>
    <row r="229">
      <c r="A229" s="21" t="inlineStr">
        <is>
          <t>Продажа</t>
        </is>
      </c>
      <c r="B229" s="21" t="inlineStr">
        <is>
          <t>Коммерческая</t>
        </is>
      </c>
      <c r="C229" s="21" t="inlineStr">
        <is>
          <t>Помещение свободного назначения</t>
        </is>
      </c>
      <c r="D229" s="21" t="inlineStr">
        <is>
          <t>Екатеринбург</t>
        </is>
      </c>
      <c r="E229" s="22" t="n">
        <v>510</v>
      </c>
      <c r="F229" s="22" t="n">
        <v>456</v>
      </c>
      <c r="G229" s="22" t="n">
        <v>231</v>
      </c>
      <c r="H229" s="22" t="n">
        <v>71</v>
      </c>
      <c r="I229" s="21" t="inlineStr">
        <is>
          <t>Цена зависит от стоимости объекта</t>
        </is>
      </c>
      <c r="J229" s="23" t="inlineStr">
        <is>
          <t>2026-06-10</t>
        </is>
      </c>
    </row>
    <row r="230">
      <c r="A230" s="21" t="inlineStr">
        <is>
          <t>Продажа</t>
        </is>
      </c>
      <c r="B230" s="21" t="inlineStr">
        <is>
          <t>Коммерческая</t>
        </is>
      </c>
      <c r="C230" s="21" t="inlineStr">
        <is>
          <t>Помещение свободного назначения</t>
        </is>
      </c>
      <c r="D230" s="21" t="inlineStr">
        <is>
          <t>Казань</t>
        </is>
      </c>
      <c r="E230" s="22" t="n">
        <v>441</v>
      </c>
      <c r="F230" s="22" t="n">
        <v>126</v>
      </c>
      <c r="G230" s="22" t="n">
        <v>56</v>
      </c>
      <c r="H230" s="22" t="n">
        <v>18</v>
      </c>
      <c r="I230" s="21" t="inlineStr">
        <is>
          <t>Цена зависит от стоимости объекта</t>
        </is>
      </c>
      <c r="J230" s="23" t="inlineStr">
        <is>
          <t>2026-06-10</t>
        </is>
      </c>
    </row>
    <row r="231">
      <c r="A231" s="21" t="inlineStr">
        <is>
          <t>Продажа</t>
        </is>
      </c>
      <c r="B231" s="21" t="inlineStr">
        <is>
          <t>Коммерческая</t>
        </is>
      </c>
      <c r="C231" s="21" t="inlineStr">
        <is>
          <t>Помещение свободного назначения</t>
        </is>
      </c>
      <c r="D231" s="21" t="inlineStr">
        <is>
          <t>Красноярск</t>
        </is>
      </c>
      <c r="E231" s="22" t="n">
        <v>591</v>
      </c>
      <c r="F231" s="24" t="inlineStr">
        <is>
          <t>—</t>
        </is>
      </c>
      <c r="G231" s="24" t="inlineStr">
        <is>
          <t>—</t>
        </is>
      </c>
      <c r="H231" s="24" t="inlineStr">
        <is>
          <t>—</t>
        </is>
      </c>
      <c r="I231" s="21" t="inlineStr">
        <is>
          <t>Цена зависит от стоимости объекта</t>
        </is>
      </c>
      <c r="J231" s="23" t="inlineStr">
        <is>
          <t>2026-06-10</t>
        </is>
      </c>
    </row>
    <row r="232">
      <c r="A232" s="21" t="inlineStr">
        <is>
          <t>Продажа</t>
        </is>
      </c>
      <c r="B232" s="21" t="inlineStr">
        <is>
          <t>Коммерческая</t>
        </is>
      </c>
      <c r="C232" s="21" t="inlineStr">
        <is>
          <t>Помещение свободного назначения</t>
        </is>
      </c>
      <c r="D232" s="21" t="inlineStr">
        <is>
          <t>Нижний Новгород</t>
        </is>
      </c>
      <c r="E232" s="22" t="n">
        <v>294</v>
      </c>
      <c r="F232" s="22" t="n">
        <v>120</v>
      </c>
      <c r="G232" s="22" t="n">
        <v>56</v>
      </c>
      <c r="H232" s="22" t="n">
        <v>18</v>
      </c>
      <c r="I232" s="21" t="inlineStr">
        <is>
          <t>Цена зависит от стоимости объекта</t>
        </is>
      </c>
      <c r="J232" s="23" t="inlineStr">
        <is>
          <t>2026-06-10</t>
        </is>
      </c>
    </row>
    <row r="233">
      <c r="A233" s="21" t="inlineStr">
        <is>
          <t>Продажа</t>
        </is>
      </c>
      <c r="B233" s="21" t="inlineStr">
        <is>
          <t>Коммерческая</t>
        </is>
      </c>
      <c r="C233" s="21" t="inlineStr">
        <is>
          <t>Помещение свободного назначения</t>
        </is>
      </c>
      <c r="D233" s="21" t="inlineStr">
        <is>
          <t>Челябинск</t>
        </is>
      </c>
      <c r="E233" s="22" t="n">
        <v>258</v>
      </c>
      <c r="F233" s="22" t="n">
        <v>225</v>
      </c>
      <c r="G233" s="22" t="n">
        <v>105</v>
      </c>
      <c r="H233" s="22" t="n">
        <v>33</v>
      </c>
      <c r="I233" s="21" t="inlineStr">
        <is>
          <t>Цена зависит от стоимости объекта</t>
        </is>
      </c>
      <c r="J233" s="23" t="inlineStr">
        <is>
          <t>2026-06-10</t>
        </is>
      </c>
    </row>
    <row r="234">
      <c r="A234" s="21" t="inlineStr">
        <is>
          <t>Продажа</t>
        </is>
      </c>
      <c r="B234" s="21" t="inlineStr">
        <is>
          <t>Коммерческая</t>
        </is>
      </c>
      <c r="C234" s="21" t="inlineStr">
        <is>
          <t>Помещение свободного назначения</t>
        </is>
      </c>
      <c r="D234" s="21" t="inlineStr">
        <is>
          <t>Уфа</t>
        </is>
      </c>
      <c r="E234" s="22" t="n">
        <v>291</v>
      </c>
      <c r="F234" s="22" t="n">
        <v>110</v>
      </c>
      <c r="G234" s="22" t="n">
        <v>49</v>
      </c>
      <c r="H234" s="22" t="n">
        <v>15</v>
      </c>
      <c r="I234" s="21" t="inlineStr">
        <is>
          <t>Цена зависит от стоимости объекта</t>
        </is>
      </c>
      <c r="J234" s="23" t="inlineStr">
        <is>
          <t>2026-06-10</t>
        </is>
      </c>
    </row>
    <row r="235">
      <c r="A235" s="21" t="inlineStr">
        <is>
          <t>Продажа</t>
        </is>
      </c>
      <c r="B235" s="21" t="inlineStr">
        <is>
          <t>Коммерческая</t>
        </is>
      </c>
      <c r="C235" s="21" t="inlineStr">
        <is>
          <t>Помещение свободного назначения</t>
        </is>
      </c>
      <c r="D235" s="21" t="inlineStr">
        <is>
          <t>Краснодар</t>
        </is>
      </c>
      <c r="E235" s="22" t="n">
        <v>462</v>
      </c>
      <c r="F235" s="22" t="n">
        <v>169</v>
      </c>
      <c r="G235" s="22" t="n">
        <v>70</v>
      </c>
      <c r="H235" s="22" t="n">
        <v>22</v>
      </c>
      <c r="I235" s="21" t="inlineStr">
        <is>
          <t>Цена зависит от стоимости объекта</t>
        </is>
      </c>
      <c r="J235" s="23" t="inlineStr">
        <is>
          <t>2026-06-10</t>
        </is>
      </c>
    </row>
    <row r="236">
      <c r="A236" s="21" t="inlineStr">
        <is>
          <t>Продажа</t>
        </is>
      </c>
      <c r="B236" s="21" t="inlineStr">
        <is>
          <t>Коммерческая</t>
        </is>
      </c>
      <c r="C236" s="21" t="inlineStr">
        <is>
          <t>Помещение свободного назначения</t>
        </is>
      </c>
      <c r="D236" s="21" t="inlineStr">
        <is>
          <t>Самара</t>
        </is>
      </c>
      <c r="E236" s="22" t="n">
        <v>333</v>
      </c>
      <c r="F236" s="24" t="inlineStr">
        <is>
          <t>—</t>
        </is>
      </c>
      <c r="G236" s="24" t="inlineStr">
        <is>
          <t>—</t>
        </is>
      </c>
      <c r="H236" s="24" t="inlineStr">
        <is>
          <t>—</t>
        </is>
      </c>
      <c r="I236" s="21" t="inlineStr">
        <is>
          <t>Цена зависит от стоимости объекта</t>
        </is>
      </c>
      <c r="J236" s="23" t="inlineStr">
        <is>
          <t>2026-06-10</t>
        </is>
      </c>
    </row>
    <row r="237">
      <c r="A237" s="21" t="inlineStr">
        <is>
          <t>Продажа</t>
        </is>
      </c>
      <c r="B237" s="21" t="inlineStr">
        <is>
          <t>Коммерческая</t>
        </is>
      </c>
      <c r="C237" s="21" t="inlineStr">
        <is>
          <t>Помещение свободного назначения</t>
        </is>
      </c>
      <c r="D237" s="21" t="inlineStr">
        <is>
          <t>Ростов-на-Дону</t>
        </is>
      </c>
      <c r="E237" s="22" t="n">
        <v>360</v>
      </c>
      <c r="F237" s="22" t="n">
        <v>145</v>
      </c>
      <c r="G237" s="22" t="n">
        <v>61</v>
      </c>
      <c r="H237" s="22" t="n">
        <v>17</v>
      </c>
      <c r="I237" s="21" t="inlineStr">
        <is>
          <t>Цена зависит от стоимости объекта</t>
        </is>
      </c>
      <c r="J237" s="23" t="inlineStr">
        <is>
          <t>2026-06-10</t>
        </is>
      </c>
    </row>
    <row r="238">
      <c r="A238" s="21" t="inlineStr">
        <is>
          <t>Продажа</t>
        </is>
      </c>
      <c r="B238" s="21" t="inlineStr">
        <is>
          <t>Коммерческая</t>
        </is>
      </c>
      <c r="C238" s="21" t="inlineStr">
        <is>
          <t>Помещение свободного назначения</t>
        </is>
      </c>
      <c r="D238" s="21" t="inlineStr">
        <is>
          <t>Омск</t>
        </is>
      </c>
      <c r="E238" s="22" t="n">
        <v>918</v>
      </c>
      <c r="F238" s="22" t="n">
        <v>291</v>
      </c>
      <c r="G238" s="22" t="n">
        <v>165</v>
      </c>
      <c r="H238" s="22" t="n">
        <v>56</v>
      </c>
      <c r="I238" s="21" t="inlineStr">
        <is>
          <t>Цена зависит от стоимости объекта</t>
        </is>
      </c>
      <c r="J238" s="23" t="inlineStr">
        <is>
          <t>2026-06-10</t>
        </is>
      </c>
    </row>
    <row r="239">
      <c r="A239" s="21" t="inlineStr">
        <is>
          <t>Продажа</t>
        </is>
      </c>
      <c r="B239" s="21" t="inlineStr">
        <is>
          <t>Коммерческая</t>
        </is>
      </c>
      <c r="C239" s="21" t="inlineStr">
        <is>
          <t>Помещение свободного назначения</t>
        </is>
      </c>
      <c r="D239" s="21" t="inlineStr">
        <is>
          <t>Воронеж</t>
        </is>
      </c>
      <c r="E239" s="22" t="n">
        <v>204</v>
      </c>
      <c r="F239" s="24" t="inlineStr">
        <is>
          <t>—</t>
        </is>
      </c>
      <c r="G239" s="24" t="inlineStr">
        <is>
          <t>—</t>
        </is>
      </c>
      <c r="H239" s="24" t="inlineStr">
        <is>
          <t>—</t>
        </is>
      </c>
      <c r="I239" s="21" t="inlineStr">
        <is>
          <t>Цена зависит от стоимости объекта</t>
        </is>
      </c>
      <c r="J239" s="23" t="inlineStr">
        <is>
          <t>2026-06-10</t>
        </is>
      </c>
    </row>
    <row r="240">
      <c r="A240" s="21" t="inlineStr">
        <is>
          <t>Продажа</t>
        </is>
      </c>
      <c r="B240" s="21" t="inlineStr">
        <is>
          <t>Коммерческая</t>
        </is>
      </c>
      <c r="C240" s="21" t="inlineStr">
        <is>
          <t>Помещение свободного назначения</t>
        </is>
      </c>
      <c r="D240" s="21" t="inlineStr">
        <is>
          <t>Пермь</t>
        </is>
      </c>
      <c r="E240" s="22" t="n">
        <v>78</v>
      </c>
      <c r="F240" s="24" t="inlineStr">
        <is>
          <t>—</t>
        </is>
      </c>
      <c r="G240" s="24" t="inlineStr">
        <is>
          <t>—</t>
        </is>
      </c>
      <c r="H240" s="24" t="inlineStr">
        <is>
          <t>—</t>
        </is>
      </c>
      <c r="I240" s="21" t="inlineStr">
        <is>
          <t>Цена зависит от стоимости объекта</t>
        </is>
      </c>
      <c r="J240" s="23" t="inlineStr">
        <is>
          <t>2026-06-10</t>
        </is>
      </c>
    </row>
    <row r="241">
      <c r="A241" s="21" t="inlineStr">
        <is>
          <t>Продажа</t>
        </is>
      </c>
      <c r="B241" s="21" t="inlineStr">
        <is>
          <t>Коммерческая</t>
        </is>
      </c>
      <c r="C241" s="21" t="inlineStr">
        <is>
          <t>Помещение свободного назначения</t>
        </is>
      </c>
      <c r="D241" s="21" t="inlineStr">
        <is>
          <t>Волгоград</t>
        </is>
      </c>
      <c r="E241" s="22" t="n">
        <v>630</v>
      </c>
      <c r="F241" s="24" t="inlineStr">
        <is>
          <t>—</t>
        </is>
      </c>
      <c r="G241" s="24" t="inlineStr">
        <is>
          <t>—</t>
        </is>
      </c>
      <c r="H241" s="24" t="inlineStr">
        <is>
          <t>—</t>
        </is>
      </c>
      <c r="I241" s="21" t="inlineStr">
        <is>
          <t>Цена зависит от стоимости объекта</t>
        </is>
      </c>
      <c r="J241" s="23" t="inlineStr">
        <is>
          <t>2026-06-10</t>
        </is>
      </c>
    </row>
    <row r="242">
      <c r="A242" s="21" t="inlineStr">
        <is>
          <t>Продажа</t>
        </is>
      </c>
      <c r="B242" s="21" t="inlineStr">
        <is>
          <t>Коммерческая</t>
        </is>
      </c>
      <c r="C242" s="21" t="inlineStr">
        <is>
          <t>Склад</t>
        </is>
      </c>
      <c r="D242" s="21" t="inlineStr">
        <is>
          <t>Москва</t>
        </is>
      </c>
      <c r="E242" s="22" t="n">
        <v>3420</v>
      </c>
      <c r="F242" s="22" t="n">
        <v>958</v>
      </c>
      <c r="G242" s="22" t="n">
        <v>392</v>
      </c>
      <c r="H242" s="22" t="n">
        <v>119</v>
      </c>
      <c r="I242" s="21" t="inlineStr">
        <is>
          <t>Цена зависит от стоимости объекта</t>
        </is>
      </c>
      <c r="J242" s="23" t="inlineStr">
        <is>
          <t>2026-06-10</t>
        </is>
      </c>
    </row>
    <row r="243">
      <c r="A243" s="21" t="inlineStr">
        <is>
          <t>Продажа</t>
        </is>
      </c>
      <c r="B243" s="21" t="inlineStr">
        <is>
          <t>Коммерческая</t>
        </is>
      </c>
      <c r="C243" s="21" t="inlineStr">
        <is>
          <t>Склад</t>
        </is>
      </c>
      <c r="D243" s="21" t="inlineStr">
        <is>
          <t>Санкт-Петербург</t>
        </is>
      </c>
      <c r="E243" s="22" t="n">
        <v>1446</v>
      </c>
      <c r="F243" s="22" t="n">
        <v>447</v>
      </c>
      <c r="G243" s="22" t="n">
        <v>196</v>
      </c>
      <c r="H243" s="22" t="n">
        <v>61</v>
      </c>
      <c r="I243" s="21" t="inlineStr">
        <is>
          <t>Цена зависит от стоимости объекта</t>
        </is>
      </c>
      <c r="J243" s="23" t="inlineStr">
        <is>
          <t>2026-06-10</t>
        </is>
      </c>
    </row>
    <row r="244">
      <c r="A244" s="21" t="inlineStr">
        <is>
          <t>Продажа</t>
        </is>
      </c>
      <c r="B244" s="21" t="inlineStr">
        <is>
          <t>Коммерческая</t>
        </is>
      </c>
      <c r="C244" s="21" t="inlineStr">
        <is>
          <t>Склад</t>
        </is>
      </c>
      <c r="D244" s="21" t="inlineStr">
        <is>
          <t>Новосибирск</t>
        </is>
      </c>
      <c r="E244" s="22" t="n">
        <v>1149</v>
      </c>
      <c r="F244" s="22" t="n">
        <v>402</v>
      </c>
      <c r="G244" s="22" t="n">
        <v>181</v>
      </c>
      <c r="H244" s="22" t="n">
        <v>53</v>
      </c>
      <c r="I244" s="21" t="inlineStr">
        <is>
          <t>Цена зависит от стоимости объекта</t>
        </is>
      </c>
      <c r="J244" s="23" t="inlineStr">
        <is>
          <t>2026-06-10</t>
        </is>
      </c>
    </row>
    <row r="245">
      <c r="A245" s="21" t="inlineStr">
        <is>
          <t>Продажа</t>
        </is>
      </c>
      <c r="B245" s="21" t="inlineStr">
        <is>
          <t>Коммерческая</t>
        </is>
      </c>
      <c r="C245" s="21" t="inlineStr">
        <is>
          <t>Склад</t>
        </is>
      </c>
      <c r="D245" s="21" t="inlineStr">
        <is>
          <t>Екатеринбург</t>
        </is>
      </c>
      <c r="E245" s="22" t="n">
        <v>612</v>
      </c>
      <c r="F245" s="22" t="n">
        <v>566</v>
      </c>
      <c r="G245" s="22" t="n">
        <v>278</v>
      </c>
      <c r="H245" s="22" t="n">
        <v>84</v>
      </c>
      <c r="I245" s="21" t="inlineStr">
        <is>
          <t>Цена зависит от стоимости объекта</t>
        </is>
      </c>
      <c r="J245" s="23" t="inlineStr">
        <is>
          <t>2026-06-10</t>
        </is>
      </c>
    </row>
    <row r="246">
      <c r="A246" s="21" t="inlineStr">
        <is>
          <t>Продажа</t>
        </is>
      </c>
      <c r="B246" s="21" t="inlineStr">
        <is>
          <t>Коммерческая</t>
        </is>
      </c>
      <c r="C246" s="21" t="inlineStr">
        <is>
          <t>Склад</t>
        </is>
      </c>
      <c r="D246" s="21" t="inlineStr">
        <is>
          <t>Казань</t>
        </is>
      </c>
      <c r="E246" s="22" t="n">
        <v>159</v>
      </c>
      <c r="F246" s="22" t="n">
        <v>123</v>
      </c>
      <c r="G246" s="22" t="n">
        <v>55</v>
      </c>
      <c r="H246" s="22" t="n">
        <v>18</v>
      </c>
      <c r="I246" s="21" t="inlineStr">
        <is>
          <t>Цена зависит от стоимости объекта</t>
        </is>
      </c>
      <c r="J246" s="23" t="inlineStr">
        <is>
          <t>2026-06-10</t>
        </is>
      </c>
    </row>
    <row r="247">
      <c r="A247" s="21" t="inlineStr">
        <is>
          <t>Продажа</t>
        </is>
      </c>
      <c r="B247" s="21" t="inlineStr">
        <is>
          <t>Коммерческая</t>
        </is>
      </c>
      <c r="C247" s="21" t="inlineStr">
        <is>
          <t>Склад</t>
        </is>
      </c>
      <c r="D247" s="21" t="inlineStr">
        <is>
          <t>Красноярск</t>
        </is>
      </c>
      <c r="E247" s="22" t="n">
        <v>648</v>
      </c>
      <c r="F247" s="24" t="inlineStr">
        <is>
          <t>—</t>
        </is>
      </c>
      <c r="G247" s="24" t="inlineStr">
        <is>
          <t>—</t>
        </is>
      </c>
      <c r="H247" s="24" t="inlineStr">
        <is>
          <t>—</t>
        </is>
      </c>
      <c r="I247" s="21" t="inlineStr">
        <is>
          <t>Цена зависит от стоимости объекта</t>
        </is>
      </c>
      <c r="J247" s="23" t="inlineStr">
        <is>
          <t>2026-06-10</t>
        </is>
      </c>
    </row>
    <row r="248">
      <c r="A248" s="21" t="inlineStr">
        <is>
          <t>Продажа</t>
        </is>
      </c>
      <c r="B248" s="21" t="inlineStr">
        <is>
          <t>Коммерческая</t>
        </is>
      </c>
      <c r="C248" s="21" t="inlineStr">
        <is>
          <t>Склад</t>
        </is>
      </c>
      <c r="D248" s="21" t="inlineStr">
        <is>
          <t>Нижний Новгород</t>
        </is>
      </c>
      <c r="E248" s="22" t="n">
        <v>117</v>
      </c>
      <c r="F248" s="22" t="n">
        <v>134</v>
      </c>
      <c r="G248" s="22" t="n">
        <v>58</v>
      </c>
      <c r="H248" s="22" t="n">
        <v>18</v>
      </c>
      <c r="I248" s="21" t="inlineStr">
        <is>
          <t>Цена зависит от стоимости объекта</t>
        </is>
      </c>
      <c r="J248" s="23" t="inlineStr">
        <is>
          <t>2026-06-10</t>
        </is>
      </c>
    </row>
    <row r="249">
      <c r="A249" s="21" t="inlineStr">
        <is>
          <t>Продажа</t>
        </is>
      </c>
      <c r="B249" s="21" t="inlineStr">
        <is>
          <t>Коммерческая</t>
        </is>
      </c>
      <c r="C249" s="21" t="inlineStr">
        <is>
          <t>Склад</t>
        </is>
      </c>
      <c r="D249" s="21" t="inlineStr">
        <is>
          <t>Челябинск</t>
        </is>
      </c>
      <c r="E249" s="22" t="n">
        <v>246</v>
      </c>
      <c r="F249" s="22" t="n">
        <v>240</v>
      </c>
      <c r="G249" s="22" t="n">
        <v>113</v>
      </c>
      <c r="H249" s="22" t="n">
        <v>33</v>
      </c>
      <c r="I249" s="21" t="inlineStr">
        <is>
          <t>Цена зависит от стоимости объекта</t>
        </is>
      </c>
      <c r="J249" s="23" t="inlineStr">
        <is>
          <t>2026-06-10</t>
        </is>
      </c>
    </row>
    <row r="250">
      <c r="A250" s="21" t="inlineStr">
        <is>
          <t>Продажа</t>
        </is>
      </c>
      <c r="B250" s="21" t="inlineStr">
        <is>
          <t>Коммерческая</t>
        </is>
      </c>
      <c r="C250" s="21" t="inlineStr">
        <is>
          <t>Склад</t>
        </is>
      </c>
      <c r="D250" s="21" t="inlineStr">
        <is>
          <t>Уфа</t>
        </is>
      </c>
      <c r="E250" s="22" t="n">
        <v>450</v>
      </c>
      <c r="F250" s="22" t="n">
        <v>123</v>
      </c>
      <c r="G250" s="22" t="n">
        <v>55</v>
      </c>
      <c r="H250" s="22" t="n">
        <v>18</v>
      </c>
      <c r="I250" s="21" t="inlineStr">
        <is>
          <t>Цена зависит от стоимости объекта</t>
        </is>
      </c>
      <c r="J250" s="23" t="inlineStr">
        <is>
          <t>2026-06-10</t>
        </is>
      </c>
    </row>
    <row r="251">
      <c r="A251" s="21" t="inlineStr">
        <is>
          <t>Продажа</t>
        </is>
      </c>
      <c r="B251" s="21" t="inlineStr">
        <is>
          <t>Коммерческая</t>
        </is>
      </c>
      <c r="C251" s="21" t="inlineStr">
        <is>
          <t>Склад</t>
        </is>
      </c>
      <c r="D251" s="21" t="inlineStr">
        <is>
          <t>Краснодар</t>
        </is>
      </c>
      <c r="E251" s="22" t="n">
        <v>132</v>
      </c>
      <c r="F251" s="22" t="n">
        <v>129</v>
      </c>
      <c r="G251" s="22" t="n">
        <v>58</v>
      </c>
      <c r="H251" s="22" t="n">
        <v>18</v>
      </c>
      <c r="I251" s="21" t="inlineStr">
        <is>
          <t>Цена зависит от стоимости объекта</t>
        </is>
      </c>
      <c r="J251" s="23" t="inlineStr">
        <is>
          <t>2026-06-10</t>
        </is>
      </c>
    </row>
    <row r="252">
      <c r="A252" s="21" t="inlineStr">
        <is>
          <t>Продажа</t>
        </is>
      </c>
      <c r="B252" s="21" t="inlineStr">
        <is>
          <t>Коммерческая</t>
        </is>
      </c>
      <c r="C252" s="21" t="inlineStr">
        <is>
          <t>Склад</t>
        </is>
      </c>
      <c r="D252" s="21" t="inlineStr">
        <is>
          <t>Самара</t>
        </is>
      </c>
      <c r="E252" s="22" t="n">
        <v>81</v>
      </c>
      <c r="F252" s="24" t="inlineStr">
        <is>
          <t>—</t>
        </is>
      </c>
      <c r="G252" s="24" t="inlineStr">
        <is>
          <t>—</t>
        </is>
      </c>
      <c r="H252" s="24" t="inlineStr">
        <is>
          <t>—</t>
        </is>
      </c>
      <c r="I252" s="21" t="inlineStr">
        <is>
          <t>Цена зависит от стоимости объекта</t>
        </is>
      </c>
      <c r="J252" s="23" t="inlineStr">
        <is>
          <t>2026-06-10</t>
        </is>
      </c>
    </row>
    <row r="253">
      <c r="A253" s="21" t="inlineStr">
        <is>
          <t>Продажа</t>
        </is>
      </c>
      <c r="B253" s="21" t="inlineStr">
        <is>
          <t>Коммерческая</t>
        </is>
      </c>
      <c r="C253" s="21" t="inlineStr">
        <is>
          <t>Склад</t>
        </is>
      </c>
      <c r="D253" s="21" t="inlineStr">
        <is>
          <t>Ростов-на-Дону</t>
        </is>
      </c>
      <c r="E253" s="22" t="n">
        <v>342</v>
      </c>
      <c r="F253" s="22" t="n">
        <v>120</v>
      </c>
      <c r="G253" s="22" t="n">
        <v>51</v>
      </c>
      <c r="H253" s="22" t="n">
        <v>15</v>
      </c>
      <c r="I253" s="21" t="inlineStr">
        <is>
          <t>Цена зависит от стоимости объекта</t>
        </is>
      </c>
      <c r="J253" s="23" t="inlineStr">
        <is>
          <t>2026-06-10</t>
        </is>
      </c>
    </row>
    <row r="254">
      <c r="A254" s="21" t="inlineStr">
        <is>
          <t>Продажа</t>
        </is>
      </c>
      <c r="B254" s="21" t="inlineStr">
        <is>
          <t>Коммерческая</t>
        </is>
      </c>
      <c r="C254" s="21" t="inlineStr">
        <is>
          <t>Склад</t>
        </is>
      </c>
      <c r="D254" s="21" t="inlineStr">
        <is>
          <t>Омск</t>
        </is>
      </c>
      <c r="E254" s="22" t="n">
        <v>918</v>
      </c>
      <c r="F254" s="22" t="n">
        <v>371</v>
      </c>
      <c r="G254" s="22" t="n">
        <v>193</v>
      </c>
      <c r="H254" s="22" t="n">
        <v>64</v>
      </c>
      <c r="I254" s="21" t="inlineStr">
        <is>
          <t>Цена зависит от стоимости объекта</t>
        </is>
      </c>
      <c r="J254" s="23" t="inlineStr">
        <is>
          <t>2026-06-10</t>
        </is>
      </c>
    </row>
    <row r="255">
      <c r="A255" s="21" t="inlineStr">
        <is>
          <t>Продажа</t>
        </is>
      </c>
      <c r="B255" s="21" t="inlineStr">
        <is>
          <t>Коммерческая</t>
        </is>
      </c>
      <c r="C255" s="21" t="inlineStr">
        <is>
          <t>Склад</t>
        </is>
      </c>
      <c r="D255" s="21" t="inlineStr">
        <is>
          <t>Воронеж</t>
        </is>
      </c>
      <c r="E255" s="22" t="n">
        <v>159</v>
      </c>
      <c r="F255" s="24" t="inlineStr">
        <is>
          <t>—</t>
        </is>
      </c>
      <c r="G255" s="24" t="inlineStr">
        <is>
          <t>—</t>
        </is>
      </c>
      <c r="H255" s="24" t="inlineStr">
        <is>
          <t>—</t>
        </is>
      </c>
      <c r="I255" s="21" t="inlineStr">
        <is>
          <t>Цена зависит от стоимости объекта</t>
        </is>
      </c>
      <c r="J255" s="23" t="inlineStr">
        <is>
          <t>2026-06-10</t>
        </is>
      </c>
    </row>
    <row r="256">
      <c r="A256" s="21" t="inlineStr">
        <is>
          <t>Продажа</t>
        </is>
      </c>
      <c r="B256" s="21" t="inlineStr">
        <is>
          <t>Коммерческая</t>
        </is>
      </c>
      <c r="C256" s="21" t="inlineStr">
        <is>
          <t>Склад</t>
        </is>
      </c>
      <c r="D256" s="21" t="inlineStr">
        <is>
          <t>Пермь</t>
        </is>
      </c>
      <c r="E256" s="22" t="n">
        <v>84</v>
      </c>
      <c r="F256" s="24" t="inlineStr">
        <is>
          <t>—</t>
        </is>
      </c>
      <c r="G256" s="24" t="inlineStr">
        <is>
          <t>—</t>
        </is>
      </c>
      <c r="H256" s="24" t="inlineStr">
        <is>
          <t>—</t>
        </is>
      </c>
      <c r="I256" s="21" t="inlineStr">
        <is>
          <t>Цена зависит от стоимости объекта</t>
        </is>
      </c>
      <c r="J256" s="23" t="inlineStr">
        <is>
          <t>2026-06-10</t>
        </is>
      </c>
    </row>
    <row r="257">
      <c r="A257" s="21" t="inlineStr">
        <is>
          <t>Продажа</t>
        </is>
      </c>
      <c r="B257" s="21" t="inlineStr">
        <is>
          <t>Коммерческая</t>
        </is>
      </c>
      <c r="C257" s="21" t="inlineStr">
        <is>
          <t>Склад</t>
        </is>
      </c>
      <c r="D257" s="21" t="inlineStr">
        <is>
          <t>Волгоград</t>
        </is>
      </c>
      <c r="E257" s="22" t="n">
        <v>720</v>
      </c>
      <c r="F257" s="24" t="inlineStr">
        <is>
          <t>—</t>
        </is>
      </c>
      <c r="G257" s="24" t="inlineStr">
        <is>
          <t>—</t>
        </is>
      </c>
      <c r="H257" s="24" t="inlineStr">
        <is>
          <t>—</t>
        </is>
      </c>
      <c r="I257" s="21" t="inlineStr">
        <is>
          <t>Цена зависит от стоимости объекта</t>
        </is>
      </c>
      <c r="J257" s="23" t="inlineStr">
        <is>
          <t>2026-06-10</t>
        </is>
      </c>
    </row>
    <row r="258">
      <c r="A258" s="21" t="inlineStr">
        <is>
          <t>Продажа</t>
        </is>
      </c>
      <c r="B258" s="21" t="inlineStr">
        <is>
          <t>Коммерческая</t>
        </is>
      </c>
      <c r="C258" s="21" t="inlineStr">
        <is>
          <t>Гараж</t>
        </is>
      </c>
      <c r="D258" s="21" t="inlineStr">
        <is>
          <t>Москва</t>
        </is>
      </c>
      <c r="E258" s="22" t="n">
        <v>315</v>
      </c>
      <c r="F258" s="22" t="n">
        <v>326</v>
      </c>
      <c r="G258" s="22" t="n">
        <v>143</v>
      </c>
      <c r="H258" s="22" t="n">
        <v>43</v>
      </c>
      <c r="I258" s="21" t="inlineStr">
        <is>
          <t>Цена зависит от стоимости объекта</t>
        </is>
      </c>
      <c r="J258" s="23" t="inlineStr">
        <is>
          <t>2026-06-10</t>
        </is>
      </c>
    </row>
    <row r="259">
      <c r="A259" s="21" t="inlineStr">
        <is>
          <t>Продажа</t>
        </is>
      </c>
      <c r="B259" s="21" t="inlineStr">
        <is>
          <t>Коммерческая</t>
        </is>
      </c>
      <c r="C259" s="21" t="inlineStr">
        <is>
          <t>Гараж</t>
        </is>
      </c>
      <c r="D259" s="21" t="inlineStr">
        <is>
          <t>Санкт-Петербург</t>
        </is>
      </c>
      <c r="E259" s="22" t="n">
        <v>144</v>
      </c>
      <c r="F259" s="22" t="n">
        <v>143</v>
      </c>
      <c r="G259" s="22" t="n">
        <v>63</v>
      </c>
      <c r="H259" s="22" t="n">
        <v>22</v>
      </c>
      <c r="I259" s="21" t="inlineStr">
        <is>
          <t>Цена зависит от стоимости объекта</t>
        </is>
      </c>
      <c r="J259" s="23" t="inlineStr">
        <is>
          <t>2026-06-10</t>
        </is>
      </c>
    </row>
    <row r="260">
      <c r="A260" s="21" t="inlineStr">
        <is>
          <t>Продажа</t>
        </is>
      </c>
      <c r="B260" s="21" t="inlineStr">
        <is>
          <t>Коммерческая</t>
        </is>
      </c>
      <c r="C260" s="21" t="inlineStr">
        <is>
          <t>Гараж</t>
        </is>
      </c>
      <c r="D260" s="21" t="inlineStr">
        <is>
          <t>Новосибирск</t>
        </is>
      </c>
      <c r="E260" s="22" t="n">
        <v>102</v>
      </c>
      <c r="F260" s="22" t="n">
        <v>323</v>
      </c>
      <c r="G260" s="22" t="n">
        <v>150</v>
      </c>
      <c r="H260" s="22" t="n">
        <v>45</v>
      </c>
      <c r="I260" s="21" t="inlineStr">
        <is>
          <t>Цена зависит от стоимости объекта</t>
        </is>
      </c>
      <c r="J260" s="23" t="inlineStr">
        <is>
          <t>2026-06-10</t>
        </is>
      </c>
    </row>
    <row r="261">
      <c r="A261" s="21" t="inlineStr">
        <is>
          <t>Продажа</t>
        </is>
      </c>
      <c r="B261" s="21" t="inlineStr">
        <is>
          <t>Коммерческая</t>
        </is>
      </c>
      <c r="C261" s="21" t="inlineStr">
        <is>
          <t>Гараж</t>
        </is>
      </c>
      <c r="D261" s="21" t="inlineStr">
        <is>
          <t>Екатеринбург</t>
        </is>
      </c>
      <c r="E261" s="22" t="n">
        <v>102</v>
      </c>
      <c r="F261" s="22" t="n">
        <v>279</v>
      </c>
      <c r="G261" s="22" t="n">
        <v>150</v>
      </c>
      <c r="H261" s="22" t="n">
        <v>45</v>
      </c>
      <c r="I261" s="21" t="inlineStr">
        <is>
          <t>Цена зависит от стоимости объекта</t>
        </is>
      </c>
      <c r="J261" s="23" t="inlineStr">
        <is>
          <t>2026-06-10</t>
        </is>
      </c>
    </row>
    <row r="262">
      <c r="A262" s="21" t="inlineStr">
        <is>
          <t>Продажа</t>
        </is>
      </c>
      <c r="B262" s="21" t="inlineStr">
        <is>
          <t>Коммерческая</t>
        </is>
      </c>
      <c r="C262" s="21" t="inlineStr">
        <is>
          <t>Гараж</t>
        </is>
      </c>
      <c r="D262" s="21" t="inlineStr">
        <is>
          <t>Казань</t>
        </is>
      </c>
      <c r="E262" s="22" t="n">
        <v>108</v>
      </c>
      <c r="F262" s="22" t="n">
        <v>92</v>
      </c>
      <c r="G262" s="22" t="n">
        <v>41</v>
      </c>
      <c r="H262" s="22" t="n">
        <v>14</v>
      </c>
      <c r="I262" s="21" t="inlineStr">
        <is>
          <t>Цена зависит от стоимости объекта</t>
        </is>
      </c>
      <c r="J262" s="23" t="inlineStr">
        <is>
          <t>2026-06-10</t>
        </is>
      </c>
    </row>
    <row r="263">
      <c r="A263" s="21" t="inlineStr">
        <is>
          <t>Продажа</t>
        </is>
      </c>
      <c r="B263" s="21" t="inlineStr">
        <is>
          <t>Коммерческая</t>
        </is>
      </c>
      <c r="C263" s="21" t="inlineStr">
        <is>
          <t>Гараж</t>
        </is>
      </c>
      <c r="D263" s="21" t="inlineStr">
        <is>
          <t>Красноярск</t>
        </is>
      </c>
      <c r="E263" s="22" t="n">
        <v>102</v>
      </c>
      <c r="F263" s="24" t="inlineStr">
        <is>
          <t>—</t>
        </is>
      </c>
      <c r="G263" s="24" t="inlineStr">
        <is>
          <t>—</t>
        </is>
      </c>
      <c r="H263" s="24" t="inlineStr">
        <is>
          <t>—</t>
        </is>
      </c>
      <c r="I263" s="21" t="inlineStr">
        <is>
          <t>Цена зависит от стоимости объекта</t>
        </is>
      </c>
      <c r="J263" s="23" t="inlineStr">
        <is>
          <t>2026-06-10</t>
        </is>
      </c>
    </row>
    <row r="264">
      <c r="A264" s="21" t="inlineStr">
        <is>
          <t>Продажа</t>
        </is>
      </c>
      <c r="B264" s="21" t="inlineStr">
        <is>
          <t>Коммерческая</t>
        </is>
      </c>
      <c r="C264" s="21" t="inlineStr">
        <is>
          <t>Гараж</t>
        </is>
      </c>
      <c r="D264" s="21" t="inlineStr">
        <is>
          <t>Нижний Новгород</t>
        </is>
      </c>
      <c r="E264" s="22" t="n">
        <v>108</v>
      </c>
      <c r="F264" s="22" t="n">
        <v>107</v>
      </c>
      <c r="G264" s="22" t="n">
        <v>44</v>
      </c>
      <c r="H264" s="22" t="n">
        <v>15</v>
      </c>
      <c r="I264" s="21" t="inlineStr">
        <is>
          <t>Цена зависит от стоимости объекта</t>
        </is>
      </c>
      <c r="J264" s="23" t="inlineStr">
        <is>
          <t>2026-06-10</t>
        </is>
      </c>
    </row>
    <row r="265">
      <c r="A265" s="21" t="inlineStr">
        <is>
          <t>Продажа</t>
        </is>
      </c>
      <c r="B265" s="21" t="inlineStr">
        <is>
          <t>Коммерческая</t>
        </is>
      </c>
      <c r="C265" s="21" t="inlineStr">
        <is>
          <t>Гараж</t>
        </is>
      </c>
      <c r="D265" s="21" t="inlineStr">
        <is>
          <t>Челябинск</t>
        </is>
      </c>
      <c r="E265" s="22" t="n">
        <v>102</v>
      </c>
      <c r="F265" s="22" t="n">
        <v>211</v>
      </c>
      <c r="G265" s="22" t="n">
        <v>98</v>
      </c>
      <c r="H265" s="22" t="n">
        <v>29</v>
      </c>
      <c r="I265" s="21" t="inlineStr">
        <is>
          <t>Цена зависит от стоимости объекта</t>
        </is>
      </c>
      <c r="J265" s="23" t="inlineStr">
        <is>
          <t>2026-06-10</t>
        </is>
      </c>
    </row>
    <row r="266">
      <c r="A266" s="21" t="inlineStr">
        <is>
          <t>Продажа</t>
        </is>
      </c>
      <c r="B266" s="21" t="inlineStr">
        <is>
          <t>Коммерческая</t>
        </is>
      </c>
      <c r="C266" s="21" t="inlineStr">
        <is>
          <t>Гараж</t>
        </is>
      </c>
      <c r="D266" s="21" t="inlineStr">
        <is>
          <t>Уфа</t>
        </is>
      </c>
      <c r="E266" s="22" t="n">
        <v>108</v>
      </c>
      <c r="F266" s="22" t="n">
        <v>98</v>
      </c>
      <c r="G266" s="22" t="n">
        <v>44</v>
      </c>
      <c r="H266" s="22" t="n">
        <v>15</v>
      </c>
      <c r="I266" s="21" t="inlineStr">
        <is>
          <t>Цена зависит от стоимости объекта</t>
        </is>
      </c>
      <c r="J266" s="23" t="inlineStr">
        <is>
          <t>2026-06-10</t>
        </is>
      </c>
    </row>
    <row r="267">
      <c r="A267" s="21" t="inlineStr">
        <is>
          <t>Продажа</t>
        </is>
      </c>
      <c r="B267" s="21" t="inlineStr">
        <is>
          <t>Коммерческая</t>
        </is>
      </c>
      <c r="C267" s="21" t="inlineStr">
        <is>
          <t>Гараж</t>
        </is>
      </c>
      <c r="D267" s="21" t="inlineStr">
        <is>
          <t>Краснодар</t>
        </is>
      </c>
      <c r="E267" s="22" t="n">
        <v>24</v>
      </c>
      <c r="F267" s="22" t="n">
        <v>106</v>
      </c>
      <c r="G267" s="22" t="n">
        <v>48</v>
      </c>
      <c r="H267" s="22" t="n">
        <v>17</v>
      </c>
      <c r="I267" s="21" t="inlineStr">
        <is>
          <t>Цена зависит от стоимости объекта</t>
        </is>
      </c>
      <c r="J267" s="23" t="inlineStr">
        <is>
          <t>2026-06-10</t>
        </is>
      </c>
    </row>
    <row r="268">
      <c r="A268" s="21" t="inlineStr">
        <is>
          <t>Продажа</t>
        </is>
      </c>
      <c r="B268" s="21" t="inlineStr">
        <is>
          <t>Коммерческая</t>
        </is>
      </c>
      <c r="C268" s="21" t="inlineStr">
        <is>
          <t>Гараж</t>
        </is>
      </c>
      <c r="D268" s="21" t="inlineStr">
        <is>
          <t>Самара</t>
        </is>
      </c>
      <c r="E268" s="22" t="n">
        <v>108</v>
      </c>
      <c r="F268" s="24" t="inlineStr">
        <is>
          <t>—</t>
        </is>
      </c>
      <c r="G268" s="24" t="inlineStr">
        <is>
          <t>—</t>
        </is>
      </c>
      <c r="H268" s="24" t="inlineStr">
        <is>
          <t>—</t>
        </is>
      </c>
      <c r="I268" s="21" t="inlineStr">
        <is>
          <t>Цена зависит от стоимости объекта</t>
        </is>
      </c>
      <c r="J268" s="23" t="inlineStr">
        <is>
          <t>2026-06-10</t>
        </is>
      </c>
    </row>
    <row r="269">
      <c r="A269" s="21" t="inlineStr">
        <is>
          <t>Продажа</t>
        </is>
      </c>
      <c r="B269" s="21" t="inlineStr">
        <is>
          <t>Коммерческая</t>
        </is>
      </c>
      <c r="C269" s="21" t="inlineStr">
        <is>
          <t>Гараж</t>
        </is>
      </c>
      <c r="D269" s="21" t="inlineStr">
        <is>
          <t>Ростов-на-Дону</t>
        </is>
      </c>
      <c r="E269" s="22" t="n">
        <v>48</v>
      </c>
      <c r="F269" s="22" t="n">
        <v>96</v>
      </c>
      <c r="G269" s="22" t="n">
        <v>44</v>
      </c>
      <c r="H269" s="22" t="n">
        <v>15</v>
      </c>
      <c r="I269" s="21" t="inlineStr">
        <is>
          <t>Цена зависит от стоимости объекта</t>
        </is>
      </c>
      <c r="J269" s="23" t="inlineStr">
        <is>
          <t>2026-06-10</t>
        </is>
      </c>
    </row>
    <row r="270">
      <c r="A270" s="21" t="inlineStr">
        <is>
          <t>Продажа</t>
        </is>
      </c>
      <c r="B270" s="21" t="inlineStr">
        <is>
          <t>Коммерческая</t>
        </is>
      </c>
      <c r="C270" s="21" t="inlineStr">
        <is>
          <t>Гараж</t>
        </is>
      </c>
      <c r="D270" s="21" t="inlineStr">
        <is>
          <t>Омск</t>
        </is>
      </c>
      <c r="E270" s="22" t="n">
        <v>102</v>
      </c>
      <c r="F270" s="22" t="n">
        <v>144</v>
      </c>
      <c r="G270" s="22" t="n">
        <v>86</v>
      </c>
      <c r="H270" s="22" t="n">
        <v>25</v>
      </c>
      <c r="I270" s="21" t="inlineStr">
        <is>
          <t>Цена зависит от стоимости объекта</t>
        </is>
      </c>
      <c r="J270" s="23" t="inlineStr">
        <is>
          <t>2026-06-10</t>
        </is>
      </c>
    </row>
    <row r="271">
      <c r="A271" s="21" t="inlineStr">
        <is>
          <t>Продажа</t>
        </is>
      </c>
      <c r="B271" s="21" t="inlineStr">
        <is>
          <t>Коммерческая</t>
        </is>
      </c>
      <c r="C271" s="21" t="inlineStr">
        <is>
          <t>Гараж</t>
        </is>
      </c>
      <c r="D271" s="21" t="inlineStr">
        <is>
          <t>Воронеж</t>
        </is>
      </c>
      <c r="E271" s="22" t="n">
        <v>108</v>
      </c>
      <c r="F271" s="24" t="inlineStr">
        <is>
          <t>—</t>
        </is>
      </c>
      <c r="G271" s="24" t="inlineStr">
        <is>
          <t>—</t>
        </is>
      </c>
      <c r="H271" s="24" t="inlineStr">
        <is>
          <t>—</t>
        </is>
      </c>
      <c r="I271" s="21" t="inlineStr">
        <is>
          <t>Цена зависит от стоимости объекта</t>
        </is>
      </c>
      <c r="J271" s="23" t="inlineStr">
        <is>
          <t>2026-06-10</t>
        </is>
      </c>
    </row>
    <row r="272">
      <c r="A272" s="21" t="inlineStr">
        <is>
          <t>Продажа</t>
        </is>
      </c>
      <c r="B272" s="21" t="inlineStr">
        <is>
          <t>Коммерческая</t>
        </is>
      </c>
      <c r="C272" s="21" t="inlineStr">
        <is>
          <t>Гараж</t>
        </is>
      </c>
      <c r="D272" s="21" t="inlineStr">
        <is>
          <t>Пермь</t>
        </is>
      </c>
      <c r="E272" s="22" t="n">
        <v>9</v>
      </c>
      <c r="F272" s="24" t="inlineStr">
        <is>
          <t>—</t>
        </is>
      </c>
      <c r="G272" s="24" t="inlineStr">
        <is>
          <t>—</t>
        </is>
      </c>
      <c r="H272" s="24" t="inlineStr">
        <is>
          <t>—</t>
        </is>
      </c>
      <c r="I272" s="21" t="inlineStr">
        <is>
          <t>Цена зависит от стоимости объекта</t>
        </is>
      </c>
      <c r="J272" s="23" t="inlineStr">
        <is>
          <t>2026-06-10</t>
        </is>
      </c>
    </row>
    <row r="273">
      <c r="A273" s="21" t="inlineStr">
        <is>
          <t>Продажа</t>
        </is>
      </c>
      <c r="B273" s="21" t="inlineStr">
        <is>
          <t>Коммерческая</t>
        </is>
      </c>
      <c r="C273" s="21" t="inlineStr">
        <is>
          <t>Гараж</t>
        </is>
      </c>
      <c r="D273" s="21" t="inlineStr">
        <is>
          <t>Волгоград</t>
        </is>
      </c>
      <c r="E273" s="22" t="n">
        <v>108</v>
      </c>
      <c r="F273" s="24" t="inlineStr">
        <is>
          <t>—</t>
        </is>
      </c>
      <c r="G273" s="24" t="inlineStr">
        <is>
          <t>—</t>
        </is>
      </c>
      <c r="H273" s="24" t="inlineStr">
        <is>
          <t>—</t>
        </is>
      </c>
      <c r="I273" s="21" t="inlineStr">
        <is>
          <t>Цена зависит от стоимости объекта</t>
        </is>
      </c>
      <c r="J273" s="23" t="inlineStr">
        <is>
          <t>2026-06-10</t>
        </is>
      </c>
    </row>
    <row r="274">
      <c r="A274" s="21" t="inlineStr">
        <is>
          <t>Продажа</t>
        </is>
      </c>
      <c r="B274" s="21" t="inlineStr">
        <is>
          <t>Коммерческая</t>
        </is>
      </c>
      <c r="C274" s="21" t="inlineStr">
        <is>
          <t>Бизнес</t>
        </is>
      </c>
      <c r="D274" s="21" t="inlineStr">
        <is>
          <t>Москва</t>
        </is>
      </c>
      <c r="E274" s="22" t="n">
        <v>2700</v>
      </c>
      <c r="F274" s="22" t="n">
        <v>959</v>
      </c>
      <c r="G274" s="22" t="n">
        <v>395</v>
      </c>
      <c r="H274" s="22" t="n">
        <v>155</v>
      </c>
      <c r="I274" s="21" t="inlineStr">
        <is>
          <t>Цена зависит от стоимости объекта</t>
        </is>
      </c>
      <c r="J274" s="23" t="inlineStr">
        <is>
          <t>2026-06-10</t>
        </is>
      </c>
    </row>
    <row r="275">
      <c r="A275" s="21" t="inlineStr">
        <is>
          <t>Продажа</t>
        </is>
      </c>
      <c r="B275" s="21" t="inlineStr">
        <is>
          <t>Коммерческая</t>
        </is>
      </c>
      <c r="C275" s="21" t="inlineStr">
        <is>
          <t>Бизнес</t>
        </is>
      </c>
      <c r="D275" s="21" t="inlineStr">
        <is>
          <t>Санкт-Петербург</t>
        </is>
      </c>
      <c r="E275" s="22" t="n">
        <v>1590</v>
      </c>
      <c r="F275" s="22" t="n">
        <v>535</v>
      </c>
      <c r="G275" s="22" t="n">
        <v>235</v>
      </c>
      <c r="H275" s="22" t="n">
        <v>73</v>
      </c>
      <c r="I275" s="21" t="inlineStr">
        <is>
          <t>Цена зависит от стоимости объекта</t>
        </is>
      </c>
      <c r="J275" s="23" t="inlineStr">
        <is>
          <t>2026-06-10</t>
        </is>
      </c>
    </row>
    <row r="276">
      <c r="A276" s="21" t="inlineStr">
        <is>
          <t>Продажа</t>
        </is>
      </c>
      <c r="B276" s="21" t="inlineStr">
        <is>
          <t>Коммерческая</t>
        </is>
      </c>
      <c r="C276" s="21" t="inlineStr">
        <is>
          <t>Бизнес</t>
        </is>
      </c>
      <c r="D276" s="21" t="inlineStr">
        <is>
          <t>Новосибирск</t>
        </is>
      </c>
      <c r="E276" s="22" t="n">
        <v>1380</v>
      </c>
      <c r="F276" s="22" t="n">
        <v>326</v>
      </c>
      <c r="G276" s="22" t="n">
        <v>153</v>
      </c>
      <c r="H276" s="22" t="n">
        <v>45</v>
      </c>
      <c r="I276" s="21" t="inlineStr">
        <is>
          <t>Цена зависит от стоимости объекта</t>
        </is>
      </c>
      <c r="J276" s="23" t="inlineStr">
        <is>
          <t>2026-06-10</t>
        </is>
      </c>
    </row>
    <row r="277">
      <c r="A277" s="21" t="inlineStr">
        <is>
          <t>Продажа</t>
        </is>
      </c>
      <c r="B277" s="21" t="inlineStr">
        <is>
          <t>Коммерческая</t>
        </is>
      </c>
      <c r="C277" s="21" t="inlineStr">
        <is>
          <t>Бизнес</t>
        </is>
      </c>
      <c r="D277" s="21" t="inlineStr">
        <is>
          <t>Екатеринбург</t>
        </is>
      </c>
      <c r="E277" s="22" t="n">
        <v>1230</v>
      </c>
      <c r="F277" s="22" t="n">
        <v>388</v>
      </c>
      <c r="G277" s="22" t="n">
        <v>196</v>
      </c>
      <c r="H277" s="22" t="n">
        <v>60</v>
      </c>
      <c r="I277" s="21" t="inlineStr">
        <is>
          <t>Цена зависит от стоимости объекта</t>
        </is>
      </c>
      <c r="J277" s="23" t="inlineStr">
        <is>
          <t>2026-06-10</t>
        </is>
      </c>
    </row>
    <row r="278">
      <c r="A278" s="21" t="inlineStr">
        <is>
          <t>Продажа</t>
        </is>
      </c>
      <c r="B278" s="21" t="inlineStr">
        <is>
          <t>Коммерческая</t>
        </is>
      </c>
      <c r="C278" s="21" t="inlineStr">
        <is>
          <t>Бизнес</t>
        </is>
      </c>
      <c r="D278" s="21" t="inlineStr">
        <is>
          <t>Казань</t>
        </is>
      </c>
      <c r="E278" s="22" t="n">
        <v>576</v>
      </c>
      <c r="F278" s="22" t="n">
        <v>148</v>
      </c>
      <c r="G278" s="22" t="n">
        <v>66</v>
      </c>
      <c r="H278" s="22" t="n">
        <v>21</v>
      </c>
      <c r="I278" s="21" t="inlineStr">
        <is>
          <t>Цена зависит от стоимости объекта</t>
        </is>
      </c>
      <c r="J278" s="23" t="inlineStr">
        <is>
          <t>2026-06-10</t>
        </is>
      </c>
    </row>
    <row r="279">
      <c r="A279" s="21" t="inlineStr">
        <is>
          <t>Продажа</t>
        </is>
      </c>
      <c r="B279" s="21" t="inlineStr">
        <is>
          <t>Коммерческая</t>
        </is>
      </c>
      <c r="C279" s="21" t="inlineStr">
        <is>
          <t>Бизнес</t>
        </is>
      </c>
      <c r="D279" s="21" t="inlineStr">
        <is>
          <t>Красноярск</t>
        </is>
      </c>
      <c r="E279" s="22" t="n">
        <v>771</v>
      </c>
      <c r="F279" s="24" t="inlineStr">
        <is>
          <t>—</t>
        </is>
      </c>
      <c r="G279" s="24" t="inlineStr">
        <is>
          <t>—</t>
        </is>
      </c>
      <c r="H279" s="24" t="inlineStr">
        <is>
          <t>—</t>
        </is>
      </c>
      <c r="I279" s="21" t="inlineStr">
        <is>
          <t>Цена зависит от стоимости объекта</t>
        </is>
      </c>
      <c r="J279" s="23" t="inlineStr">
        <is>
          <t>2026-06-10</t>
        </is>
      </c>
    </row>
    <row r="280">
      <c r="A280" s="21" t="inlineStr">
        <is>
          <t>Продажа</t>
        </is>
      </c>
      <c r="B280" s="21" t="inlineStr">
        <is>
          <t>Коммерческая</t>
        </is>
      </c>
      <c r="C280" s="21" t="inlineStr">
        <is>
          <t>Бизнес</t>
        </is>
      </c>
      <c r="D280" s="21" t="inlineStr">
        <is>
          <t>Нижний Новгород</t>
        </is>
      </c>
      <c r="E280" s="22" t="n">
        <v>270</v>
      </c>
      <c r="F280" s="22" t="n">
        <v>162</v>
      </c>
      <c r="G280" s="22" t="n">
        <v>68</v>
      </c>
      <c r="H280" s="22" t="n">
        <v>21</v>
      </c>
      <c r="I280" s="21" t="inlineStr">
        <is>
          <t>Цена зависит от стоимости объекта</t>
        </is>
      </c>
      <c r="J280" s="23" t="inlineStr">
        <is>
          <t>2026-06-10</t>
        </is>
      </c>
    </row>
    <row r="281">
      <c r="A281" s="21" t="inlineStr">
        <is>
          <t>Продажа</t>
        </is>
      </c>
      <c r="B281" s="21" t="inlineStr">
        <is>
          <t>Коммерческая</t>
        </is>
      </c>
      <c r="C281" s="21" t="inlineStr">
        <is>
          <t>Бизнес</t>
        </is>
      </c>
      <c r="D281" s="21" t="inlineStr">
        <is>
          <t>Челябинск</t>
        </is>
      </c>
      <c r="E281" s="22" t="n">
        <v>585</v>
      </c>
      <c r="F281" s="22" t="n">
        <v>302</v>
      </c>
      <c r="G281" s="22" t="n">
        <v>136</v>
      </c>
      <c r="H281" s="22" t="n">
        <v>43</v>
      </c>
      <c r="I281" s="21" t="inlineStr">
        <is>
          <t>Цена зависит от стоимости объекта</t>
        </is>
      </c>
      <c r="J281" s="23" t="inlineStr">
        <is>
          <t>2026-06-10</t>
        </is>
      </c>
    </row>
    <row r="282">
      <c r="A282" s="21" t="inlineStr">
        <is>
          <t>Продажа</t>
        </is>
      </c>
      <c r="B282" s="21" t="inlineStr">
        <is>
          <t>Коммерческая</t>
        </is>
      </c>
      <c r="C282" s="21" t="inlineStr">
        <is>
          <t>Бизнес</t>
        </is>
      </c>
      <c r="D282" s="21" t="inlineStr">
        <is>
          <t>Уфа</t>
        </is>
      </c>
      <c r="E282" s="22" t="n">
        <v>645</v>
      </c>
      <c r="F282" s="22" t="n">
        <v>140</v>
      </c>
      <c r="G282" s="22" t="n">
        <v>60</v>
      </c>
      <c r="H282" s="22" t="n">
        <v>19</v>
      </c>
      <c r="I282" s="21" t="inlineStr">
        <is>
          <t>Цена зависит от стоимости объекта</t>
        </is>
      </c>
      <c r="J282" s="23" t="inlineStr">
        <is>
          <t>2026-06-10</t>
        </is>
      </c>
    </row>
    <row r="283">
      <c r="A283" s="21" t="inlineStr">
        <is>
          <t>Продажа</t>
        </is>
      </c>
      <c r="B283" s="21" t="inlineStr">
        <is>
          <t>Коммерческая</t>
        </is>
      </c>
      <c r="C283" s="21" t="inlineStr">
        <is>
          <t>Бизнес</t>
        </is>
      </c>
      <c r="D283" s="21" t="inlineStr">
        <is>
          <t>Краснодар</t>
        </is>
      </c>
      <c r="E283" s="22" t="n">
        <v>489</v>
      </c>
      <c r="F283" s="22" t="n">
        <v>144</v>
      </c>
      <c r="G283" s="22" t="n">
        <v>60</v>
      </c>
      <c r="H283" s="22" t="n">
        <v>20</v>
      </c>
      <c r="I283" s="21" t="inlineStr">
        <is>
          <t>Цена зависит от стоимости объекта</t>
        </is>
      </c>
      <c r="J283" s="23" t="inlineStr">
        <is>
          <t>2026-06-10</t>
        </is>
      </c>
    </row>
    <row r="284">
      <c r="A284" s="21" t="inlineStr">
        <is>
          <t>Продажа</t>
        </is>
      </c>
      <c r="B284" s="21" t="inlineStr">
        <is>
          <t>Коммерческая</t>
        </is>
      </c>
      <c r="C284" s="21" t="inlineStr">
        <is>
          <t>Бизнес</t>
        </is>
      </c>
      <c r="D284" s="21" t="inlineStr">
        <is>
          <t>Самара</t>
        </is>
      </c>
      <c r="E284" s="22" t="n">
        <v>390</v>
      </c>
      <c r="F284" s="24" t="inlineStr">
        <is>
          <t>—</t>
        </is>
      </c>
      <c r="G284" s="24" t="inlineStr">
        <is>
          <t>—</t>
        </is>
      </c>
      <c r="H284" s="24" t="inlineStr">
        <is>
          <t>—</t>
        </is>
      </c>
      <c r="I284" s="21" t="inlineStr">
        <is>
          <t>Цена зависит от стоимости объекта</t>
        </is>
      </c>
      <c r="J284" s="23" t="inlineStr">
        <is>
          <t>2026-06-10</t>
        </is>
      </c>
    </row>
    <row r="285">
      <c r="A285" s="21" t="inlineStr">
        <is>
          <t>Продажа</t>
        </is>
      </c>
      <c r="B285" s="21" t="inlineStr">
        <is>
          <t>Коммерческая</t>
        </is>
      </c>
      <c r="C285" s="21" t="inlineStr">
        <is>
          <t>Бизнес</t>
        </is>
      </c>
      <c r="D285" s="21" t="inlineStr">
        <is>
          <t>Ростов-на-Дону</t>
        </is>
      </c>
      <c r="E285" s="22" t="n">
        <v>390</v>
      </c>
      <c r="F285" s="22" t="n">
        <v>150</v>
      </c>
      <c r="G285" s="22" t="n">
        <v>62</v>
      </c>
      <c r="H285" s="22" t="n">
        <v>20</v>
      </c>
      <c r="I285" s="21" t="inlineStr">
        <is>
          <t>Цена зависит от стоимости объекта</t>
        </is>
      </c>
      <c r="J285" s="23" t="inlineStr">
        <is>
          <t>2026-06-10</t>
        </is>
      </c>
    </row>
    <row r="286">
      <c r="A286" s="21" t="inlineStr">
        <is>
          <t>Продажа</t>
        </is>
      </c>
      <c r="B286" s="21" t="inlineStr">
        <is>
          <t>Коммерческая</t>
        </is>
      </c>
      <c r="C286" s="21" t="inlineStr">
        <is>
          <t>Бизнес</t>
        </is>
      </c>
      <c r="D286" s="21" t="inlineStr">
        <is>
          <t>Омск</t>
        </is>
      </c>
      <c r="E286" s="22" t="n">
        <v>759</v>
      </c>
      <c r="F286" s="22" t="n">
        <v>342</v>
      </c>
      <c r="G286" s="22" t="n">
        <v>186</v>
      </c>
      <c r="H286" s="22" t="n">
        <v>63</v>
      </c>
      <c r="I286" s="21" t="inlineStr">
        <is>
          <t>Цена зависит от стоимости объекта</t>
        </is>
      </c>
      <c r="J286" s="23" t="inlineStr">
        <is>
          <t>2026-06-10</t>
        </is>
      </c>
    </row>
    <row r="287">
      <c r="A287" s="21" t="inlineStr">
        <is>
          <t>Продажа</t>
        </is>
      </c>
      <c r="B287" s="21" t="inlineStr">
        <is>
          <t>Коммерческая</t>
        </is>
      </c>
      <c r="C287" s="21" t="inlineStr">
        <is>
          <t>Бизнес</t>
        </is>
      </c>
      <c r="D287" s="21" t="inlineStr">
        <is>
          <t>Воронеж</t>
        </is>
      </c>
      <c r="E287" s="22" t="n">
        <v>180</v>
      </c>
      <c r="F287" s="24" t="inlineStr">
        <is>
          <t>—</t>
        </is>
      </c>
      <c r="G287" s="24" t="inlineStr">
        <is>
          <t>—</t>
        </is>
      </c>
      <c r="H287" s="24" t="inlineStr">
        <is>
          <t>—</t>
        </is>
      </c>
      <c r="I287" s="21" t="inlineStr">
        <is>
          <t>Цена зависит от стоимости объекта</t>
        </is>
      </c>
      <c r="J287" s="23" t="inlineStr">
        <is>
          <t>2026-06-10</t>
        </is>
      </c>
    </row>
    <row r="288">
      <c r="A288" s="21" t="inlineStr">
        <is>
          <t>Продажа</t>
        </is>
      </c>
      <c r="B288" s="21" t="inlineStr">
        <is>
          <t>Коммерческая</t>
        </is>
      </c>
      <c r="C288" s="21" t="inlineStr">
        <is>
          <t>Бизнес</t>
        </is>
      </c>
      <c r="D288" s="21" t="inlineStr">
        <is>
          <t>Пермь</t>
        </is>
      </c>
      <c r="E288" s="22" t="n">
        <v>93</v>
      </c>
      <c r="F288" s="24" t="inlineStr">
        <is>
          <t>—</t>
        </is>
      </c>
      <c r="G288" s="24" t="inlineStr">
        <is>
          <t>—</t>
        </is>
      </c>
      <c r="H288" s="24" t="inlineStr">
        <is>
          <t>—</t>
        </is>
      </c>
      <c r="I288" s="21" t="inlineStr">
        <is>
          <t>Цена зависит от стоимости объекта</t>
        </is>
      </c>
      <c r="J288" s="23" t="inlineStr">
        <is>
          <t>2026-06-10</t>
        </is>
      </c>
    </row>
    <row r="289">
      <c r="A289" s="21" t="inlineStr">
        <is>
          <t>Продажа</t>
        </is>
      </c>
      <c r="B289" s="21" t="inlineStr">
        <is>
          <t>Коммерческая</t>
        </is>
      </c>
      <c r="C289" s="21" t="inlineStr">
        <is>
          <t>Бизнес</t>
        </is>
      </c>
      <c r="D289" s="21" t="inlineStr">
        <is>
          <t>Волгоград</t>
        </is>
      </c>
      <c r="E289" s="22" t="n">
        <v>600</v>
      </c>
      <c r="F289" s="24" t="inlineStr">
        <is>
          <t>—</t>
        </is>
      </c>
      <c r="G289" s="24" t="inlineStr">
        <is>
          <t>—</t>
        </is>
      </c>
      <c r="H289" s="24" t="inlineStr">
        <is>
          <t>—</t>
        </is>
      </c>
      <c r="I289" s="21" t="inlineStr">
        <is>
          <t>Цена зависит от стоимости объекта</t>
        </is>
      </c>
      <c r="J289" s="23" t="inlineStr">
        <is>
          <t>2026-06-10</t>
        </is>
      </c>
    </row>
    <row r="290">
      <c r="A290" s="21" t="inlineStr">
        <is>
          <t>Продажа</t>
        </is>
      </c>
      <c r="B290" s="21" t="inlineStr">
        <is>
          <t>Коммерческая</t>
        </is>
      </c>
      <c r="C290" s="21" t="inlineStr">
        <is>
          <t>Коммерческая земля</t>
        </is>
      </c>
      <c r="D290" s="21" t="inlineStr">
        <is>
          <t>Москва</t>
        </is>
      </c>
      <c r="E290" s="22" t="n">
        <v>3420</v>
      </c>
      <c r="F290" s="22" t="n">
        <v>887</v>
      </c>
      <c r="G290" s="22" t="n">
        <v>348</v>
      </c>
      <c r="H290" s="22" t="n">
        <v>104</v>
      </c>
      <c r="I290" s="21" t="inlineStr">
        <is>
          <t>Цена зависит от стоимости объекта</t>
        </is>
      </c>
      <c r="J290" s="23" t="inlineStr">
        <is>
          <t>2026-06-10</t>
        </is>
      </c>
    </row>
    <row r="291">
      <c r="A291" s="21" t="inlineStr">
        <is>
          <t>Продажа</t>
        </is>
      </c>
      <c r="B291" s="21" t="inlineStr">
        <is>
          <t>Коммерческая</t>
        </is>
      </c>
      <c r="C291" s="21" t="inlineStr">
        <is>
          <t>Коммерческая земля</t>
        </is>
      </c>
      <c r="D291" s="21" t="inlineStr">
        <is>
          <t>Санкт-Петербург</t>
        </is>
      </c>
      <c r="E291" s="22" t="n">
        <v>1659</v>
      </c>
      <c r="F291" s="22" t="n">
        <v>661</v>
      </c>
      <c r="G291" s="22" t="n">
        <v>280</v>
      </c>
      <c r="H291" s="22" t="n">
        <v>86</v>
      </c>
      <c r="I291" s="21" t="inlineStr">
        <is>
          <t>Цена зависит от стоимости объекта</t>
        </is>
      </c>
      <c r="J291" s="23" t="inlineStr">
        <is>
          <t>2026-06-10</t>
        </is>
      </c>
    </row>
    <row r="292">
      <c r="A292" s="21" t="inlineStr">
        <is>
          <t>Продажа</t>
        </is>
      </c>
      <c r="B292" s="21" t="inlineStr">
        <is>
          <t>Коммерческая</t>
        </is>
      </c>
      <c r="C292" s="21" t="inlineStr">
        <is>
          <t>Коммерческая земля</t>
        </is>
      </c>
      <c r="D292" s="21" t="inlineStr">
        <is>
          <t>Новосибирск</t>
        </is>
      </c>
      <c r="E292" s="22" t="n">
        <v>1530</v>
      </c>
      <c r="F292" s="22" t="n">
        <v>337</v>
      </c>
      <c r="G292" s="22" t="n">
        <v>164</v>
      </c>
      <c r="H292" s="22" t="n">
        <v>49</v>
      </c>
      <c r="I292" s="21" t="inlineStr">
        <is>
          <t>Цена зависит от стоимости объекта</t>
        </is>
      </c>
      <c r="J292" s="23" t="inlineStr">
        <is>
          <t>2026-06-10</t>
        </is>
      </c>
    </row>
    <row r="293">
      <c r="A293" s="21" t="inlineStr">
        <is>
          <t>Продажа</t>
        </is>
      </c>
      <c r="B293" s="21" t="inlineStr">
        <is>
          <t>Коммерческая</t>
        </is>
      </c>
      <c r="C293" s="21" t="inlineStr">
        <is>
          <t>Коммерческая земля</t>
        </is>
      </c>
      <c r="D293" s="21" t="inlineStr">
        <is>
          <t>Екатеринбург</t>
        </is>
      </c>
      <c r="E293" s="22" t="n">
        <v>1122</v>
      </c>
      <c r="F293" s="22" t="n">
        <v>454</v>
      </c>
      <c r="G293" s="22" t="n">
        <v>244</v>
      </c>
      <c r="H293" s="22" t="n">
        <v>74</v>
      </c>
      <c r="I293" s="21" t="inlineStr">
        <is>
          <t>Цена зависит от стоимости объекта</t>
        </is>
      </c>
      <c r="J293" s="23" t="inlineStr">
        <is>
          <t>2026-06-10</t>
        </is>
      </c>
    </row>
    <row r="294">
      <c r="A294" s="21" t="inlineStr">
        <is>
          <t>Продажа</t>
        </is>
      </c>
      <c r="B294" s="21" t="inlineStr">
        <is>
          <t>Коммерческая</t>
        </is>
      </c>
      <c r="C294" s="21" t="inlineStr">
        <is>
          <t>Коммерческая земля</t>
        </is>
      </c>
      <c r="D294" s="21" t="inlineStr">
        <is>
          <t>Казань</t>
        </is>
      </c>
      <c r="E294" s="22" t="n">
        <v>441</v>
      </c>
      <c r="F294" s="22" t="n">
        <v>163</v>
      </c>
      <c r="G294" s="22" t="n">
        <v>68</v>
      </c>
      <c r="H294" s="22" t="n">
        <v>20</v>
      </c>
      <c r="I294" s="21" t="inlineStr">
        <is>
          <t>Цена зависит от стоимости объекта</t>
        </is>
      </c>
      <c r="J294" s="23" t="inlineStr">
        <is>
          <t>2026-06-10</t>
        </is>
      </c>
    </row>
    <row r="295">
      <c r="A295" s="21" t="inlineStr">
        <is>
          <t>Продажа</t>
        </is>
      </c>
      <c r="B295" s="21" t="inlineStr">
        <is>
          <t>Коммерческая</t>
        </is>
      </c>
      <c r="C295" s="21" t="inlineStr">
        <is>
          <t>Коммерческая земля</t>
        </is>
      </c>
      <c r="D295" s="21" t="inlineStr">
        <is>
          <t>Красноярск</t>
        </is>
      </c>
      <c r="E295" s="22" t="n">
        <v>540</v>
      </c>
      <c r="F295" s="24" t="inlineStr">
        <is>
          <t>—</t>
        </is>
      </c>
      <c r="G295" s="24" t="inlineStr">
        <is>
          <t>—</t>
        </is>
      </c>
      <c r="H295" s="24" t="inlineStr">
        <is>
          <t>—</t>
        </is>
      </c>
      <c r="I295" s="21" t="inlineStr">
        <is>
          <t>Цена зависит от стоимости объекта</t>
        </is>
      </c>
      <c r="J295" s="23" t="inlineStr">
        <is>
          <t>2026-06-10</t>
        </is>
      </c>
    </row>
    <row r="296">
      <c r="A296" s="21" t="inlineStr">
        <is>
          <t>Продажа</t>
        </is>
      </c>
      <c r="B296" s="21" t="inlineStr">
        <is>
          <t>Коммерческая</t>
        </is>
      </c>
      <c r="C296" s="21" t="inlineStr">
        <is>
          <t>Коммерческая земля</t>
        </is>
      </c>
      <c r="D296" s="21" t="inlineStr">
        <is>
          <t>Нижний Новгород</t>
        </is>
      </c>
      <c r="E296" s="22" t="n">
        <v>231</v>
      </c>
      <c r="F296" s="22" t="n">
        <v>123</v>
      </c>
      <c r="G296" s="22" t="n">
        <v>55</v>
      </c>
      <c r="H296" s="22" t="n">
        <v>18</v>
      </c>
      <c r="I296" s="21" t="inlineStr">
        <is>
          <t>Цена зависит от стоимости объекта</t>
        </is>
      </c>
      <c r="J296" s="23" t="inlineStr">
        <is>
          <t>2026-06-10</t>
        </is>
      </c>
    </row>
    <row r="297">
      <c r="A297" s="21" t="inlineStr">
        <is>
          <t>Продажа</t>
        </is>
      </c>
      <c r="B297" s="21" t="inlineStr">
        <is>
          <t>Коммерческая</t>
        </is>
      </c>
      <c r="C297" s="21" t="inlineStr">
        <is>
          <t>Коммерческая земля</t>
        </is>
      </c>
      <c r="D297" s="21" t="inlineStr">
        <is>
          <t>Челябинск</t>
        </is>
      </c>
      <c r="E297" s="22" t="n">
        <v>165</v>
      </c>
      <c r="F297" s="22" t="n">
        <v>243</v>
      </c>
      <c r="G297" s="22" t="n">
        <v>119</v>
      </c>
      <c r="H297" s="22" t="n">
        <v>37</v>
      </c>
      <c r="I297" s="21" t="inlineStr">
        <is>
          <t>Цена зависит от стоимости объекта</t>
        </is>
      </c>
      <c r="J297" s="23" t="inlineStr">
        <is>
          <t>2026-06-10</t>
        </is>
      </c>
    </row>
    <row r="298">
      <c r="A298" s="21" t="inlineStr">
        <is>
          <t>Продажа</t>
        </is>
      </c>
      <c r="B298" s="21" t="inlineStr">
        <is>
          <t>Коммерческая</t>
        </is>
      </c>
      <c r="C298" s="21" t="inlineStr">
        <is>
          <t>Коммерческая земля</t>
        </is>
      </c>
      <c r="D298" s="21" t="inlineStr">
        <is>
          <t>Уфа</t>
        </is>
      </c>
      <c r="E298" s="22" t="n">
        <v>183</v>
      </c>
      <c r="F298" s="22" t="n">
        <v>134</v>
      </c>
      <c r="G298" s="22" t="n">
        <v>58</v>
      </c>
      <c r="H298" s="22" t="n">
        <v>18</v>
      </c>
      <c r="I298" s="21" t="inlineStr">
        <is>
          <t>Цена зависит от стоимости объекта</t>
        </is>
      </c>
      <c r="J298" s="23" t="inlineStr">
        <is>
          <t>2026-06-10</t>
        </is>
      </c>
    </row>
    <row r="299">
      <c r="A299" s="21" t="inlineStr">
        <is>
          <t>Продажа</t>
        </is>
      </c>
      <c r="B299" s="21" t="inlineStr">
        <is>
          <t>Коммерческая</t>
        </is>
      </c>
      <c r="C299" s="21" t="inlineStr">
        <is>
          <t>Коммерческая земля</t>
        </is>
      </c>
      <c r="D299" s="21" t="inlineStr">
        <is>
          <t>Краснодар</t>
        </is>
      </c>
      <c r="E299" s="22" t="n">
        <v>369</v>
      </c>
      <c r="F299" s="22" t="n">
        <v>143</v>
      </c>
      <c r="G299" s="22" t="n">
        <v>63</v>
      </c>
      <c r="H299" s="22" t="n">
        <v>19</v>
      </c>
      <c r="I299" s="21" t="inlineStr">
        <is>
          <t>Цена зависит от стоимости объекта</t>
        </is>
      </c>
      <c r="J299" s="23" t="inlineStr">
        <is>
          <t>2026-06-10</t>
        </is>
      </c>
    </row>
    <row r="300">
      <c r="A300" s="21" t="inlineStr">
        <is>
          <t>Продажа</t>
        </is>
      </c>
      <c r="B300" s="21" t="inlineStr">
        <is>
          <t>Коммерческая</t>
        </is>
      </c>
      <c r="C300" s="21" t="inlineStr">
        <is>
          <t>Коммерческая земля</t>
        </is>
      </c>
      <c r="D300" s="21" t="inlineStr">
        <is>
          <t>Самара</t>
        </is>
      </c>
      <c r="E300" s="22" t="n">
        <v>456</v>
      </c>
      <c r="F300" s="24" t="inlineStr">
        <is>
          <t>—</t>
        </is>
      </c>
      <c r="G300" s="24" t="inlineStr">
        <is>
          <t>—</t>
        </is>
      </c>
      <c r="H300" s="24" t="inlineStr">
        <is>
          <t>—</t>
        </is>
      </c>
      <c r="I300" s="21" t="inlineStr">
        <is>
          <t>Цена зависит от стоимости объекта</t>
        </is>
      </c>
      <c r="J300" s="23" t="inlineStr">
        <is>
          <t>2026-06-10</t>
        </is>
      </c>
    </row>
    <row r="301">
      <c r="A301" s="21" t="inlineStr">
        <is>
          <t>Продажа</t>
        </is>
      </c>
      <c r="B301" s="21" t="inlineStr">
        <is>
          <t>Коммерческая</t>
        </is>
      </c>
      <c r="C301" s="21" t="inlineStr">
        <is>
          <t>Коммерческая земля</t>
        </is>
      </c>
      <c r="D301" s="21" t="inlineStr">
        <is>
          <t>Ростов-на-Дону</t>
        </is>
      </c>
      <c r="E301" s="22" t="n">
        <v>456</v>
      </c>
      <c r="F301" s="22" t="n">
        <v>116</v>
      </c>
      <c r="G301" s="22" t="n">
        <v>50</v>
      </c>
      <c r="H301" s="22" t="n">
        <v>14</v>
      </c>
      <c r="I301" s="21" t="inlineStr">
        <is>
          <t>Цена зависит от стоимости объекта</t>
        </is>
      </c>
      <c r="J301" s="23" t="inlineStr">
        <is>
          <t>2026-06-10</t>
        </is>
      </c>
    </row>
    <row r="302">
      <c r="A302" s="21" t="inlineStr">
        <is>
          <t>Продажа</t>
        </is>
      </c>
      <c r="B302" s="21" t="inlineStr">
        <is>
          <t>Коммерческая</t>
        </is>
      </c>
      <c r="C302" s="21" t="inlineStr">
        <is>
          <t>Коммерческая земля</t>
        </is>
      </c>
      <c r="D302" s="21" t="inlineStr">
        <is>
          <t>Омск</t>
        </is>
      </c>
      <c r="E302" s="22" t="n">
        <v>861</v>
      </c>
      <c r="F302" s="22" t="n">
        <v>342</v>
      </c>
      <c r="G302" s="22" t="n">
        <v>194</v>
      </c>
      <c r="H302" s="22" t="n">
        <v>66</v>
      </c>
      <c r="I302" s="21" t="inlineStr">
        <is>
          <t>Цена зависит от стоимости объекта</t>
        </is>
      </c>
      <c r="J302" s="23" t="inlineStr">
        <is>
          <t>2026-06-10</t>
        </is>
      </c>
    </row>
    <row r="303">
      <c r="A303" s="21" t="inlineStr">
        <is>
          <t>Продажа</t>
        </is>
      </c>
      <c r="B303" s="21" t="inlineStr">
        <is>
          <t>Коммерческая</t>
        </is>
      </c>
      <c r="C303" s="21" t="inlineStr">
        <is>
          <t>Коммерческая земля</t>
        </is>
      </c>
      <c r="D303" s="21" t="inlineStr">
        <is>
          <t>Воронеж</t>
        </is>
      </c>
      <c r="E303" s="22" t="n">
        <v>87</v>
      </c>
      <c r="F303" s="24" t="inlineStr">
        <is>
          <t>—</t>
        </is>
      </c>
      <c r="G303" s="24" t="inlineStr">
        <is>
          <t>—</t>
        </is>
      </c>
      <c r="H303" s="24" t="inlineStr">
        <is>
          <t>—</t>
        </is>
      </c>
      <c r="I303" s="21" t="inlineStr">
        <is>
          <t>Цена зависит от стоимости объекта</t>
        </is>
      </c>
      <c r="J303" s="23" t="inlineStr">
        <is>
          <t>2026-06-10</t>
        </is>
      </c>
    </row>
    <row r="304">
      <c r="A304" s="21" t="inlineStr">
        <is>
          <t>Продажа</t>
        </is>
      </c>
      <c r="B304" s="21" t="inlineStr">
        <is>
          <t>Коммерческая</t>
        </is>
      </c>
      <c r="C304" s="21" t="inlineStr">
        <is>
          <t>Коммерческая земля</t>
        </is>
      </c>
      <c r="D304" s="21" t="inlineStr">
        <is>
          <t>Пермь</t>
        </is>
      </c>
      <c r="E304" s="22" t="n">
        <v>93</v>
      </c>
      <c r="F304" s="24" t="inlineStr">
        <is>
          <t>—</t>
        </is>
      </c>
      <c r="G304" s="24" t="inlineStr">
        <is>
          <t>—</t>
        </is>
      </c>
      <c r="H304" s="24" t="inlineStr">
        <is>
          <t>—</t>
        </is>
      </c>
      <c r="I304" s="21" t="inlineStr">
        <is>
          <t>Цена зависит от стоимости объекта</t>
        </is>
      </c>
      <c r="J304" s="23" t="inlineStr">
        <is>
          <t>2026-06-10</t>
        </is>
      </c>
    </row>
    <row r="305">
      <c r="A305" s="21" t="inlineStr">
        <is>
          <t>Продажа</t>
        </is>
      </c>
      <c r="B305" s="21" t="inlineStr">
        <is>
          <t>Коммерческая</t>
        </is>
      </c>
      <c r="C305" s="21" t="inlineStr">
        <is>
          <t>Коммерческая земля</t>
        </is>
      </c>
      <c r="D305" s="21" t="inlineStr">
        <is>
          <t>Волгоград</t>
        </is>
      </c>
      <c r="E305" s="22" t="n">
        <v>498</v>
      </c>
      <c r="F305" s="24" t="inlineStr">
        <is>
          <t>—</t>
        </is>
      </c>
      <c r="G305" s="24" t="inlineStr">
        <is>
          <t>—</t>
        </is>
      </c>
      <c r="H305" s="24" t="inlineStr">
        <is>
          <t>—</t>
        </is>
      </c>
      <c r="I305" s="21" t="inlineStr">
        <is>
          <t>Цена зависит от стоимости объекта</t>
        </is>
      </c>
      <c r="J305" s="23" t="inlineStr">
        <is>
          <t>2026-06-10</t>
        </is>
      </c>
    </row>
    <row r="306">
      <c r="A306" s="17" t="inlineStr">
        <is>
          <t>Аренда</t>
        </is>
      </c>
      <c r="B306" s="17" t="inlineStr">
        <is>
          <t>Городская</t>
        </is>
      </c>
      <c r="C306" s="18" t="inlineStr">
        <is>
          <t>Квартира</t>
        </is>
      </c>
      <c r="D306" s="18" t="inlineStr">
        <is>
          <t>Москва</t>
        </is>
      </c>
      <c r="E306" s="19" t="n">
        <v>1533</v>
      </c>
      <c r="F306" s="19" t="n">
        <v>919</v>
      </c>
      <c r="G306" s="19" t="n">
        <v>388</v>
      </c>
      <c r="H306" s="19" t="n">
        <v>202</v>
      </c>
      <c r="I306" s="18" t="inlineStr">
        <is>
          <t>Цена зависит от стоимости объекта</t>
        </is>
      </c>
      <c r="J306" s="20" t="inlineStr">
        <is>
          <t>2026-06-10</t>
        </is>
      </c>
    </row>
    <row r="307">
      <c r="A307" s="21" t="inlineStr">
        <is>
          <t>Аренда</t>
        </is>
      </c>
      <c r="B307" s="21" t="inlineStr">
        <is>
          <t>Городская</t>
        </is>
      </c>
      <c r="C307" s="21" t="inlineStr">
        <is>
          <t>Квартира</t>
        </is>
      </c>
      <c r="D307" s="21" t="inlineStr">
        <is>
          <t>Санкт-Петербург</t>
        </is>
      </c>
      <c r="E307" s="22" t="n">
        <v>639</v>
      </c>
      <c r="F307" s="22" t="n">
        <v>358</v>
      </c>
      <c r="G307" s="22" t="n">
        <v>169</v>
      </c>
      <c r="H307" s="22" t="n">
        <v>69</v>
      </c>
      <c r="I307" s="21" t="inlineStr">
        <is>
          <t>Цена зависит от стоимости объекта</t>
        </is>
      </c>
      <c r="J307" s="23" t="inlineStr">
        <is>
          <t>2026-06-10</t>
        </is>
      </c>
    </row>
    <row r="308">
      <c r="A308" s="21" t="inlineStr">
        <is>
          <t>Аренда</t>
        </is>
      </c>
      <c r="B308" s="21" t="inlineStr">
        <is>
          <t>Городская</t>
        </is>
      </c>
      <c r="C308" s="21" t="inlineStr">
        <is>
          <t>Квартира</t>
        </is>
      </c>
      <c r="D308" s="21" t="inlineStr">
        <is>
          <t>Новосибирск</t>
        </is>
      </c>
      <c r="E308" s="22" t="n">
        <v>312</v>
      </c>
      <c r="F308" s="22" t="n">
        <v>271</v>
      </c>
      <c r="G308" s="22" t="n">
        <v>128</v>
      </c>
      <c r="H308" s="22" t="n">
        <v>45</v>
      </c>
      <c r="I308" s="21" t="inlineStr">
        <is>
          <t>Цена зависит от стоимости объекта</t>
        </is>
      </c>
      <c r="J308" s="23" t="inlineStr">
        <is>
          <t>2026-06-10</t>
        </is>
      </c>
    </row>
    <row r="309">
      <c r="A309" s="21" t="inlineStr">
        <is>
          <t>Аренда</t>
        </is>
      </c>
      <c r="B309" s="21" t="inlineStr">
        <is>
          <t>Городская</t>
        </is>
      </c>
      <c r="C309" s="21" t="inlineStr">
        <is>
          <t>Квартира</t>
        </is>
      </c>
      <c r="D309" s="21" t="inlineStr">
        <is>
          <t>Екатеринбург</t>
        </is>
      </c>
      <c r="E309" s="22" t="n">
        <v>288</v>
      </c>
      <c r="F309" s="22" t="n">
        <v>323</v>
      </c>
      <c r="G309" s="22" t="n">
        <v>228</v>
      </c>
      <c r="H309" s="22" t="n">
        <v>127</v>
      </c>
      <c r="I309" s="21" t="inlineStr">
        <is>
          <t>Цена зависит от стоимости объекта</t>
        </is>
      </c>
      <c r="J309" s="23" t="inlineStr">
        <is>
          <t>2026-06-10</t>
        </is>
      </c>
    </row>
    <row r="310">
      <c r="A310" s="21" t="inlineStr">
        <is>
          <t>Аренда</t>
        </is>
      </c>
      <c r="B310" s="21" t="inlineStr">
        <is>
          <t>Городская</t>
        </is>
      </c>
      <c r="C310" s="21" t="inlineStr">
        <is>
          <t>Квартира</t>
        </is>
      </c>
      <c r="D310" s="21" t="inlineStr">
        <is>
          <t>Казань</t>
        </is>
      </c>
      <c r="E310" s="22" t="n">
        <v>237</v>
      </c>
      <c r="F310" s="22" t="n">
        <v>194</v>
      </c>
      <c r="G310" s="22" t="n">
        <v>84</v>
      </c>
      <c r="H310" s="22" t="n">
        <v>26</v>
      </c>
      <c r="I310" s="21" t="inlineStr">
        <is>
          <t>Цена зависит от стоимости объекта</t>
        </is>
      </c>
      <c r="J310" s="23" t="inlineStr">
        <is>
          <t>2026-06-10</t>
        </is>
      </c>
    </row>
    <row r="311">
      <c r="A311" s="21" t="inlineStr">
        <is>
          <t>Аренда</t>
        </is>
      </c>
      <c r="B311" s="21" t="inlineStr">
        <is>
          <t>Городская</t>
        </is>
      </c>
      <c r="C311" s="21" t="inlineStr">
        <is>
          <t>Квартира</t>
        </is>
      </c>
      <c r="D311" s="21" t="inlineStr">
        <is>
          <t>Красноярск</t>
        </is>
      </c>
      <c r="E311" s="22" t="n">
        <v>297</v>
      </c>
      <c r="F311" s="24" t="inlineStr">
        <is>
          <t>—</t>
        </is>
      </c>
      <c r="G311" s="24" t="inlineStr">
        <is>
          <t>—</t>
        </is>
      </c>
      <c r="H311" s="24" t="inlineStr">
        <is>
          <t>—</t>
        </is>
      </c>
      <c r="I311" s="21" t="inlineStr">
        <is>
          <t>Цена зависит от стоимости объекта</t>
        </is>
      </c>
      <c r="J311" s="23" t="inlineStr">
        <is>
          <t>2026-06-10</t>
        </is>
      </c>
    </row>
    <row r="312">
      <c r="A312" s="21" t="inlineStr">
        <is>
          <t>Аренда</t>
        </is>
      </c>
      <c r="B312" s="21" t="inlineStr">
        <is>
          <t>Городская</t>
        </is>
      </c>
      <c r="C312" s="21" t="inlineStr">
        <is>
          <t>Квартира</t>
        </is>
      </c>
      <c r="D312" s="21" t="inlineStr">
        <is>
          <t>Нижний Новгород</t>
        </is>
      </c>
      <c r="E312" s="22" t="n">
        <v>279</v>
      </c>
      <c r="F312" s="22" t="n">
        <v>187</v>
      </c>
      <c r="G312" s="22" t="n">
        <v>79</v>
      </c>
      <c r="H312" s="22" t="n">
        <v>24</v>
      </c>
      <c r="I312" s="21" t="inlineStr">
        <is>
          <t>Цена зависит от стоимости объекта</t>
        </is>
      </c>
      <c r="J312" s="23" t="inlineStr">
        <is>
          <t>2026-06-10</t>
        </is>
      </c>
    </row>
    <row r="313">
      <c r="A313" s="21" t="inlineStr">
        <is>
          <t>Аренда</t>
        </is>
      </c>
      <c r="B313" s="21" t="inlineStr">
        <is>
          <t>Городская</t>
        </is>
      </c>
      <c r="C313" s="21" t="inlineStr">
        <is>
          <t>Квартира</t>
        </is>
      </c>
      <c r="D313" s="21" t="inlineStr">
        <is>
          <t>Челябинск</t>
        </is>
      </c>
      <c r="E313" s="22" t="n">
        <v>123</v>
      </c>
      <c r="F313" s="22" t="n">
        <v>229</v>
      </c>
      <c r="G313" s="22" t="n">
        <v>94</v>
      </c>
      <c r="H313" s="22" t="n">
        <v>28</v>
      </c>
      <c r="I313" s="21" t="inlineStr">
        <is>
          <t>Цена зависит от стоимости объекта</t>
        </is>
      </c>
      <c r="J313" s="23" t="inlineStr">
        <is>
          <t>2026-06-10</t>
        </is>
      </c>
    </row>
    <row r="314">
      <c r="A314" s="21" t="inlineStr">
        <is>
          <t>Аренда</t>
        </is>
      </c>
      <c r="B314" s="21" t="inlineStr">
        <is>
          <t>Городская</t>
        </is>
      </c>
      <c r="C314" s="21" t="inlineStr">
        <is>
          <t>Квартира</t>
        </is>
      </c>
      <c r="D314" s="21" t="inlineStr">
        <is>
          <t>Уфа</t>
        </is>
      </c>
      <c r="E314" s="22" t="n">
        <v>144</v>
      </c>
      <c r="F314" s="22" t="n">
        <v>150</v>
      </c>
      <c r="G314" s="22" t="n">
        <v>63</v>
      </c>
      <c r="H314" s="22" t="n">
        <v>20</v>
      </c>
      <c r="I314" s="21" t="inlineStr">
        <is>
          <t>Цена зависит от стоимости объекта</t>
        </is>
      </c>
      <c r="J314" s="23" t="inlineStr">
        <is>
          <t>2026-06-10</t>
        </is>
      </c>
    </row>
    <row r="315">
      <c r="A315" s="21" t="inlineStr">
        <is>
          <t>Аренда</t>
        </is>
      </c>
      <c r="B315" s="21" t="inlineStr">
        <is>
          <t>Городская</t>
        </is>
      </c>
      <c r="C315" s="21" t="inlineStr">
        <is>
          <t>Квартира</t>
        </is>
      </c>
      <c r="D315" s="21" t="inlineStr">
        <is>
          <t>Краснодар</t>
        </is>
      </c>
      <c r="E315" s="22" t="n">
        <v>225</v>
      </c>
      <c r="F315" s="22" t="n">
        <v>232</v>
      </c>
      <c r="G315" s="22" t="n">
        <v>90</v>
      </c>
      <c r="H315" s="22" t="n">
        <v>29</v>
      </c>
      <c r="I315" s="21" t="inlineStr">
        <is>
          <t>Цена зависит от стоимости объекта</t>
        </is>
      </c>
      <c r="J315" s="23" t="inlineStr">
        <is>
          <t>2026-06-10</t>
        </is>
      </c>
    </row>
    <row r="316">
      <c r="A316" s="21" t="inlineStr">
        <is>
          <t>Аренда</t>
        </is>
      </c>
      <c r="B316" s="21" t="inlineStr">
        <is>
          <t>Городская</t>
        </is>
      </c>
      <c r="C316" s="21" t="inlineStr">
        <is>
          <t>Квартира</t>
        </is>
      </c>
      <c r="D316" s="21" t="inlineStr">
        <is>
          <t>Самара</t>
        </is>
      </c>
      <c r="E316" s="22" t="n">
        <v>291</v>
      </c>
      <c r="F316" s="24" t="inlineStr">
        <is>
          <t>—</t>
        </is>
      </c>
      <c r="G316" s="24" t="inlineStr">
        <is>
          <t>—</t>
        </is>
      </c>
      <c r="H316" s="24" t="inlineStr">
        <is>
          <t>—</t>
        </is>
      </c>
      <c r="I316" s="21" t="inlineStr">
        <is>
          <t>Цена зависит от стоимости объекта</t>
        </is>
      </c>
      <c r="J316" s="23" t="inlineStr">
        <is>
          <t>2026-06-10</t>
        </is>
      </c>
    </row>
    <row r="317">
      <c r="A317" s="21" t="inlineStr">
        <is>
          <t>Аренда</t>
        </is>
      </c>
      <c r="B317" s="21" t="inlineStr">
        <is>
          <t>Городская</t>
        </is>
      </c>
      <c r="C317" s="21" t="inlineStr">
        <is>
          <t>Квартира</t>
        </is>
      </c>
      <c r="D317" s="21" t="inlineStr">
        <is>
          <t>Ростов-на-Дону</t>
        </is>
      </c>
      <c r="E317" s="22" t="n">
        <v>123</v>
      </c>
      <c r="F317" s="22" t="n">
        <v>179</v>
      </c>
      <c r="G317" s="22" t="n">
        <v>77</v>
      </c>
      <c r="H317" s="22" t="n">
        <v>24</v>
      </c>
      <c r="I317" s="21" t="inlineStr">
        <is>
          <t>Цена зависит от стоимости объекта</t>
        </is>
      </c>
      <c r="J317" s="23" t="inlineStr">
        <is>
          <t>2026-06-10</t>
        </is>
      </c>
    </row>
    <row r="318">
      <c r="A318" s="21" t="inlineStr">
        <is>
          <t>Аренда</t>
        </is>
      </c>
      <c r="B318" s="21" t="inlineStr">
        <is>
          <t>Городская</t>
        </is>
      </c>
      <c r="C318" s="21" t="inlineStr">
        <is>
          <t>Квартира</t>
        </is>
      </c>
      <c r="D318" s="21" t="inlineStr">
        <is>
          <t>Омск</t>
        </is>
      </c>
      <c r="E318" s="22" t="n">
        <v>219</v>
      </c>
      <c r="F318" s="22" t="n">
        <v>231</v>
      </c>
      <c r="G318" s="22" t="n">
        <v>131</v>
      </c>
      <c r="H318" s="22" t="n">
        <v>42</v>
      </c>
      <c r="I318" s="21" t="inlineStr">
        <is>
          <t>Цена зависит от стоимости объекта</t>
        </is>
      </c>
      <c r="J318" s="23" t="inlineStr">
        <is>
          <t>2026-06-10</t>
        </is>
      </c>
    </row>
    <row r="319">
      <c r="A319" s="21" t="inlineStr">
        <is>
          <t>Аренда</t>
        </is>
      </c>
      <c r="B319" s="21" t="inlineStr">
        <is>
          <t>Городская</t>
        </is>
      </c>
      <c r="C319" s="21" t="inlineStr">
        <is>
          <t>Квартира</t>
        </is>
      </c>
      <c r="D319" s="21" t="inlineStr">
        <is>
          <t>Воронеж</t>
        </is>
      </c>
      <c r="E319" s="22" t="n">
        <v>69</v>
      </c>
      <c r="F319" s="24" t="inlineStr">
        <is>
          <t>—</t>
        </is>
      </c>
      <c r="G319" s="24" t="inlineStr">
        <is>
          <t>—</t>
        </is>
      </c>
      <c r="H319" s="24" t="inlineStr">
        <is>
          <t>—</t>
        </is>
      </c>
      <c r="I319" s="21" t="inlineStr">
        <is>
          <t>Цена зависит от стоимости объекта</t>
        </is>
      </c>
      <c r="J319" s="23" t="inlineStr">
        <is>
          <t>2026-06-10</t>
        </is>
      </c>
    </row>
    <row r="320">
      <c r="A320" s="21" t="inlineStr">
        <is>
          <t>Аренда</t>
        </is>
      </c>
      <c r="B320" s="21" t="inlineStr">
        <is>
          <t>Городская</t>
        </is>
      </c>
      <c r="C320" s="21" t="inlineStr">
        <is>
          <t>Квартира</t>
        </is>
      </c>
      <c r="D320" s="21" t="inlineStr">
        <is>
          <t>Пермь</t>
        </is>
      </c>
      <c r="E320" s="22" t="n">
        <v>27</v>
      </c>
      <c r="F320" s="24" t="inlineStr">
        <is>
          <t>—</t>
        </is>
      </c>
      <c r="G320" s="24" t="inlineStr">
        <is>
          <t>—</t>
        </is>
      </c>
      <c r="H320" s="24" t="inlineStr">
        <is>
          <t>—</t>
        </is>
      </c>
      <c r="I320" s="21" t="inlineStr">
        <is>
          <t>Цена зависит от стоимости объекта</t>
        </is>
      </c>
      <c r="J320" s="23" t="inlineStr">
        <is>
          <t>2026-06-10</t>
        </is>
      </c>
    </row>
    <row r="321">
      <c r="A321" s="21" t="inlineStr">
        <is>
          <t>Аренда</t>
        </is>
      </c>
      <c r="B321" s="21" t="inlineStr">
        <is>
          <t>Городская</t>
        </is>
      </c>
      <c r="C321" s="21" t="inlineStr">
        <is>
          <t>Квартира</t>
        </is>
      </c>
      <c r="D321" s="21" t="inlineStr">
        <is>
          <t>Волгоград</t>
        </is>
      </c>
      <c r="E321" s="22" t="n">
        <v>204</v>
      </c>
      <c r="F321" s="24" t="inlineStr">
        <is>
          <t>—</t>
        </is>
      </c>
      <c r="G321" s="24" t="inlineStr">
        <is>
          <t>—</t>
        </is>
      </c>
      <c r="H321" s="24" t="inlineStr">
        <is>
          <t>—</t>
        </is>
      </c>
      <c r="I321" s="21" t="inlineStr">
        <is>
          <t>Цена зависит от стоимости объекта</t>
        </is>
      </c>
      <c r="J321" s="23" t="inlineStr">
        <is>
          <t>2026-06-10</t>
        </is>
      </c>
    </row>
    <row r="322">
      <c r="A322" s="21" t="inlineStr">
        <is>
          <t>Аренда</t>
        </is>
      </c>
      <c r="B322" s="21" t="inlineStr">
        <is>
          <t>Городская</t>
        </is>
      </c>
      <c r="C322" s="21" t="inlineStr">
        <is>
          <t>Комната</t>
        </is>
      </c>
      <c r="D322" s="21" t="inlineStr">
        <is>
          <t>Москва</t>
        </is>
      </c>
      <c r="E322" s="22" t="n">
        <v>555</v>
      </c>
      <c r="F322" s="22" t="n">
        <v>611</v>
      </c>
      <c r="G322" s="22" t="n">
        <v>281</v>
      </c>
      <c r="H322" s="22" t="n">
        <v>102</v>
      </c>
      <c r="I322" s="21" t="inlineStr">
        <is>
          <t>Цена зависит от стоимости объекта</t>
        </is>
      </c>
      <c r="J322" s="23" t="inlineStr">
        <is>
          <t>2026-06-10</t>
        </is>
      </c>
    </row>
    <row r="323">
      <c r="A323" s="21" t="inlineStr">
        <is>
          <t>Аренда</t>
        </is>
      </c>
      <c r="B323" s="21" t="inlineStr">
        <is>
          <t>Городская</t>
        </is>
      </c>
      <c r="C323" s="21" t="inlineStr">
        <is>
          <t>Комната</t>
        </is>
      </c>
      <c r="D323" s="21" t="inlineStr">
        <is>
          <t>Санкт-Петербург</t>
        </is>
      </c>
      <c r="E323" s="22" t="n">
        <v>213</v>
      </c>
      <c r="F323" s="22" t="n">
        <v>344</v>
      </c>
      <c r="G323" s="22" t="n">
        <v>154</v>
      </c>
      <c r="H323" s="22" t="n">
        <v>46</v>
      </c>
      <c r="I323" s="21" t="inlineStr">
        <is>
          <t>Цена зависит от стоимости объекта</t>
        </is>
      </c>
      <c r="J323" s="23" t="inlineStr">
        <is>
          <t>2026-06-10</t>
        </is>
      </c>
    </row>
    <row r="324">
      <c r="A324" s="21" t="inlineStr">
        <is>
          <t>Аренда</t>
        </is>
      </c>
      <c r="B324" s="21" t="inlineStr">
        <is>
          <t>Городская</t>
        </is>
      </c>
      <c r="C324" s="21" t="inlineStr">
        <is>
          <t>Комната</t>
        </is>
      </c>
      <c r="D324" s="21" t="inlineStr">
        <is>
          <t>Новосибирск</t>
        </is>
      </c>
      <c r="E324" s="22" t="n">
        <v>195</v>
      </c>
      <c r="F324" s="22" t="n">
        <v>220</v>
      </c>
      <c r="G324" s="22" t="n">
        <v>104</v>
      </c>
      <c r="H324" s="22" t="n">
        <v>33</v>
      </c>
      <c r="I324" s="21" t="inlineStr">
        <is>
          <t>Цена зависит от стоимости объекта</t>
        </is>
      </c>
      <c r="J324" s="23" t="inlineStr">
        <is>
          <t>2026-06-10</t>
        </is>
      </c>
    </row>
    <row r="325">
      <c r="A325" s="21" t="inlineStr">
        <is>
          <t>Аренда</t>
        </is>
      </c>
      <c r="B325" s="21" t="inlineStr">
        <is>
          <t>Городская</t>
        </is>
      </c>
      <c r="C325" s="21" t="inlineStr">
        <is>
          <t>Комната</t>
        </is>
      </c>
      <c r="D325" s="21" t="inlineStr">
        <is>
          <t>Екатеринбург</t>
        </is>
      </c>
      <c r="E325" s="22" t="n">
        <v>150</v>
      </c>
      <c r="F325" s="22" t="n">
        <v>279</v>
      </c>
      <c r="G325" s="22" t="n">
        <v>131</v>
      </c>
      <c r="H325" s="22" t="n">
        <v>40</v>
      </c>
      <c r="I325" s="21" t="inlineStr">
        <is>
          <t>Цена зависит от стоимости объекта</t>
        </is>
      </c>
      <c r="J325" s="23" t="inlineStr">
        <is>
          <t>2026-06-10</t>
        </is>
      </c>
    </row>
    <row r="326">
      <c r="A326" s="21" t="inlineStr">
        <is>
          <t>Аренда</t>
        </is>
      </c>
      <c r="B326" s="21" t="inlineStr">
        <is>
          <t>Городская</t>
        </is>
      </c>
      <c r="C326" s="21" t="inlineStr">
        <is>
          <t>Комната</t>
        </is>
      </c>
      <c r="D326" s="21" t="inlineStr">
        <is>
          <t>Казань</t>
        </is>
      </c>
      <c r="E326" s="22" t="n">
        <v>63</v>
      </c>
      <c r="F326" s="22" t="n">
        <v>203</v>
      </c>
      <c r="G326" s="22" t="n">
        <v>84</v>
      </c>
      <c r="H326" s="22" t="n">
        <v>26</v>
      </c>
      <c r="I326" s="21" t="inlineStr">
        <is>
          <t>Цена зависит от стоимости объекта</t>
        </is>
      </c>
      <c r="J326" s="23" t="inlineStr">
        <is>
          <t>2026-06-10</t>
        </is>
      </c>
    </row>
    <row r="327">
      <c r="A327" s="21" t="inlineStr">
        <is>
          <t>Аренда</t>
        </is>
      </c>
      <c r="B327" s="21" t="inlineStr">
        <is>
          <t>Городская</t>
        </is>
      </c>
      <c r="C327" s="21" t="inlineStr">
        <is>
          <t>Комната</t>
        </is>
      </c>
      <c r="D327" s="21" t="inlineStr">
        <is>
          <t>Красноярск</t>
        </is>
      </c>
      <c r="E327" s="22" t="n">
        <v>225</v>
      </c>
      <c r="F327" s="24" t="inlineStr">
        <is>
          <t>—</t>
        </is>
      </c>
      <c r="G327" s="24" t="inlineStr">
        <is>
          <t>—</t>
        </is>
      </c>
      <c r="H327" s="24" t="inlineStr">
        <is>
          <t>—</t>
        </is>
      </c>
      <c r="I327" s="21" t="inlineStr">
        <is>
          <t>Цена зависит от стоимости объекта</t>
        </is>
      </c>
      <c r="J327" s="23" t="inlineStr">
        <is>
          <t>2026-06-10</t>
        </is>
      </c>
    </row>
    <row r="328">
      <c r="A328" s="21" t="inlineStr">
        <is>
          <t>Аренда</t>
        </is>
      </c>
      <c r="B328" s="21" t="inlineStr">
        <is>
          <t>Городская</t>
        </is>
      </c>
      <c r="C328" s="21" t="inlineStr">
        <is>
          <t>Комната</t>
        </is>
      </c>
      <c r="D328" s="21" t="inlineStr">
        <is>
          <t>Нижний Новгород</t>
        </is>
      </c>
      <c r="E328" s="22" t="n">
        <v>240</v>
      </c>
      <c r="F328" s="22" t="n">
        <v>159</v>
      </c>
      <c r="G328" s="22" t="n">
        <v>67</v>
      </c>
      <c r="H328" s="22" t="n">
        <v>20</v>
      </c>
      <c r="I328" s="21" t="inlineStr">
        <is>
          <t>Цена зависит от стоимости объекта</t>
        </is>
      </c>
      <c r="J328" s="23" t="inlineStr">
        <is>
          <t>2026-06-10</t>
        </is>
      </c>
    </row>
    <row r="329">
      <c r="A329" s="21" t="inlineStr">
        <is>
          <t>Аренда</t>
        </is>
      </c>
      <c r="B329" s="21" t="inlineStr">
        <is>
          <t>Городская</t>
        </is>
      </c>
      <c r="C329" s="21" t="inlineStr">
        <is>
          <t>Комната</t>
        </is>
      </c>
      <c r="D329" s="21" t="inlineStr">
        <is>
          <t>Челябинск</t>
        </is>
      </c>
      <c r="E329" s="22" t="n">
        <v>117</v>
      </c>
      <c r="F329" s="22" t="n">
        <v>241</v>
      </c>
      <c r="G329" s="22" t="n">
        <v>99</v>
      </c>
      <c r="H329" s="22" t="n">
        <v>29</v>
      </c>
      <c r="I329" s="21" t="inlineStr">
        <is>
          <t>Цена зависит от стоимости объекта</t>
        </is>
      </c>
      <c r="J329" s="23" t="inlineStr">
        <is>
          <t>2026-06-10</t>
        </is>
      </c>
    </row>
    <row r="330">
      <c r="A330" s="21" t="inlineStr">
        <is>
          <t>Аренда</t>
        </is>
      </c>
      <c r="B330" s="21" t="inlineStr">
        <is>
          <t>Городская</t>
        </is>
      </c>
      <c r="C330" s="21" t="inlineStr">
        <is>
          <t>Комната</t>
        </is>
      </c>
      <c r="D330" s="21" t="inlineStr">
        <is>
          <t>Уфа</t>
        </is>
      </c>
      <c r="E330" s="22" t="n">
        <v>144</v>
      </c>
      <c r="F330" s="22" t="n">
        <v>93</v>
      </c>
      <c r="G330" s="22" t="n">
        <v>43</v>
      </c>
      <c r="H330" s="22" t="n">
        <v>14</v>
      </c>
      <c r="I330" s="21" t="inlineStr">
        <is>
          <t>Цена зависит от стоимости объекта</t>
        </is>
      </c>
      <c r="J330" s="23" t="inlineStr">
        <is>
          <t>2026-06-10</t>
        </is>
      </c>
    </row>
    <row r="331">
      <c r="A331" s="21" t="inlineStr">
        <is>
          <t>Аренда</t>
        </is>
      </c>
      <c r="B331" s="21" t="inlineStr">
        <is>
          <t>Городская</t>
        </is>
      </c>
      <c r="C331" s="21" t="inlineStr">
        <is>
          <t>Комната</t>
        </is>
      </c>
      <c r="D331" s="21" t="inlineStr">
        <is>
          <t>Краснодар</t>
        </is>
      </c>
      <c r="E331" s="22" t="n">
        <v>162</v>
      </c>
      <c r="F331" s="22" t="n">
        <v>240</v>
      </c>
      <c r="G331" s="22" t="n">
        <v>94</v>
      </c>
      <c r="H331" s="22" t="n">
        <v>28</v>
      </c>
      <c r="I331" s="21" t="inlineStr">
        <is>
          <t>Цена зависит от стоимости объекта</t>
        </is>
      </c>
      <c r="J331" s="23" t="inlineStr">
        <is>
          <t>2026-06-10</t>
        </is>
      </c>
    </row>
    <row r="332">
      <c r="A332" s="21" t="inlineStr">
        <is>
          <t>Аренда</t>
        </is>
      </c>
      <c r="B332" s="21" t="inlineStr">
        <is>
          <t>Городская</t>
        </is>
      </c>
      <c r="C332" s="21" t="inlineStr">
        <is>
          <t>Комната</t>
        </is>
      </c>
      <c r="D332" s="21" t="inlineStr">
        <is>
          <t>Самара</t>
        </is>
      </c>
      <c r="E332" s="22" t="n">
        <v>333</v>
      </c>
      <c r="F332" s="24" t="inlineStr">
        <is>
          <t>—</t>
        </is>
      </c>
      <c r="G332" s="24" t="inlineStr">
        <is>
          <t>—</t>
        </is>
      </c>
      <c r="H332" s="24" t="inlineStr">
        <is>
          <t>—</t>
        </is>
      </c>
      <c r="I332" s="21" t="inlineStr">
        <is>
          <t>Цена зависит от стоимости объекта</t>
        </is>
      </c>
      <c r="J332" s="23" t="inlineStr">
        <is>
          <t>2026-06-10</t>
        </is>
      </c>
    </row>
    <row r="333">
      <c r="A333" s="21" t="inlineStr">
        <is>
          <t>Аренда</t>
        </is>
      </c>
      <c r="B333" s="21" t="inlineStr">
        <is>
          <t>Городская</t>
        </is>
      </c>
      <c r="C333" s="21" t="inlineStr">
        <is>
          <t>Комната</t>
        </is>
      </c>
      <c r="D333" s="21" t="inlineStr">
        <is>
          <t>Ростов-на-Дону</t>
        </is>
      </c>
      <c r="E333" s="22" t="n">
        <v>159</v>
      </c>
      <c r="F333" s="22" t="n">
        <v>173</v>
      </c>
      <c r="G333" s="22" t="n">
        <v>75</v>
      </c>
      <c r="H333" s="22" t="n">
        <v>23</v>
      </c>
      <c r="I333" s="21" t="inlineStr">
        <is>
          <t>Цена зависит от стоимости объекта</t>
        </is>
      </c>
      <c r="J333" s="23" t="inlineStr">
        <is>
          <t>2026-06-10</t>
        </is>
      </c>
    </row>
    <row r="334">
      <c r="A334" s="21" t="inlineStr">
        <is>
          <t>Аренда</t>
        </is>
      </c>
      <c r="B334" s="21" t="inlineStr">
        <is>
          <t>Городская</t>
        </is>
      </c>
      <c r="C334" s="21" t="inlineStr">
        <is>
          <t>Комната</t>
        </is>
      </c>
      <c r="D334" s="21" t="inlineStr">
        <is>
          <t>Омск</t>
        </is>
      </c>
      <c r="E334" s="22" t="n">
        <v>156</v>
      </c>
      <c r="F334" s="22" t="n">
        <v>208</v>
      </c>
      <c r="G334" s="22" t="n">
        <v>116</v>
      </c>
      <c r="H334" s="22" t="n">
        <v>32</v>
      </c>
      <c r="I334" s="21" t="inlineStr">
        <is>
          <t>Цена зависит от стоимости объекта</t>
        </is>
      </c>
      <c r="J334" s="23" t="inlineStr">
        <is>
          <t>2026-06-10</t>
        </is>
      </c>
    </row>
    <row r="335">
      <c r="A335" s="21" t="inlineStr">
        <is>
          <t>Аренда</t>
        </is>
      </c>
      <c r="B335" s="21" t="inlineStr">
        <is>
          <t>Городская</t>
        </is>
      </c>
      <c r="C335" s="21" t="inlineStr">
        <is>
          <t>Комната</t>
        </is>
      </c>
      <c r="D335" s="21" t="inlineStr">
        <is>
          <t>Воронеж</t>
        </is>
      </c>
      <c r="E335" s="22" t="n">
        <v>54</v>
      </c>
      <c r="F335" s="24" t="inlineStr">
        <is>
          <t>—</t>
        </is>
      </c>
      <c r="G335" s="24" t="inlineStr">
        <is>
          <t>—</t>
        </is>
      </c>
      <c r="H335" s="24" t="inlineStr">
        <is>
          <t>—</t>
        </is>
      </c>
      <c r="I335" s="21" t="inlineStr">
        <is>
          <t>Цена зависит от стоимости объекта</t>
        </is>
      </c>
      <c r="J335" s="23" t="inlineStr">
        <is>
          <t>2026-06-10</t>
        </is>
      </c>
    </row>
    <row r="336">
      <c r="A336" s="21" t="inlineStr">
        <is>
          <t>Аренда</t>
        </is>
      </c>
      <c r="B336" s="21" t="inlineStr">
        <is>
          <t>Городская</t>
        </is>
      </c>
      <c r="C336" s="21" t="inlineStr">
        <is>
          <t>Комната</t>
        </is>
      </c>
      <c r="D336" s="21" t="inlineStr">
        <is>
          <t>Пермь</t>
        </is>
      </c>
      <c r="E336" s="22" t="n">
        <v>6</v>
      </c>
      <c r="F336" s="24" t="inlineStr">
        <is>
          <t>—</t>
        </is>
      </c>
      <c r="G336" s="24" t="inlineStr">
        <is>
          <t>—</t>
        </is>
      </c>
      <c r="H336" s="24" t="inlineStr">
        <is>
          <t>—</t>
        </is>
      </c>
      <c r="I336" s="21" t="inlineStr">
        <is>
          <t>Цена зависит от стоимости объекта</t>
        </is>
      </c>
      <c r="J336" s="23" t="inlineStr">
        <is>
          <t>2026-06-10</t>
        </is>
      </c>
    </row>
    <row r="337">
      <c r="A337" s="21" t="inlineStr">
        <is>
          <t>Аренда</t>
        </is>
      </c>
      <c r="B337" s="21" t="inlineStr">
        <is>
          <t>Городская</t>
        </is>
      </c>
      <c r="C337" s="21" t="inlineStr">
        <is>
          <t>Комната</t>
        </is>
      </c>
      <c r="D337" s="21" t="inlineStr">
        <is>
          <t>Волгоград</t>
        </is>
      </c>
      <c r="E337" s="22" t="n">
        <v>162</v>
      </c>
      <c r="F337" s="24" t="inlineStr">
        <is>
          <t>—</t>
        </is>
      </c>
      <c r="G337" s="24" t="inlineStr">
        <is>
          <t>—</t>
        </is>
      </c>
      <c r="H337" s="24" t="inlineStr">
        <is>
          <t>—</t>
        </is>
      </c>
      <c r="I337" s="21" t="inlineStr">
        <is>
          <t>Цена зависит от стоимости объекта</t>
        </is>
      </c>
      <c r="J337" s="23" t="inlineStr">
        <is>
          <t>2026-06-10</t>
        </is>
      </c>
    </row>
    <row r="338">
      <c r="A338" s="21" t="inlineStr">
        <is>
          <t>Аренда</t>
        </is>
      </c>
      <c r="B338" s="21" t="inlineStr">
        <is>
          <t>Городская</t>
        </is>
      </c>
      <c r="C338" s="21" t="inlineStr">
        <is>
          <t>Койко-место</t>
        </is>
      </c>
      <c r="D338" s="21" t="inlineStr">
        <is>
          <t>Москва</t>
        </is>
      </c>
      <c r="E338" s="22" t="n">
        <v>117</v>
      </c>
      <c r="F338" s="22" t="n">
        <v>578</v>
      </c>
      <c r="G338" s="22" t="n">
        <v>276</v>
      </c>
      <c r="H338" s="22" t="n">
        <v>83</v>
      </c>
      <c r="I338" s="21" t="inlineStr">
        <is>
          <t>Цена зависит от стоимости объекта</t>
        </is>
      </c>
      <c r="J338" s="23" t="inlineStr">
        <is>
          <t>2026-06-10</t>
        </is>
      </c>
    </row>
    <row r="339">
      <c r="A339" s="21" t="inlineStr">
        <is>
          <t>Аренда</t>
        </is>
      </c>
      <c r="B339" s="21" t="inlineStr">
        <is>
          <t>Городская</t>
        </is>
      </c>
      <c r="C339" s="21" t="inlineStr">
        <is>
          <t>Койко-место</t>
        </is>
      </c>
      <c r="D339" s="21" t="inlineStr">
        <is>
          <t>Санкт-Петербург</t>
        </is>
      </c>
      <c r="E339" s="22" t="n">
        <v>102</v>
      </c>
      <c r="F339" s="22" t="n">
        <v>279</v>
      </c>
      <c r="G339" s="22" t="n">
        <v>126</v>
      </c>
      <c r="H339" s="22" t="n">
        <v>38</v>
      </c>
      <c r="I339" s="21" t="inlineStr">
        <is>
          <t>Цена зависит от стоимости объекта</t>
        </is>
      </c>
      <c r="J339" s="23" t="inlineStr">
        <is>
          <t>2026-06-10</t>
        </is>
      </c>
    </row>
    <row r="340">
      <c r="A340" s="21" t="inlineStr">
        <is>
          <t>Аренда</t>
        </is>
      </c>
      <c r="B340" s="21" t="inlineStr">
        <is>
          <t>Городская</t>
        </is>
      </c>
      <c r="C340" s="21" t="inlineStr">
        <is>
          <t>Койко-место</t>
        </is>
      </c>
      <c r="D340" s="21" t="inlineStr">
        <is>
          <t>Новосибирск</t>
        </is>
      </c>
      <c r="E340" s="22" t="n">
        <v>102</v>
      </c>
      <c r="F340" s="22" t="n">
        <v>227</v>
      </c>
      <c r="G340" s="22" t="n">
        <v>110</v>
      </c>
      <c r="H340" s="22" t="n">
        <v>34</v>
      </c>
      <c r="I340" s="21" t="inlineStr">
        <is>
          <t>Цена зависит от стоимости объекта</t>
        </is>
      </c>
      <c r="J340" s="23" t="inlineStr">
        <is>
          <t>2026-06-10</t>
        </is>
      </c>
    </row>
    <row r="341">
      <c r="A341" s="21" t="inlineStr">
        <is>
          <t>Аренда</t>
        </is>
      </c>
      <c r="B341" s="21" t="inlineStr">
        <is>
          <t>Городская</t>
        </is>
      </c>
      <c r="C341" s="21" t="inlineStr">
        <is>
          <t>Койко-место</t>
        </is>
      </c>
      <c r="D341" s="21" t="inlineStr">
        <is>
          <t>Екатеринбург</t>
        </is>
      </c>
      <c r="E341" s="22" t="n">
        <v>102</v>
      </c>
      <c r="F341" s="22" t="n">
        <v>323</v>
      </c>
      <c r="G341" s="22" t="n">
        <v>152</v>
      </c>
      <c r="H341" s="22" t="n">
        <v>47</v>
      </c>
      <c r="I341" s="21" t="inlineStr">
        <is>
          <t>Цена зависит от стоимости объекта</t>
        </is>
      </c>
      <c r="J341" s="23" t="inlineStr">
        <is>
          <t>2026-06-10</t>
        </is>
      </c>
    </row>
    <row r="342">
      <c r="A342" s="21" t="inlineStr">
        <is>
          <t>Аренда</t>
        </is>
      </c>
      <c r="B342" s="21" t="inlineStr">
        <is>
          <t>Городская</t>
        </is>
      </c>
      <c r="C342" s="21" t="inlineStr">
        <is>
          <t>Койко-место</t>
        </is>
      </c>
      <c r="D342" s="21" t="inlineStr">
        <is>
          <t>Казань</t>
        </is>
      </c>
      <c r="E342" s="22" t="n">
        <v>117</v>
      </c>
      <c r="F342" s="22" t="n">
        <v>155</v>
      </c>
      <c r="G342" s="22" t="n">
        <v>68</v>
      </c>
      <c r="H342" s="22" t="n">
        <v>20</v>
      </c>
      <c r="I342" s="21" t="inlineStr">
        <is>
          <t>Цена зависит от стоимости объекта</t>
        </is>
      </c>
      <c r="J342" s="23" t="inlineStr">
        <is>
          <t>2026-06-10</t>
        </is>
      </c>
    </row>
    <row r="343">
      <c r="A343" s="21" t="inlineStr">
        <is>
          <t>Аренда</t>
        </is>
      </c>
      <c r="B343" s="21" t="inlineStr">
        <is>
          <t>Городская</t>
        </is>
      </c>
      <c r="C343" s="21" t="inlineStr">
        <is>
          <t>Койко-место</t>
        </is>
      </c>
      <c r="D343" s="21" t="inlineStr">
        <is>
          <t>Красноярск</t>
        </is>
      </c>
      <c r="E343" s="22" t="n">
        <v>117</v>
      </c>
      <c r="F343" s="24" t="inlineStr">
        <is>
          <t>—</t>
        </is>
      </c>
      <c r="G343" s="24" t="inlineStr">
        <is>
          <t>—</t>
        </is>
      </c>
      <c r="H343" s="24" t="inlineStr">
        <is>
          <t>—</t>
        </is>
      </c>
      <c r="I343" s="21" t="inlineStr">
        <is>
          <t>Цена зависит от стоимости объекта</t>
        </is>
      </c>
      <c r="J343" s="23" t="inlineStr">
        <is>
          <t>2026-06-10</t>
        </is>
      </c>
    </row>
    <row r="344">
      <c r="A344" s="21" t="inlineStr">
        <is>
          <t>Аренда</t>
        </is>
      </c>
      <c r="B344" s="21" t="inlineStr">
        <is>
          <t>Городская</t>
        </is>
      </c>
      <c r="C344" s="21" t="inlineStr">
        <is>
          <t>Койко-место</t>
        </is>
      </c>
      <c r="D344" s="21" t="inlineStr">
        <is>
          <t>Нижний Новгород</t>
        </is>
      </c>
      <c r="E344" s="22" t="n">
        <v>117</v>
      </c>
      <c r="F344" s="22" t="n">
        <v>142</v>
      </c>
      <c r="G344" s="22" t="n">
        <v>64</v>
      </c>
      <c r="H344" s="22" t="n">
        <v>19</v>
      </c>
      <c r="I344" s="21" t="inlineStr">
        <is>
          <t>Цена зависит от стоимости объекта</t>
        </is>
      </c>
      <c r="J344" s="23" t="inlineStr">
        <is>
          <t>2026-06-10</t>
        </is>
      </c>
    </row>
    <row r="345">
      <c r="A345" s="21" t="inlineStr">
        <is>
          <t>Аренда</t>
        </is>
      </c>
      <c r="B345" s="21" t="inlineStr">
        <is>
          <t>Городская</t>
        </is>
      </c>
      <c r="C345" s="21" t="inlineStr">
        <is>
          <t>Койко-место</t>
        </is>
      </c>
      <c r="D345" s="21" t="inlineStr">
        <is>
          <t>Челябинск</t>
        </is>
      </c>
      <c r="E345" s="22" t="n">
        <v>117</v>
      </c>
      <c r="F345" s="22" t="n">
        <v>184</v>
      </c>
      <c r="G345" s="22" t="n">
        <v>81</v>
      </c>
      <c r="H345" s="22" t="n">
        <v>24</v>
      </c>
      <c r="I345" s="21" t="inlineStr">
        <is>
          <t>Цена зависит от стоимости объекта</t>
        </is>
      </c>
      <c r="J345" s="23" t="inlineStr">
        <is>
          <t>2026-06-10</t>
        </is>
      </c>
    </row>
    <row r="346">
      <c r="A346" s="21" t="inlineStr">
        <is>
          <t>Аренда</t>
        </is>
      </c>
      <c r="B346" s="21" t="inlineStr">
        <is>
          <t>Городская</t>
        </is>
      </c>
      <c r="C346" s="21" t="inlineStr">
        <is>
          <t>Койко-место</t>
        </is>
      </c>
      <c r="D346" s="21" t="inlineStr">
        <is>
          <t>Уфа</t>
        </is>
      </c>
      <c r="E346" s="22" t="n">
        <v>117</v>
      </c>
      <c r="F346" s="22" t="n">
        <v>125</v>
      </c>
      <c r="G346" s="22" t="n">
        <v>55</v>
      </c>
      <c r="H346" s="22" t="n">
        <v>18</v>
      </c>
      <c r="I346" s="21" t="inlineStr">
        <is>
          <t>Цена зависит от стоимости объекта</t>
        </is>
      </c>
      <c r="J346" s="23" t="inlineStr">
        <is>
          <t>2026-06-10</t>
        </is>
      </c>
    </row>
    <row r="347">
      <c r="A347" s="21" t="inlineStr">
        <is>
          <t>Аренда</t>
        </is>
      </c>
      <c r="B347" s="21" t="inlineStr">
        <is>
          <t>Городская</t>
        </is>
      </c>
      <c r="C347" s="21" t="inlineStr">
        <is>
          <t>Койко-место</t>
        </is>
      </c>
      <c r="D347" s="21" t="inlineStr">
        <is>
          <t>Краснодар</t>
        </is>
      </c>
      <c r="E347" s="22" t="n">
        <v>117</v>
      </c>
      <c r="F347" s="22" t="n">
        <v>210</v>
      </c>
      <c r="G347" s="22" t="n">
        <v>82</v>
      </c>
      <c r="H347" s="22" t="n">
        <v>24</v>
      </c>
      <c r="I347" s="21" t="inlineStr">
        <is>
          <t>Цена зависит от стоимости объекта</t>
        </is>
      </c>
      <c r="J347" s="23" t="inlineStr">
        <is>
          <t>2026-06-10</t>
        </is>
      </c>
    </row>
    <row r="348">
      <c r="A348" s="21" t="inlineStr">
        <is>
          <t>Аренда</t>
        </is>
      </c>
      <c r="B348" s="21" t="inlineStr">
        <is>
          <t>Городская</t>
        </is>
      </c>
      <c r="C348" s="21" t="inlineStr">
        <is>
          <t>Койко-место</t>
        </is>
      </c>
      <c r="D348" s="21" t="inlineStr">
        <is>
          <t>Самара</t>
        </is>
      </c>
      <c r="E348" s="22" t="n">
        <v>117</v>
      </c>
      <c r="F348" s="24" t="inlineStr">
        <is>
          <t>—</t>
        </is>
      </c>
      <c r="G348" s="24" t="inlineStr">
        <is>
          <t>—</t>
        </is>
      </c>
      <c r="H348" s="24" t="inlineStr">
        <is>
          <t>—</t>
        </is>
      </c>
      <c r="I348" s="21" t="inlineStr">
        <is>
          <t>Цена зависит от стоимости объекта</t>
        </is>
      </c>
      <c r="J348" s="23" t="inlineStr">
        <is>
          <t>2026-06-10</t>
        </is>
      </c>
    </row>
    <row r="349">
      <c r="A349" s="21" t="inlineStr">
        <is>
          <t>Аренда</t>
        </is>
      </c>
      <c r="B349" s="21" t="inlineStr">
        <is>
          <t>Городская</t>
        </is>
      </c>
      <c r="C349" s="21" t="inlineStr">
        <is>
          <t>Койко-место</t>
        </is>
      </c>
      <c r="D349" s="21" t="inlineStr">
        <is>
          <t>Ростов-на-Дону</t>
        </is>
      </c>
      <c r="E349" s="22" t="n">
        <v>117</v>
      </c>
      <c r="F349" s="22" t="n">
        <v>169</v>
      </c>
      <c r="G349" s="22" t="n">
        <v>71</v>
      </c>
      <c r="H349" s="22" t="n">
        <v>21</v>
      </c>
      <c r="I349" s="21" t="inlineStr">
        <is>
          <t>Цена зависит от стоимости объекта</t>
        </is>
      </c>
      <c r="J349" s="23" t="inlineStr">
        <is>
          <t>2026-06-10</t>
        </is>
      </c>
    </row>
    <row r="350">
      <c r="A350" s="21" t="inlineStr">
        <is>
          <t>Аренда</t>
        </is>
      </c>
      <c r="B350" s="21" t="inlineStr">
        <is>
          <t>Городская</t>
        </is>
      </c>
      <c r="C350" s="21" t="inlineStr">
        <is>
          <t>Койко-место</t>
        </is>
      </c>
      <c r="D350" s="21" t="inlineStr">
        <is>
          <t>Омск</t>
        </is>
      </c>
      <c r="E350" s="22" t="n">
        <v>0</v>
      </c>
      <c r="F350" s="22" t="n">
        <v>213</v>
      </c>
      <c r="G350" s="22" t="n">
        <v>127</v>
      </c>
      <c r="H350" s="22" t="n">
        <v>34</v>
      </c>
      <c r="I350" s="21" t="inlineStr">
        <is>
          <t>Цена зависит от стоимости объекта</t>
        </is>
      </c>
      <c r="J350" s="23" t="inlineStr">
        <is>
          <t>2026-06-10</t>
        </is>
      </c>
    </row>
    <row r="351">
      <c r="A351" s="21" t="inlineStr">
        <is>
          <t>Аренда</t>
        </is>
      </c>
      <c r="B351" s="21" t="inlineStr">
        <is>
          <t>Городская</t>
        </is>
      </c>
      <c r="C351" s="21" t="inlineStr">
        <is>
          <t>Койко-место</t>
        </is>
      </c>
      <c r="D351" s="21" t="inlineStr">
        <is>
          <t>Воронеж</t>
        </is>
      </c>
      <c r="E351" s="22" t="n">
        <v>117</v>
      </c>
      <c r="F351" s="24" t="inlineStr">
        <is>
          <t>—</t>
        </is>
      </c>
      <c r="G351" s="24" t="inlineStr">
        <is>
          <t>—</t>
        </is>
      </c>
      <c r="H351" s="24" t="inlineStr">
        <is>
          <t>—</t>
        </is>
      </c>
      <c r="I351" s="21" t="inlineStr">
        <is>
          <t>Цена зависит от стоимости объекта</t>
        </is>
      </c>
      <c r="J351" s="23" t="inlineStr">
        <is>
          <t>2026-06-10</t>
        </is>
      </c>
    </row>
    <row r="352">
      <c r="A352" s="21" t="inlineStr">
        <is>
          <t>Аренда</t>
        </is>
      </c>
      <c r="B352" s="21" t="inlineStr">
        <is>
          <t>Городская</t>
        </is>
      </c>
      <c r="C352" s="21" t="inlineStr">
        <is>
          <t>Койко-место</t>
        </is>
      </c>
      <c r="D352" s="21" t="inlineStr">
        <is>
          <t>Пермь</t>
        </is>
      </c>
      <c r="E352" s="22" t="n">
        <v>117</v>
      </c>
      <c r="F352" s="24" t="inlineStr">
        <is>
          <t>—</t>
        </is>
      </c>
      <c r="G352" s="24" t="inlineStr">
        <is>
          <t>—</t>
        </is>
      </c>
      <c r="H352" s="24" t="inlineStr">
        <is>
          <t>—</t>
        </is>
      </c>
      <c r="I352" s="21" t="inlineStr">
        <is>
          <t>Цена зависит от стоимости объекта</t>
        </is>
      </c>
      <c r="J352" s="23" t="inlineStr">
        <is>
          <t>2026-06-10</t>
        </is>
      </c>
    </row>
    <row r="353">
      <c r="A353" s="21" t="inlineStr">
        <is>
          <t>Аренда</t>
        </is>
      </c>
      <c r="B353" s="21" t="inlineStr">
        <is>
          <t>Городская</t>
        </is>
      </c>
      <c r="C353" s="21" t="inlineStr">
        <is>
          <t>Койко-место</t>
        </is>
      </c>
      <c r="D353" s="21" t="inlineStr">
        <is>
          <t>Волгоград</t>
        </is>
      </c>
      <c r="E353" s="22" t="n">
        <v>153</v>
      </c>
      <c r="F353" s="24" t="inlineStr">
        <is>
          <t>—</t>
        </is>
      </c>
      <c r="G353" s="24" t="inlineStr">
        <is>
          <t>—</t>
        </is>
      </c>
      <c r="H353" s="24" t="inlineStr">
        <is>
          <t>—</t>
        </is>
      </c>
      <c r="I353" s="21" t="inlineStr">
        <is>
          <t>Цена зависит от стоимости объекта</t>
        </is>
      </c>
      <c r="J353" s="23" t="inlineStr">
        <is>
          <t>2026-06-10</t>
        </is>
      </c>
    </row>
    <row r="354">
      <c r="A354" s="17" t="inlineStr">
        <is>
          <t>Аренда</t>
        </is>
      </c>
      <c r="B354" s="17" t="inlineStr">
        <is>
          <t>Загородная</t>
        </is>
      </c>
      <c r="C354" s="18" t="inlineStr">
        <is>
          <t>Коттедж</t>
        </is>
      </c>
      <c r="D354" s="18" t="inlineStr">
        <is>
          <t>Москва</t>
        </is>
      </c>
      <c r="E354" s="19" t="n">
        <v>1326</v>
      </c>
      <c r="F354" s="19" t="n">
        <v>685</v>
      </c>
      <c r="G354" s="19" t="n">
        <v>253</v>
      </c>
      <c r="H354" s="19" t="n">
        <v>77</v>
      </c>
      <c r="I354" s="18" t="inlineStr">
        <is>
          <t>Цена зависит от стоимости объекта</t>
        </is>
      </c>
      <c r="J354" s="20" t="inlineStr">
        <is>
          <t>2026-06-10</t>
        </is>
      </c>
    </row>
    <row r="355">
      <c r="A355" s="21" t="inlineStr">
        <is>
          <t>Аренда</t>
        </is>
      </c>
      <c r="B355" s="21" t="inlineStr">
        <is>
          <t>Загородная</t>
        </is>
      </c>
      <c r="C355" s="21" t="inlineStr">
        <is>
          <t>Коттедж</t>
        </is>
      </c>
      <c r="D355" s="21" t="inlineStr">
        <is>
          <t>Санкт-Петербург</t>
        </is>
      </c>
      <c r="E355" s="22" t="n">
        <v>453</v>
      </c>
      <c r="F355" s="22" t="n">
        <v>296</v>
      </c>
      <c r="G355" s="22" t="n">
        <v>115</v>
      </c>
      <c r="H355" s="22" t="n">
        <v>37</v>
      </c>
      <c r="I355" s="21" t="inlineStr">
        <is>
          <t>Цена зависит от стоимости объекта</t>
        </is>
      </c>
      <c r="J355" s="23" t="inlineStr">
        <is>
          <t>2026-06-10</t>
        </is>
      </c>
    </row>
    <row r="356">
      <c r="A356" s="21" t="inlineStr">
        <is>
          <t>Аренда</t>
        </is>
      </c>
      <c r="B356" s="21" t="inlineStr">
        <is>
          <t>Загородная</t>
        </is>
      </c>
      <c r="C356" s="21" t="inlineStr">
        <is>
          <t>Коттедж</t>
        </is>
      </c>
      <c r="D356" s="21" t="inlineStr">
        <is>
          <t>Новосибирск</t>
        </is>
      </c>
      <c r="E356" s="22" t="n">
        <v>450</v>
      </c>
      <c r="F356" s="22" t="n">
        <v>493</v>
      </c>
      <c r="G356" s="22" t="n">
        <v>217</v>
      </c>
      <c r="H356" s="22" t="n">
        <v>68</v>
      </c>
      <c r="I356" s="21" t="n"/>
      <c r="J356" s="23" t="inlineStr">
        <is>
          <t>2026-06-10</t>
        </is>
      </c>
    </row>
    <row r="357">
      <c r="A357" s="21" t="inlineStr">
        <is>
          <t>Аренда</t>
        </is>
      </c>
      <c r="B357" s="21" t="inlineStr">
        <is>
          <t>Загородная</t>
        </is>
      </c>
      <c r="C357" s="21" t="inlineStr">
        <is>
          <t>Коттедж</t>
        </is>
      </c>
      <c r="D357" s="21" t="inlineStr">
        <is>
          <t>Екатеринбург</t>
        </is>
      </c>
      <c r="E357" s="22" t="n">
        <v>234</v>
      </c>
      <c r="F357" s="22" t="n">
        <v>433</v>
      </c>
      <c r="G357" s="22" t="n">
        <v>209</v>
      </c>
      <c r="H357" s="22" t="n">
        <v>64</v>
      </c>
      <c r="I357" s="21" t="n"/>
      <c r="J357" s="23" t="inlineStr">
        <is>
          <t>2026-06-10</t>
        </is>
      </c>
    </row>
    <row r="358">
      <c r="A358" s="21" t="inlineStr">
        <is>
          <t>Аренда</t>
        </is>
      </c>
      <c r="B358" s="21" t="inlineStr">
        <is>
          <t>Загородная</t>
        </is>
      </c>
      <c r="C358" s="21" t="inlineStr">
        <is>
          <t>Коттедж</t>
        </is>
      </c>
      <c r="D358" s="21" t="inlineStr">
        <is>
          <t>Казань</t>
        </is>
      </c>
      <c r="E358" s="22" t="n">
        <v>66</v>
      </c>
      <c r="F358" s="22" t="n">
        <v>169</v>
      </c>
      <c r="G358" s="22" t="n">
        <v>67</v>
      </c>
      <c r="H358" s="22" t="n">
        <v>20</v>
      </c>
      <c r="I358" s="21" t="inlineStr">
        <is>
          <t>Цена зависит от стоимости объекта</t>
        </is>
      </c>
      <c r="J358" s="23" t="inlineStr">
        <is>
          <t>2026-06-10</t>
        </is>
      </c>
    </row>
    <row r="359">
      <c r="A359" s="21" t="inlineStr">
        <is>
          <t>Аренда</t>
        </is>
      </c>
      <c r="B359" s="21" t="inlineStr">
        <is>
          <t>Загородная</t>
        </is>
      </c>
      <c r="C359" s="21" t="inlineStr">
        <is>
          <t>Коттедж</t>
        </is>
      </c>
      <c r="D359" s="21" t="inlineStr">
        <is>
          <t>Красноярск</t>
        </is>
      </c>
      <c r="E359" s="22" t="n">
        <v>150</v>
      </c>
      <c r="F359" s="24" t="inlineStr">
        <is>
          <t>—</t>
        </is>
      </c>
      <c r="G359" s="24" t="inlineStr">
        <is>
          <t>—</t>
        </is>
      </c>
      <c r="H359" s="24" t="inlineStr">
        <is>
          <t>—</t>
        </is>
      </c>
      <c r="I359" s="21" t="n"/>
      <c r="J359" s="23" t="inlineStr">
        <is>
          <t>2026-06-10</t>
        </is>
      </c>
    </row>
    <row r="360">
      <c r="A360" s="21" t="inlineStr">
        <is>
          <t>Аренда</t>
        </is>
      </c>
      <c r="B360" s="21" t="inlineStr">
        <is>
          <t>Загородная</t>
        </is>
      </c>
      <c r="C360" s="21" t="inlineStr">
        <is>
          <t>Коттедж</t>
        </is>
      </c>
      <c r="D360" s="21" t="inlineStr">
        <is>
          <t>Нижний Новгород</t>
        </is>
      </c>
      <c r="E360" s="22" t="n">
        <v>204</v>
      </c>
      <c r="F360" s="22" t="n">
        <v>154</v>
      </c>
      <c r="G360" s="22" t="n">
        <v>68</v>
      </c>
      <c r="H360" s="22" t="n">
        <v>19</v>
      </c>
      <c r="I360" s="21" t="n"/>
      <c r="J360" s="23" t="inlineStr">
        <is>
          <t>2026-06-10</t>
        </is>
      </c>
    </row>
    <row r="361">
      <c r="A361" s="21" t="inlineStr">
        <is>
          <t>Аренда</t>
        </is>
      </c>
      <c r="B361" s="21" t="inlineStr">
        <is>
          <t>Загородная</t>
        </is>
      </c>
      <c r="C361" s="21" t="inlineStr">
        <is>
          <t>Коттедж</t>
        </is>
      </c>
      <c r="D361" s="21" t="inlineStr">
        <is>
          <t>Челябинск</t>
        </is>
      </c>
      <c r="E361" s="22" t="n">
        <v>153</v>
      </c>
      <c r="F361" s="22" t="n">
        <v>220</v>
      </c>
      <c r="G361" s="22" t="n">
        <v>101</v>
      </c>
      <c r="H361" s="22" t="n">
        <v>30</v>
      </c>
      <c r="I361" s="21" t="n"/>
      <c r="J361" s="23" t="inlineStr">
        <is>
          <t>2026-06-10</t>
        </is>
      </c>
    </row>
    <row r="362">
      <c r="A362" s="21" t="inlineStr">
        <is>
          <t>Аренда</t>
        </is>
      </c>
      <c r="B362" s="21" t="inlineStr">
        <is>
          <t>Загородная</t>
        </is>
      </c>
      <c r="C362" s="21" t="inlineStr">
        <is>
          <t>Коттедж</t>
        </is>
      </c>
      <c r="D362" s="21" t="inlineStr">
        <is>
          <t>Уфа</t>
        </is>
      </c>
      <c r="E362" s="22" t="n">
        <v>144</v>
      </c>
      <c r="F362" s="22" t="n">
        <v>115</v>
      </c>
      <c r="G362" s="22" t="n">
        <v>48</v>
      </c>
      <c r="H362" s="22" t="n">
        <v>17</v>
      </c>
      <c r="I362" s="21" t="n"/>
      <c r="J362" s="23" t="inlineStr">
        <is>
          <t>2026-06-10</t>
        </is>
      </c>
    </row>
    <row r="363">
      <c r="A363" s="21" t="inlineStr">
        <is>
          <t>Аренда</t>
        </is>
      </c>
      <c r="B363" s="21" t="inlineStr">
        <is>
          <t>Загородная</t>
        </is>
      </c>
      <c r="C363" s="21" t="inlineStr">
        <is>
          <t>Коттедж</t>
        </is>
      </c>
      <c r="D363" s="21" t="inlineStr">
        <is>
          <t>Краснодар</t>
        </is>
      </c>
      <c r="E363" s="22" t="n">
        <v>162</v>
      </c>
      <c r="F363" s="22" t="n">
        <v>184</v>
      </c>
      <c r="G363" s="22" t="n">
        <v>71</v>
      </c>
      <c r="H363" s="22" t="n">
        <v>22</v>
      </c>
      <c r="I363" s="21" t="inlineStr">
        <is>
          <t>Цена зависит от стоимости объекта</t>
        </is>
      </c>
      <c r="J363" s="23" t="inlineStr">
        <is>
          <t>2026-06-10</t>
        </is>
      </c>
    </row>
    <row r="364">
      <c r="A364" s="21" t="inlineStr">
        <is>
          <t>Аренда</t>
        </is>
      </c>
      <c r="B364" s="21" t="inlineStr">
        <is>
          <t>Загородная</t>
        </is>
      </c>
      <c r="C364" s="21" t="inlineStr">
        <is>
          <t>Коттедж</t>
        </is>
      </c>
      <c r="D364" s="21" t="inlineStr">
        <is>
          <t>Самара</t>
        </is>
      </c>
      <c r="E364" s="22" t="n">
        <v>108</v>
      </c>
      <c r="F364" s="24" t="inlineStr">
        <is>
          <t>—</t>
        </is>
      </c>
      <c r="G364" s="24" t="inlineStr">
        <is>
          <t>—</t>
        </is>
      </c>
      <c r="H364" s="24" t="inlineStr">
        <is>
          <t>—</t>
        </is>
      </c>
      <c r="I364" s="21" t="n"/>
      <c r="J364" s="23" t="inlineStr">
        <is>
          <t>2026-06-10</t>
        </is>
      </c>
    </row>
    <row r="365">
      <c r="A365" s="21" t="inlineStr">
        <is>
          <t>Аренда</t>
        </is>
      </c>
      <c r="B365" s="21" t="inlineStr">
        <is>
          <t>Загородная</t>
        </is>
      </c>
      <c r="C365" s="21" t="inlineStr">
        <is>
          <t>Коттедж</t>
        </is>
      </c>
      <c r="D365" s="21" t="inlineStr">
        <is>
          <t>Ростов-на-Дону</t>
        </is>
      </c>
      <c r="E365" s="22" t="n">
        <v>51</v>
      </c>
      <c r="F365" s="22" t="n">
        <v>136</v>
      </c>
      <c r="G365" s="22" t="n">
        <v>58</v>
      </c>
      <c r="H365" s="22" t="n">
        <v>18</v>
      </c>
      <c r="I365" s="21" t="inlineStr">
        <is>
          <t>Цена зависит от стоимости объекта</t>
        </is>
      </c>
      <c r="J365" s="23" t="inlineStr">
        <is>
          <t>2026-06-10</t>
        </is>
      </c>
    </row>
    <row r="366">
      <c r="A366" s="21" t="inlineStr">
        <is>
          <t>Аренда</t>
        </is>
      </c>
      <c r="B366" s="21" t="inlineStr">
        <is>
          <t>Загородная</t>
        </is>
      </c>
      <c r="C366" s="21" t="inlineStr">
        <is>
          <t>Коттедж</t>
        </is>
      </c>
      <c r="D366" s="21" t="inlineStr">
        <is>
          <t>Омск</t>
        </is>
      </c>
      <c r="E366" s="22" t="n">
        <v>60</v>
      </c>
      <c r="F366" s="22" t="n">
        <v>171</v>
      </c>
      <c r="G366" s="22" t="n">
        <v>94</v>
      </c>
      <c r="H366" s="22" t="n">
        <v>29</v>
      </c>
      <c r="I366" s="21" t="n"/>
      <c r="J366" s="23" t="inlineStr">
        <is>
          <t>2026-06-10</t>
        </is>
      </c>
    </row>
    <row r="367">
      <c r="A367" s="21" t="inlineStr">
        <is>
          <t>Аренда</t>
        </is>
      </c>
      <c r="B367" s="21" t="inlineStr">
        <is>
          <t>Загородная</t>
        </is>
      </c>
      <c r="C367" s="21" t="inlineStr">
        <is>
          <t>Коттедж</t>
        </is>
      </c>
      <c r="D367" s="21" t="inlineStr">
        <is>
          <t>Воронеж</t>
        </is>
      </c>
      <c r="E367" s="22" t="n">
        <v>54</v>
      </c>
      <c r="F367" s="24" t="inlineStr">
        <is>
          <t>—</t>
        </is>
      </c>
      <c r="G367" s="24" t="inlineStr">
        <is>
          <t>—</t>
        </is>
      </c>
      <c r="H367" s="24" t="inlineStr">
        <is>
          <t>—</t>
        </is>
      </c>
      <c r="I367" s="21" t="n"/>
      <c r="J367" s="23" t="inlineStr">
        <is>
          <t>2026-06-10</t>
        </is>
      </c>
    </row>
    <row r="368">
      <c r="A368" s="21" t="inlineStr">
        <is>
          <t>Аренда</t>
        </is>
      </c>
      <c r="B368" s="21" t="inlineStr">
        <is>
          <t>Загородная</t>
        </is>
      </c>
      <c r="C368" s="21" t="inlineStr">
        <is>
          <t>Коттедж</t>
        </is>
      </c>
      <c r="D368" s="21" t="inlineStr">
        <is>
          <t>Пермь</t>
        </is>
      </c>
      <c r="E368" s="22" t="n">
        <v>117</v>
      </c>
      <c r="F368" s="24" t="inlineStr">
        <is>
          <t>—</t>
        </is>
      </c>
      <c r="G368" s="24" t="inlineStr">
        <is>
          <t>—</t>
        </is>
      </c>
      <c r="H368" s="24" t="inlineStr">
        <is>
          <t>—</t>
        </is>
      </c>
      <c r="I368" s="21" t="n"/>
      <c r="J368" s="23" t="inlineStr">
        <is>
          <t>2026-06-10</t>
        </is>
      </c>
    </row>
    <row r="369">
      <c r="A369" s="21" t="inlineStr">
        <is>
          <t>Аренда</t>
        </is>
      </c>
      <c r="B369" s="21" t="inlineStr">
        <is>
          <t>Загородная</t>
        </is>
      </c>
      <c r="C369" s="21" t="inlineStr">
        <is>
          <t>Коттедж</t>
        </is>
      </c>
      <c r="D369" s="21" t="inlineStr">
        <is>
          <t>Волгоград</t>
        </is>
      </c>
      <c r="E369" s="22" t="n">
        <v>117</v>
      </c>
      <c r="F369" s="24" t="inlineStr">
        <is>
          <t>—</t>
        </is>
      </c>
      <c r="G369" s="24" t="inlineStr">
        <is>
          <t>—</t>
        </is>
      </c>
      <c r="H369" s="24" t="inlineStr">
        <is>
          <t>—</t>
        </is>
      </c>
      <c r="I369" s="21" t="n"/>
      <c r="J369" s="23" t="inlineStr">
        <is>
          <t>2026-06-10</t>
        </is>
      </c>
    </row>
    <row r="370">
      <c r="A370" s="21" t="inlineStr">
        <is>
          <t>Аренда</t>
        </is>
      </c>
      <c r="B370" s="21" t="inlineStr">
        <is>
          <t>Загородная</t>
        </is>
      </c>
      <c r="C370" s="21" t="inlineStr">
        <is>
          <t>Дом/Дача</t>
        </is>
      </c>
      <c r="D370" s="21" t="inlineStr">
        <is>
          <t>Москва</t>
        </is>
      </c>
      <c r="E370" s="22" t="n">
        <v>1326</v>
      </c>
      <c r="F370" s="22" t="n">
        <v>695</v>
      </c>
      <c r="G370" s="22" t="n">
        <v>256</v>
      </c>
      <c r="H370" s="22" t="n">
        <v>140</v>
      </c>
      <c r="I370" s="21" t="inlineStr">
        <is>
          <t>Цена зависит от стоимости объекта</t>
        </is>
      </c>
      <c r="J370" s="23" t="inlineStr">
        <is>
          <t>2026-06-10</t>
        </is>
      </c>
    </row>
    <row r="371">
      <c r="A371" s="21" t="inlineStr">
        <is>
          <t>Аренда</t>
        </is>
      </c>
      <c r="B371" s="21" t="inlineStr">
        <is>
          <t>Загородная</t>
        </is>
      </c>
      <c r="C371" s="21" t="inlineStr">
        <is>
          <t>Дом/Дача</t>
        </is>
      </c>
      <c r="D371" s="21" t="inlineStr">
        <is>
          <t>Санкт-Петербург</t>
        </is>
      </c>
      <c r="E371" s="22" t="n">
        <v>243</v>
      </c>
      <c r="F371" s="22" t="n">
        <v>310</v>
      </c>
      <c r="G371" s="22" t="n">
        <v>127</v>
      </c>
      <c r="H371" s="22" t="n">
        <v>40</v>
      </c>
      <c r="I371" s="21" t="inlineStr">
        <is>
          <t>Цена зависит от стоимости объекта</t>
        </is>
      </c>
      <c r="J371" s="23" t="inlineStr">
        <is>
          <t>2026-06-10</t>
        </is>
      </c>
    </row>
    <row r="372">
      <c r="A372" s="21" t="inlineStr">
        <is>
          <t>Аренда</t>
        </is>
      </c>
      <c r="B372" s="21" t="inlineStr">
        <is>
          <t>Загородная</t>
        </is>
      </c>
      <c r="C372" s="21" t="inlineStr">
        <is>
          <t>Дом/Дача</t>
        </is>
      </c>
      <c r="D372" s="21" t="inlineStr">
        <is>
          <t>Новосибирск</t>
        </is>
      </c>
      <c r="E372" s="22" t="n">
        <v>225</v>
      </c>
      <c r="F372" s="22" t="n">
        <v>490</v>
      </c>
      <c r="G372" s="22" t="n">
        <v>208</v>
      </c>
      <c r="H372" s="22" t="n">
        <v>65</v>
      </c>
      <c r="I372" s="21" t="n"/>
      <c r="J372" s="23" t="inlineStr">
        <is>
          <t>2026-06-10</t>
        </is>
      </c>
    </row>
    <row r="373">
      <c r="A373" s="21" t="inlineStr">
        <is>
          <t>Аренда</t>
        </is>
      </c>
      <c r="B373" s="21" t="inlineStr">
        <is>
          <t>Загородная</t>
        </is>
      </c>
      <c r="C373" s="21" t="inlineStr">
        <is>
          <t>Дом/Дача</t>
        </is>
      </c>
      <c r="D373" s="21" t="inlineStr">
        <is>
          <t>Екатеринбург</t>
        </is>
      </c>
      <c r="E373" s="22" t="n">
        <v>312</v>
      </c>
      <c r="F373" s="22" t="n">
        <v>456</v>
      </c>
      <c r="G373" s="22" t="n">
        <v>220</v>
      </c>
      <c r="H373" s="22" t="n">
        <v>68</v>
      </c>
      <c r="I373" s="21" t="n"/>
      <c r="J373" s="23" t="inlineStr">
        <is>
          <t>2026-06-10</t>
        </is>
      </c>
    </row>
    <row r="374">
      <c r="A374" s="21" t="inlineStr">
        <is>
          <t>Аренда</t>
        </is>
      </c>
      <c r="B374" s="21" t="inlineStr">
        <is>
          <t>Загородная</t>
        </is>
      </c>
      <c r="C374" s="21" t="inlineStr">
        <is>
          <t>Дом/Дача</t>
        </is>
      </c>
      <c r="D374" s="21" t="inlineStr">
        <is>
          <t>Казань</t>
        </is>
      </c>
      <c r="E374" s="22" t="n">
        <v>63</v>
      </c>
      <c r="F374" s="22" t="n">
        <v>152</v>
      </c>
      <c r="G374" s="22" t="n">
        <v>60</v>
      </c>
      <c r="H374" s="22" t="n">
        <v>19</v>
      </c>
      <c r="I374" s="21" t="inlineStr">
        <is>
          <t>Цена зависит от стоимости объекта</t>
        </is>
      </c>
      <c r="J374" s="23" t="inlineStr">
        <is>
          <t>2026-06-10</t>
        </is>
      </c>
    </row>
    <row r="375">
      <c r="A375" s="21" t="inlineStr">
        <is>
          <t>Аренда</t>
        </is>
      </c>
      <c r="B375" s="21" t="inlineStr">
        <is>
          <t>Загородная</t>
        </is>
      </c>
      <c r="C375" s="21" t="inlineStr">
        <is>
          <t>Дом/Дача</t>
        </is>
      </c>
      <c r="D375" s="21" t="inlineStr">
        <is>
          <t>Красноярск</t>
        </is>
      </c>
      <c r="E375" s="22" t="n">
        <v>294</v>
      </c>
      <c r="F375" s="24" t="inlineStr">
        <is>
          <t>—</t>
        </is>
      </c>
      <c r="G375" s="24" t="inlineStr">
        <is>
          <t>—</t>
        </is>
      </c>
      <c r="H375" s="24" t="inlineStr">
        <is>
          <t>—</t>
        </is>
      </c>
      <c r="I375" s="21" t="n"/>
      <c r="J375" s="23" t="inlineStr">
        <is>
          <t>2026-06-10</t>
        </is>
      </c>
    </row>
    <row r="376">
      <c r="A376" s="21" t="inlineStr">
        <is>
          <t>Аренда</t>
        </is>
      </c>
      <c r="B376" s="21" t="inlineStr">
        <is>
          <t>Загородная</t>
        </is>
      </c>
      <c r="C376" s="21" t="inlineStr">
        <is>
          <t>Дом/Дача</t>
        </is>
      </c>
      <c r="D376" s="21" t="inlineStr">
        <is>
          <t>Нижний Новгород</t>
        </is>
      </c>
      <c r="E376" s="22" t="n">
        <v>165</v>
      </c>
      <c r="F376" s="22" t="n">
        <v>148</v>
      </c>
      <c r="G376" s="22" t="n">
        <v>66</v>
      </c>
      <c r="H376" s="22" t="n">
        <v>18</v>
      </c>
      <c r="I376" s="21" t="n"/>
      <c r="J376" s="23" t="inlineStr">
        <is>
          <t>2026-06-10</t>
        </is>
      </c>
    </row>
    <row r="377">
      <c r="A377" s="21" t="inlineStr">
        <is>
          <t>Аренда</t>
        </is>
      </c>
      <c r="B377" s="21" t="inlineStr">
        <is>
          <t>Загородная</t>
        </is>
      </c>
      <c r="C377" s="21" t="inlineStr">
        <is>
          <t>Дом/Дача</t>
        </is>
      </c>
      <c r="D377" s="21" t="inlineStr">
        <is>
          <t>Челябинск</t>
        </is>
      </c>
      <c r="E377" s="22" t="n">
        <v>222</v>
      </c>
      <c r="F377" s="22" t="n">
        <v>220</v>
      </c>
      <c r="G377" s="22" t="n">
        <v>101</v>
      </c>
      <c r="H377" s="22" t="n">
        <v>30</v>
      </c>
      <c r="I377" s="21" t="n"/>
      <c r="J377" s="23" t="inlineStr">
        <is>
          <t>2026-06-10</t>
        </is>
      </c>
    </row>
    <row r="378">
      <c r="A378" s="21" t="inlineStr">
        <is>
          <t>Аренда</t>
        </is>
      </c>
      <c r="B378" s="21" t="inlineStr">
        <is>
          <t>Загородная</t>
        </is>
      </c>
      <c r="C378" s="21" t="inlineStr">
        <is>
          <t>Дом/Дача</t>
        </is>
      </c>
      <c r="D378" s="21" t="inlineStr">
        <is>
          <t>Уфа</t>
        </is>
      </c>
      <c r="E378" s="22" t="n">
        <v>144</v>
      </c>
      <c r="F378" s="22" t="n">
        <v>133</v>
      </c>
      <c r="G378" s="22" t="n">
        <v>53</v>
      </c>
      <c r="H378" s="22" t="n">
        <v>18</v>
      </c>
      <c r="I378" s="21" t="n"/>
      <c r="J378" s="23" t="inlineStr">
        <is>
          <t>2026-06-10</t>
        </is>
      </c>
    </row>
    <row r="379">
      <c r="A379" s="21" t="inlineStr">
        <is>
          <t>Аренда</t>
        </is>
      </c>
      <c r="B379" s="21" t="inlineStr">
        <is>
          <t>Загородная</t>
        </is>
      </c>
      <c r="C379" s="21" t="inlineStr">
        <is>
          <t>Дом/Дача</t>
        </is>
      </c>
      <c r="D379" s="21" t="inlineStr">
        <is>
          <t>Краснодар</t>
        </is>
      </c>
      <c r="E379" s="22" t="n">
        <v>162</v>
      </c>
      <c r="F379" s="22" t="n">
        <v>182</v>
      </c>
      <c r="G379" s="22" t="n">
        <v>68</v>
      </c>
      <c r="H379" s="22" t="n">
        <v>21</v>
      </c>
      <c r="I379" s="21" t="inlineStr">
        <is>
          <t>Цена зависит от стоимости объекта</t>
        </is>
      </c>
      <c r="J379" s="23" t="inlineStr">
        <is>
          <t>2026-06-10</t>
        </is>
      </c>
    </row>
    <row r="380">
      <c r="A380" s="21" t="inlineStr">
        <is>
          <t>Аренда</t>
        </is>
      </c>
      <c r="B380" s="21" t="inlineStr">
        <is>
          <t>Загородная</t>
        </is>
      </c>
      <c r="C380" s="21" t="inlineStr">
        <is>
          <t>Дом/Дача</t>
        </is>
      </c>
      <c r="D380" s="21" t="inlineStr">
        <is>
          <t>Самара</t>
        </is>
      </c>
      <c r="E380" s="22" t="n">
        <v>141</v>
      </c>
      <c r="F380" s="24" t="inlineStr">
        <is>
          <t>—</t>
        </is>
      </c>
      <c r="G380" s="24" t="inlineStr">
        <is>
          <t>—</t>
        </is>
      </c>
      <c r="H380" s="24" t="inlineStr">
        <is>
          <t>—</t>
        </is>
      </c>
      <c r="I380" s="21" t="n"/>
      <c r="J380" s="23" t="inlineStr">
        <is>
          <t>2026-06-10</t>
        </is>
      </c>
    </row>
    <row r="381">
      <c r="A381" s="21" t="inlineStr">
        <is>
          <t>Аренда</t>
        </is>
      </c>
      <c r="B381" s="21" t="inlineStr">
        <is>
          <t>Загородная</t>
        </is>
      </c>
      <c r="C381" s="21" t="inlineStr">
        <is>
          <t>Дом/Дача</t>
        </is>
      </c>
      <c r="D381" s="21" t="inlineStr">
        <is>
          <t>Ростов-на-Дону</t>
        </is>
      </c>
      <c r="E381" s="22" t="n">
        <v>51</v>
      </c>
      <c r="F381" s="22" t="n">
        <v>179</v>
      </c>
      <c r="G381" s="22" t="n">
        <v>70</v>
      </c>
      <c r="H381" s="22" t="n">
        <v>22</v>
      </c>
      <c r="I381" s="21" t="inlineStr">
        <is>
          <t>Цена зависит от стоимости объекта</t>
        </is>
      </c>
      <c r="J381" s="23" t="inlineStr">
        <is>
          <t>2026-06-10</t>
        </is>
      </c>
    </row>
    <row r="382">
      <c r="A382" s="21" t="inlineStr">
        <is>
          <t>Аренда</t>
        </is>
      </c>
      <c r="B382" s="21" t="inlineStr">
        <is>
          <t>Загородная</t>
        </is>
      </c>
      <c r="C382" s="21" t="inlineStr">
        <is>
          <t>Дом/Дача</t>
        </is>
      </c>
      <c r="D382" s="21" t="inlineStr">
        <is>
          <t>Омск</t>
        </is>
      </c>
      <c r="E382" s="22" t="n">
        <v>45</v>
      </c>
      <c r="F382" s="22" t="n">
        <v>171</v>
      </c>
      <c r="G382" s="22" t="n">
        <v>94</v>
      </c>
      <c r="H382" s="22" t="n">
        <v>29</v>
      </c>
      <c r="I382" s="21" t="n"/>
      <c r="J382" s="23" t="inlineStr">
        <is>
          <t>2026-06-10</t>
        </is>
      </c>
    </row>
    <row r="383">
      <c r="A383" s="21" t="inlineStr">
        <is>
          <t>Аренда</t>
        </is>
      </c>
      <c r="B383" s="21" t="inlineStr">
        <is>
          <t>Загородная</t>
        </is>
      </c>
      <c r="C383" s="21" t="inlineStr">
        <is>
          <t>Дом/Дача</t>
        </is>
      </c>
      <c r="D383" s="21" t="inlineStr">
        <is>
          <t>Воронеж</t>
        </is>
      </c>
      <c r="E383" s="22" t="n">
        <v>24</v>
      </c>
      <c r="F383" s="24" t="inlineStr">
        <is>
          <t>—</t>
        </is>
      </c>
      <c r="G383" s="24" t="inlineStr">
        <is>
          <t>—</t>
        </is>
      </c>
      <c r="H383" s="24" t="inlineStr">
        <is>
          <t>—</t>
        </is>
      </c>
      <c r="I383" s="21" t="n"/>
      <c r="J383" s="23" t="inlineStr">
        <is>
          <t>2026-06-10</t>
        </is>
      </c>
    </row>
    <row r="384">
      <c r="A384" s="21" t="inlineStr">
        <is>
          <t>Аренда</t>
        </is>
      </c>
      <c r="B384" s="21" t="inlineStr">
        <is>
          <t>Загородная</t>
        </is>
      </c>
      <c r="C384" s="21" t="inlineStr">
        <is>
          <t>Дом/Дача</t>
        </is>
      </c>
      <c r="D384" s="21" t="inlineStr">
        <is>
          <t>Пермь</t>
        </is>
      </c>
      <c r="E384" s="22" t="n">
        <v>117</v>
      </c>
      <c r="F384" s="24" t="inlineStr">
        <is>
          <t>—</t>
        </is>
      </c>
      <c r="G384" s="24" t="inlineStr">
        <is>
          <t>—</t>
        </is>
      </c>
      <c r="H384" s="24" t="inlineStr">
        <is>
          <t>—</t>
        </is>
      </c>
      <c r="I384" s="21" t="n"/>
      <c r="J384" s="23" t="inlineStr">
        <is>
          <t>2026-06-10</t>
        </is>
      </c>
    </row>
    <row r="385">
      <c r="A385" s="21" t="inlineStr">
        <is>
          <t>Аренда</t>
        </is>
      </c>
      <c r="B385" s="21" t="inlineStr">
        <is>
          <t>Загородная</t>
        </is>
      </c>
      <c r="C385" s="21" t="inlineStr">
        <is>
          <t>Дом/Дача</t>
        </is>
      </c>
      <c r="D385" s="21" t="inlineStr">
        <is>
          <t>Волгоград</t>
        </is>
      </c>
      <c r="E385" s="22" t="n">
        <v>117</v>
      </c>
      <c r="F385" s="24" t="inlineStr">
        <is>
          <t>—</t>
        </is>
      </c>
      <c r="G385" s="24" t="inlineStr">
        <is>
          <t>—</t>
        </is>
      </c>
      <c r="H385" s="24" t="inlineStr">
        <is>
          <t>—</t>
        </is>
      </c>
      <c r="I385" s="21" t="n"/>
      <c r="J385" s="23" t="inlineStr">
        <is>
          <t>2026-06-10</t>
        </is>
      </c>
    </row>
    <row r="386">
      <c r="A386" s="21" t="inlineStr">
        <is>
          <t>Аренда</t>
        </is>
      </c>
      <c r="B386" s="21" t="inlineStr">
        <is>
          <t>Загородная</t>
        </is>
      </c>
      <c r="C386" s="21" t="inlineStr">
        <is>
          <t>Таунхаус</t>
        </is>
      </c>
      <c r="D386" s="21" t="inlineStr">
        <is>
          <t>Москва</t>
        </is>
      </c>
      <c r="E386" s="22" t="n">
        <v>1326</v>
      </c>
      <c r="F386" s="22" t="n">
        <v>804</v>
      </c>
      <c r="G386" s="22" t="n">
        <v>296</v>
      </c>
      <c r="H386" s="22" t="n">
        <v>90</v>
      </c>
      <c r="I386" s="21" t="inlineStr">
        <is>
          <t>Цена зависит от стоимости объекта</t>
        </is>
      </c>
      <c r="J386" s="23" t="inlineStr">
        <is>
          <t>2026-06-10</t>
        </is>
      </c>
    </row>
    <row r="387">
      <c r="A387" s="21" t="inlineStr">
        <is>
          <t>Аренда</t>
        </is>
      </c>
      <c r="B387" s="21" t="inlineStr">
        <is>
          <t>Загородная</t>
        </is>
      </c>
      <c r="C387" s="21" t="inlineStr">
        <is>
          <t>Таунхаус</t>
        </is>
      </c>
      <c r="D387" s="21" t="inlineStr">
        <is>
          <t>Санкт-Петербург</t>
        </is>
      </c>
      <c r="E387" s="22" t="n">
        <v>276</v>
      </c>
      <c r="F387" s="22" t="n">
        <v>311</v>
      </c>
      <c r="G387" s="22" t="n">
        <v>127</v>
      </c>
      <c r="H387" s="22" t="n">
        <v>39</v>
      </c>
      <c r="I387" s="21" t="inlineStr">
        <is>
          <t>Цена зависит от стоимости объекта</t>
        </is>
      </c>
      <c r="J387" s="23" t="inlineStr">
        <is>
          <t>2026-06-10</t>
        </is>
      </c>
    </row>
    <row r="388">
      <c r="A388" s="21" t="inlineStr">
        <is>
          <t>Аренда</t>
        </is>
      </c>
      <c r="B388" s="21" t="inlineStr">
        <is>
          <t>Загородная</t>
        </is>
      </c>
      <c r="C388" s="21" t="inlineStr">
        <is>
          <t>Таунхаус</t>
        </is>
      </c>
      <c r="D388" s="21" t="inlineStr">
        <is>
          <t>Новосибирск</t>
        </is>
      </c>
      <c r="E388" s="22" t="n">
        <v>375</v>
      </c>
      <c r="F388" s="22" t="n">
        <v>377</v>
      </c>
      <c r="G388" s="22" t="n">
        <v>174</v>
      </c>
      <c r="H388" s="22" t="n">
        <v>53</v>
      </c>
      <c r="I388" s="21" t="n"/>
      <c r="J388" s="23" t="inlineStr">
        <is>
          <t>2026-06-10</t>
        </is>
      </c>
    </row>
    <row r="389">
      <c r="A389" s="21" t="inlineStr">
        <is>
          <t>Аренда</t>
        </is>
      </c>
      <c r="B389" s="21" t="inlineStr">
        <is>
          <t>Загородная</t>
        </is>
      </c>
      <c r="C389" s="21" t="inlineStr">
        <is>
          <t>Таунхаус</t>
        </is>
      </c>
      <c r="D389" s="21" t="inlineStr">
        <is>
          <t>Екатеринбург</t>
        </is>
      </c>
      <c r="E389" s="22" t="n">
        <v>390</v>
      </c>
      <c r="F389" s="22" t="n">
        <v>380</v>
      </c>
      <c r="G389" s="22" t="n">
        <v>191</v>
      </c>
      <c r="H389" s="22" t="n">
        <v>58</v>
      </c>
      <c r="I389" s="21" t="n"/>
      <c r="J389" s="23" t="inlineStr">
        <is>
          <t>2026-06-10</t>
        </is>
      </c>
    </row>
    <row r="390">
      <c r="A390" s="21" t="inlineStr">
        <is>
          <t>Аренда</t>
        </is>
      </c>
      <c r="B390" s="21" t="inlineStr">
        <is>
          <t>Загородная</t>
        </is>
      </c>
      <c r="C390" s="21" t="inlineStr">
        <is>
          <t>Таунхаус</t>
        </is>
      </c>
      <c r="D390" s="21" t="inlineStr">
        <is>
          <t>Казань</t>
        </is>
      </c>
      <c r="E390" s="22" t="n">
        <v>81</v>
      </c>
      <c r="F390" s="22" t="n">
        <v>136</v>
      </c>
      <c r="G390" s="22" t="n">
        <v>58</v>
      </c>
      <c r="H390" s="22" t="n">
        <v>18</v>
      </c>
      <c r="I390" s="21" t="inlineStr">
        <is>
          <t>Цена зависит от стоимости объекта</t>
        </is>
      </c>
      <c r="J390" s="23" t="inlineStr">
        <is>
          <t>2026-06-10</t>
        </is>
      </c>
    </row>
    <row r="391">
      <c r="A391" s="21" t="inlineStr">
        <is>
          <t>Аренда</t>
        </is>
      </c>
      <c r="B391" s="21" t="inlineStr">
        <is>
          <t>Загородная</t>
        </is>
      </c>
      <c r="C391" s="21" t="inlineStr">
        <is>
          <t>Таунхаус</t>
        </is>
      </c>
      <c r="D391" s="21" t="inlineStr">
        <is>
          <t>Красноярск</t>
        </is>
      </c>
      <c r="E391" s="22" t="n">
        <v>294</v>
      </c>
      <c r="F391" s="24" t="inlineStr">
        <is>
          <t>—</t>
        </is>
      </c>
      <c r="G391" s="24" t="inlineStr">
        <is>
          <t>—</t>
        </is>
      </c>
      <c r="H391" s="24" t="inlineStr">
        <is>
          <t>—</t>
        </is>
      </c>
      <c r="I391" s="21" t="n"/>
      <c r="J391" s="23" t="inlineStr">
        <is>
          <t>2026-06-10</t>
        </is>
      </c>
    </row>
    <row r="392">
      <c r="A392" s="21" t="inlineStr">
        <is>
          <t>Аренда</t>
        </is>
      </c>
      <c r="B392" s="21" t="inlineStr">
        <is>
          <t>Загородная</t>
        </is>
      </c>
      <c r="C392" s="21" t="inlineStr">
        <is>
          <t>Таунхаус</t>
        </is>
      </c>
      <c r="D392" s="21" t="inlineStr">
        <is>
          <t>Нижний Новгород</t>
        </is>
      </c>
      <c r="E392" s="22" t="n">
        <v>165</v>
      </c>
      <c r="F392" s="22" t="n">
        <v>134</v>
      </c>
      <c r="G392" s="22" t="n">
        <v>58</v>
      </c>
      <c r="H392" s="22" t="n">
        <v>17</v>
      </c>
      <c r="I392" s="21" t="n"/>
      <c r="J392" s="23" t="inlineStr">
        <is>
          <t>2026-06-10</t>
        </is>
      </c>
    </row>
    <row r="393">
      <c r="A393" s="21" t="inlineStr">
        <is>
          <t>Аренда</t>
        </is>
      </c>
      <c r="B393" s="21" t="inlineStr">
        <is>
          <t>Загородная</t>
        </is>
      </c>
      <c r="C393" s="21" t="inlineStr">
        <is>
          <t>Таунхаус</t>
        </is>
      </c>
      <c r="D393" s="21" t="inlineStr">
        <is>
          <t>Челябинск</t>
        </is>
      </c>
      <c r="E393" s="22" t="n">
        <v>600</v>
      </c>
      <c r="F393" s="22" t="n">
        <v>220</v>
      </c>
      <c r="G393" s="22" t="n">
        <v>107</v>
      </c>
      <c r="H393" s="22" t="n">
        <v>32</v>
      </c>
      <c r="I393" s="21" t="n"/>
      <c r="J393" s="23" t="inlineStr">
        <is>
          <t>2026-06-10</t>
        </is>
      </c>
    </row>
    <row r="394">
      <c r="A394" s="21" t="inlineStr">
        <is>
          <t>Аренда</t>
        </is>
      </c>
      <c r="B394" s="21" t="inlineStr">
        <is>
          <t>Загородная</t>
        </is>
      </c>
      <c r="C394" s="21" t="inlineStr">
        <is>
          <t>Таунхаус</t>
        </is>
      </c>
      <c r="D394" s="21" t="inlineStr">
        <is>
          <t>Уфа</t>
        </is>
      </c>
      <c r="E394" s="22" t="n">
        <v>144</v>
      </c>
      <c r="F394" s="22" t="n">
        <v>101</v>
      </c>
      <c r="G394" s="22" t="n">
        <v>44</v>
      </c>
      <c r="H394" s="22" t="n">
        <v>15</v>
      </c>
      <c r="I394" s="21" t="n"/>
      <c r="J394" s="23" t="inlineStr">
        <is>
          <t>2026-06-10</t>
        </is>
      </c>
    </row>
    <row r="395">
      <c r="A395" s="21" t="inlineStr">
        <is>
          <t>Аренда</t>
        </is>
      </c>
      <c r="B395" s="21" t="inlineStr">
        <is>
          <t>Загородная</t>
        </is>
      </c>
      <c r="C395" s="21" t="inlineStr">
        <is>
          <t>Таунхаус</t>
        </is>
      </c>
      <c r="D395" s="21" t="inlineStr">
        <is>
          <t>Краснодар</t>
        </is>
      </c>
      <c r="E395" s="22" t="n">
        <v>198</v>
      </c>
      <c r="F395" s="22" t="n">
        <v>178</v>
      </c>
      <c r="G395" s="22" t="n">
        <v>72</v>
      </c>
      <c r="H395" s="22" t="n">
        <v>21</v>
      </c>
      <c r="I395" s="21" t="inlineStr">
        <is>
          <t>Цена зависит от стоимости объекта</t>
        </is>
      </c>
      <c r="J395" s="23" t="inlineStr">
        <is>
          <t>2026-06-10</t>
        </is>
      </c>
    </row>
    <row r="396">
      <c r="A396" s="21" t="inlineStr">
        <is>
          <t>Аренда</t>
        </is>
      </c>
      <c r="B396" s="21" t="inlineStr">
        <is>
          <t>Загородная</t>
        </is>
      </c>
      <c r="C396" s="21" t="inlineStr">
        <is>
          <t>Таунхаус</t>
        </is>
      </c>
      <c r="D396" s="21" t="inlineStr">
        <is>
          <t>Самара</t>
        </is>
      </c>
      <c r="E396" s="22" t="n">
        <v>54</v>
      </c>
      <c r="F396" s="24" t="inlineStr">
        <is>
          <t>—</t>
        </is>
      </c>
      <c r="G396" s="24" t="inlineStr">
        <is>
          <t>—</t>
        </is>
      </c>
      <c r="H396" s="24" t="inlineStr">
        <is>
          <t>—</t>
        </is>
      </c>
      <c r="I396" s="21" t="n"/>
      <c r="J396" s="23" t="inlineStr">
        <is>
          <t>2026-06-10</t>
        </is>
      </c>
    </row>
    <row r="397">
      <c r="A397" s="21" t="inlineStr">
        <is>
          <t>Аренда</t>
        </is>
      </c>
      <c r="B397" s="21" t="inlineStr">
        <is>
          <t>Загородная</t>
        </is>
      </c>
      <c r="C397" s="21" t="inlineStr">
        <is>
          <t>Таунхаус</t>
        </is>
      </c>
      <c r="D397" s="21" t="inlineStr">
        <is>
          <t>Ростов-на-Дону</t>
        </is>
      </c>
      <c r="E397" s="22" t="n">
        <v>153</v>
      </c>
      <c r="F397" s="22" t="n">
        <v>136</v>
      </c>
      <c r="G397" s="22" t="n">
        <v>58</v>
      </c>
      <c r="H397" s="22" t="n">
        <v>18</v>
      </c>
      <c r="I397" s="21" t="inlineStr">
        <is>
          <t>Цена зависит от стоимости объекта</t>
        </is>
      </c>
      <c r="J397" s="23" t="inlineStr">
        <is>
          <t>2026-06-10</t>
        </is>
      </c>
    </row>
    <row r="398">
      <c r="A398" s="21" t="inlineStr">
        <is>
          <t>Аренда</t>
        </is>
      </c>
      <c r="B398" s="21" t="inlineStr">
        <is>
          <t>Загородная</t>
        </is>
      </c>
      <c r="C398" s="21" t="inlineStr">
        <is>
          <t>Таунхаус</t>
        </is>
      </c>
      <c r="D398" s="21" t="inlineStr">
        <is>
          <t>Омск</t>
        </is>
      </c>
      <c r="E398" s="22" t="n">
        <v>99</v>
      </c>
      <c r="F398" s="22" t="n">
        <v>171</v>
      </c>
      <c r="G398" s="22" t="n">
        <v>94</v>
      </c>
      <c r="H398" s="22" t="n">
        <v>29</v>
      </c>
      <c r="I398" s="21" t="n"/>
      <c r="J398" s="23" t="inlineStr">
        <is>
          <t>2026-06-10</t>
        </is>
      </c>
    </row>
    <row r="399">
      <c r="A399" s="21" t="inlineStr">
        <is>
          <t>Аренда</t>
        </is>
      </c>
      <c r="B399" s="21" t="inlineStr">
        <is>
          <t>Загородная</t>
        </is>
      </c>
      <c r="C399" s="21" t="inlineStr">
        <is>
          <t>Таунхаус</t>
        </is>
      </c>
      <c r="D399" s="21" t="inlineStr">
        <is>
          <t>Воронеж</t>
        </is>
      </c>
      <c r="E399" s="22" t="n">
        <v>144</v>
      </c>
      <c r="F399" s="24" t="inlineStr">
        <is>
          <t>—</t>
        </is>
      </c>
      <c r="G399" s="24" t="inlineStr">
        <is>
          <t>—</t>
        </is>
      </c>
      <c r="H399" s="24" t="inlineStr">
        <is>
          <t>—</t>
        </is>
      </c>
      <c r="I399" s="21" t="n"/>
      <c r="J399" s="23" t="inlineStr">
        <is>
          <t>2026-06-10</t>
        </is>
      </c>
    </row>
    <row r="400">
      <c r="A400" s="21" t="inlineStr">
        <is>
          <t>Аренда</t>
        </is>
      </c>
      <c r="B400" s="21" t="inlineStr">
        <is>
          <t>Загородная</t>
        </is>
      </c>
      <c r="C400" s="21" t="inlineStr">
        <is>
          <t>Таунхаус</t>
        </is>
      </c>
      <c r="D400" s="21" t="inlineStr">
        <is>
          <t>Пермь</t>
        </is>
      </c>
      <c r="E400" s="22" t="n">
        <v>36</v>
      </c>
      <c r="F400" s="24" t="inlineStr">
        <is>
          <t>—</t>
        </is>
      </c>
      <c r="G400" s="24" t="inlineStr">
        <is>
          <t>—</t>
        </is>
      </c>
      <c r="H400" s="24" t="inlineStr">
        <is>
          <t>—</t>
        </is>
      </c>
      <c r="I400" s="21" t="n"/>
      <c r="J400" s="23" t="inlineStr">
        <is>
          <t>2026-06-10</t>
        </is>
      </c>
    </row>
    <row r="401">
      <c r="A401" s="21" t="inlineStr">
        <is>
          <t>Аренда</t>
        </is>
      </c>
      <c r="B401" s="21" t="inlineStr">
        <is>
          <t>Загородная</t>
        </is>
      </c>
      <c r="C401" s="21" t="inlineStr">
        <is>
          <t>Таунхаус</t>
        </is>
      </c>
      <c r="D401" s="21" t="inlineStr">
        <is>
          <t>Волгоград</t>
        </is>
      </c>
      <c r="E401" s="22" t="n">
        <v>117</v>
      </c>
      <c r="F401" s="24" t="inlineStr">
        <is>
          <t>—</t>
        </is>
      </c>
      <c r="G401" s="24" t="inlineStr">
        <is>
          <t>—</t>
        </is>
      </c>
      <c r="H401" s="24" t="inlineStr">
        <is>
          <t>—</t>
        </is>
      </c>
      <c r="I401" s="21" t="n"/>
      <c r="J401" s="23" t="inlineStr">
        <is>
          <t>2026-06-10</t>
        </is>
      </c>
    </row>
    <row r="402">
      <c r="A402" s="21" t="inlineStr">
        <is>
          <t>Аренда</t>
        </is>
      </c>
      <c r="B402" s="21" t="inlineStr">
        <is>
          <t>Загородная</t>
        </is>
      </c>
      <c r="C402" s="21" t="inlineStr">
        <is>
          <t>Часть дома</t>
        </is>
      </c>
      <c r="D402" s="21" t="inlineStr">
        <is>
          <t>Москва</t>
        </is>
      </c>
      <c r="E402" s="22" t="n">
        <v>1326</v>
      </c>
      <c r="F402" s="22" t="n">
        <v>772</v>
      </c>
      <c r="G402" s="22" t="n">
        <v>284</v>
      </c>
      <c r="H402" s="22" t="n">
        <v>155</v>
      </c>
      <c r="I402" s="21" t="inlineStr">
        <is>
          <t>Цена зависит от стоимости объекта</t>
        </is>
      </c>
      <c r="J402" s="23" t="inlineStr">
        <is>
          <t>2026-06-10</t>
        </is>
      </c>
    </row>
    <row r="403">
      <c r="A403" s="21" t="inlineStr">
        <is>
          <t>Аренда</t>
        </is>
      </c>
      <c r="B403" s="21" t="inlineStr">
        <is>
          <t>Загородная</t>
        </is>
      </c>
      <c r="C403" s="21" t="inlineStr">
        <is>
          <t>Часть дома</t>
        </is>
      </c>
      <c r="D403" s="21" t="inlineStr">
        <is>
          <t>Санкт-Петербург</t>
        </is>
      </c>
      <c r="E403" s="22" t="n">
        <v>168</v>
      </c>
      <c r="F403" s="22" t="n">
        <v>297</v>
      </c>
      <c r="G403" s="22" t="n">
        <v>116</v>
      </c>
      <c r="H403" s="22" t="n">
        <v>37</v>
      </c>
      <c r="I403" s="21" t="inlineStr">
        <is>
          <t>Цена зависит от стоимости объекта</t>
        </is>
      </c>
      <c r="J403" s="23" t="inlineStr">
        <is>
          <t>2026-06-10</t>
        </is>
      </c>
    </row>
    <row r="404">
      <c r="A404" s="21" t="inlineStr">
        <is>
          <t>Аренда</t>
        </is>
      </c>
      <c r="B404" s="21" t="inlineStr">
        <is>
          <t>Загородная</t>
        </is>
      </c>
      <c r="C404" s="21" t="inlineStr">
        <is>
          <t>Часть дома</t>
        </is>
      </c>
      <c r="D404" s="21" t="inlineStr">
        <is>
          <t>Новосибирск</t>
        </is>
      </c>
      <c r="E404" s="22" t="n">
        <v>225</v>
      </c>
      <c r="F404" s="22" t="n">
        <v>490</v>
      </c>
      <c r="G404" s="22" t="n">
        <v>208</v>
      </c>
      <c r="H404" s="22" t="n">
        <v>65</v>
      </c>
      <c r="I404" s="21" t="n"/>
      <c r="J404" s="23" t="inlineStr">
        <is>
          <t>2026-06-10</t>
        </is>
      </c>
    </row>
    <row r="405">
      <c r="A405" s="21" t="inlineStr">
        <is>
          <t>Аренда</t>
        </is>
      </c>
      <c r="B405" s="21" t="inlineStr">
        <is>
          <t>Загородная</t>
        </is>
      </c>
      <c r="C405" s="21" t="inlineStr">
        <is>
          <t>Часть дома</t>
        </is>
      </c>
      <c r="D405" s="21" t="inlineStr">
        <is>
          <t>Екатеринбург</t>
        </is>
      </c>
      <c r="E405" s="22" t="n">
        <v>312</v>
      </c>
      <c r="F405" s="22" t="n">
        <v>456</v>
      </c>
      <c r="G405" s="22" t="n">
        <v>220</v>
      </c>
      <c r="H405" s="22" t="n">
        <v>68</v>
      </c>
      <c r="I405" s="21" t="n"/>
      <c r="J405" s="23" t="inlineStr">
        <is>
          <t>2026-06-10</t>
        </is>
      </c>
    </row>
    <row r="406">
      <c r="A406" s="21" t="inlineStr">
        <is>
          <t>Аренда</t>
        </is>
      </c>
      <c r="B406" s="21" t="inlineStr">
        <is>
          <t>Загородная</t>
        </is>
      </c>
      <c r="C406" s="21" t="inlineStr">
        <is>
          <t>Часть дома</t>
        </is>
      </c>
      <c r="D406" s="21" t="inlineStr">
        <is>
          <t>Казань</t>
        </is>
      </c>
      <c r="E406" s="22" t="n">
        <v>63</v>
      </c>
      <c r="F406" s="22" t="n">
        <v>179</v>
      </c>
      <c r="G406" s="22" t="n">
        <v>70</v>
      </c>
      <c r="H406" s="22" t="n">
        <v>22</v>
      </c>
      <c r="I406" s="21" t="inlineStr">
        <is>
          <t>Цена зависит от стоимости объекта</t>
        </is>
      </c>
      <c r="J406" s="23" t="inlineStr">
        <is>
          <t>2026-06-10</t>
        </is>
      </c>
    </row>
    <row r="407">
      <c r="A407" s="21" t="inlineStr">
        <is>
          <t>Аренда</t>
        </is>
      </c>
      <c r="B407" s="21" t="inlineStr">
        <is>
          <t>Загородная</t>
        </is>
      </c>
      <c r="C407" s="21" t="inlineStr">
        <is>
          <t>Часть дома</t>
        </is>
      </c>
      <c r="D407" s="21" t="inlineStr">
        <is>
          <t>Красноярск</t>
        </is>
      </c>
      <c r="E407" s="22" t="n">
        <v>294</v>
      </c>
      <c r="F407" s="24" t="inlineStr">
        <is>
          <t>—</t>
        </is>
      </c>
      <c r="G407" s="24" t="inlineStr">
        <is>
          <t>—</t>
        </is>
      </c>
      <c r="H407" s="24" t="inlineStr">
        <is>
          <t>—</t>
        </is>
      </c>
      <c r="I407" s="21" t="n"/>
      <c r="J407" s="23" t="inlineStr">
        <is>
          <t>2026-06-10</t>
        </is>
      </c>
    </row>
    <row r="408">
      <c r="A408" s="21" t="inlineStr">
        <is>
          <t>Аренда</t>
        </is>
      </c>
      <c r="B408" s="21" t="inlineStr">
        <is>
          <t>Загородная</t>
        </is>
      </c>
      <c r="C408" s="21" t="inlineStr">
        <is>
          <t>Часть дома</t>
        </is>
      </c>
      <c r="D408" s="21" t="inlineStr">
        <is>
          <t>Нижний Новгород</t>
        </is>
      </c>
      <c r="E408" s="22" t="n">
        <v>165</v>
      </c>
      <c r="F408" s="22" t="n">
        <v>148</v>
      </c>
      <c r="G408" s="22" t="n">
        <v>63</v>
      </c>
      <c r="H408" s="22" t="n">
        <v>18</v>
      </c>
      <c r="I408" s="21" t="n"/>
      <c r="J408" s="23" t="inlineStr">
        <is>
          <t>2026-06-10</t>
        </is>
      </c>
    </row>
    <row r="409">
      <c r="A409" s="21" t="inlineStr">
        <is>
          <t>Аренда</t>
        </is>
      </c>
      <c r="B409" s="21" t="inlineStr">
        <is>
          <t>Загородная</t>
        </is>
      </c>
      <c r="C409" s="21" t="inlineStr">
        <is>
          <t>Часть дома</t>
        </is>
      </c>
      <c r="D409" s="21" t="inlineStr">
        <is>
          <t>Челябинск</t>
        </is>
      </c>
      <c r="E409" s="22" t="n">
        <v>222</v>
      </c>
      <c r="F409" s="22" t="n">
        <v>220</v>
      </c>
      <c r="G409" s="22" t="n">
        <v>101</v>
      </c>
      <c r="H409" s="22" t="n">
        <v>30</v>
      </c>
      <c r="I409" s="21" t="n"/>
      <c r="J409" s="23" t="inlineStr">
        <is>
          <t>2026-06-10</t>
        </is>
      </c>
    </row>
    <row r="410">
      <c r="A410" s="21" t="inlineStr">
        <is>
          <t>Аренда</t>
        </is>
      </c>
      <c r="B410" s="21" t="inlineStr">
        <is>
          <t>Загородная</t>
        </is>
      </c>
      <c r="C410" s="21" t="inlineStr">
        <is>
          <t>Часть дома</t>
        </is>
      </c>
      <c r="D410" s="21" t="inlineStr">
        <is>
          <t>Уфа</t>
        </is>
      </c>
      <c r="E410" s="22" t="n">
        <v>144</v>
      </c>
      <c r="F410" s="22" t="n">
        <v>133</v>
      </c>
      <c r="G410" s="22" t="n">
        <v>53</v>
      </c>
      <c r="H410" s="22" t="n">
        <v>18</v>
      </c>
      <c r="I410" s="21" t="n"/>
      <c r="J410" s="23" t="inlineStr">
        <is>
          <t>2026-06-10</t>
        </is>
      </c>
    </row>
    <row r="411">
      <c r="A411" s="21" t="inlineStr">
        <is>
          <t>Аренда</t>
        </is>
      </c>
      <c r="B411" s="21" t="inlineStr">
        <is>
          <t>Загородная</t>
        </is>
      </c>
      <c r="C411" s="21" t="inlineStr">
        <is>
          <t>Часть дома</t>
        </is>
      </c>
      <c r="D411" s="21" t="inlineStr">
        <is>
          <t>Краснодар</t>
        </is>
      </c>
      <c r="E411" s="22" t="n">
        <v>162</v>
      </c>
      <c r="F411" s="22" t="n">
        <v>178</v>
      </c>
      <c r="G411" s="22" t="n">
        <v>66</v>
      </c>
      <c r="H411" s="22" t="n">
        <v>20</v>
      </c>
      <c r="I411" s="21" t="inlineStr">
        <is>
          <t>Цена зависит от стоимости объекта</t>
        </is>
      </c>
      <c r="J411" s="23" t="inlineStr">
        <is>
          <t>2026-06-10</t>
        </is>
      </c>
    </row>
    <row r="412">
      <c r="A412" s="21" t="inlineStr">
        <is>
          <t>Аренда</t>
        </is>
      </c>
      <c r="B412" s="21" t="inlineStr">
        <is>
          <t>Загородная</t>
        </is>
      </c>
      <c r="C412" s="21" t="inlineStr">
        <is>
          <t>Часть дома</t>
        </is>
      </c>
      <c r="D412" s="21" t="inlineStr">
        <is>
          <t>Самара</t>
        </is>
      </c>
      <c r="E412" s="22" t="n">
        <v>141</v>
      </c>
      <c r="F412" s="24" t="inlineStr">
        <is>
          <t>—</t>
        </is>
      </c>
      <c r="G412" s="24" t="inlineStr">
        <is>
          <t>—</t>
        </is>
      </c>
      <c r="H412" s="24" t="inlineStr">
        <is>
          <t>—</t>
        </is>
      </c>
      <c r="I412" s="21" t="n"/>
      <c r="J412" s="23" t="inlineStr">
        <is>
          <t>2026-06-10</t>
        </is>
      </c>
    </row>
    <row r="413">
      <c r="A413" s="21" t="inlineStr">
        <is>
          <t>Аренда</t>
        </is>
      </c>
      <c r="B413" s="21" t="inlineStr">
        <is>
          <t>Загородная</t>
        </is>
      </c>
      <c r="C413" s="21" t="inlineStr">
        <is>
          <t>Часть дома</t>
        </is>
      </c>
      <c r="D413" s="21" t="inlineStr">
        <is>
          <t>Ростов-на-Дону</t>
        </is>
      </c>
      <c r="E413" s="22" t="n">
        <v>51</v>
      </c>
      <c r="F413" s="22" t="n">
        <v>179</v>
      </c>
      <c r="G413" s="22" t="n">
        <v>70</v>
      </c>
      <c r="H413" s="22" t="n">
        <v>22</v>
      </c>
      <c r="I413" s="21" t="inlineStr">
        <is>
          <t>Цена зависит от стоимости объекта</t>
        </is>
      </c>
      <c r="J413" s="23" t="inlineStr">
        <is>
          <t>2026-06-10</t>
        </is>
      </c>
    </row>
    <row r="414">
      <c r="A414" s="21" t="inlineStr">
        <is>
          <t>Аренда</t>
        </is>
      </c>
      <c r="B414" s="21" t="inlineStr">
        <is>
          <t>Загородная</t>
        </is>
      </c>
      <c r="C414" s="21" t="inlineStr">
        <is>
          <t>Часть дома</t>
        </is>
      </c>
      <c r="D414" s="21" t="inlineStr">
        <is>
          <t>Омск</t>
        </is>
      </c>
      <c r="E414" s="22" t="n">
        <v>45</v>
      </c>
      <c r="F414" s="22" t="n">
        <v>171</v>
      </c>
      <c r="G414" s="22" t="n">
        <v>94</v>
      </c>
      <c r="H414" s="22" t="n">
        <v>29</v>
      </c>
      <c r="I414" s="21" t="n"/>
      <c r="J414" s="23" t="inlineStr">
        <is>
          <t>2026-06-10</t>
        </is>
      </c>
    </row>
    <row r="415">
      <c r="A415" s="21" t="inlineStr">
        <is>
          <t>Аренда</t>
        </is>
      </c>
      <c r="B415" s="21" t="inlineStr">
        <is>
          <t>Загородная</t>
        </is>
      </c>
      <c r="C415" s="21" t="inlineStr">
        <is>
          <t>Часть дома</t>
        </is>
      </c>
      <c r="D415" s="21" t="inlineStr">
        <is>
          <t>Воронеж</t>
        </is>
      </c>
      <c r="E415" s="22" t="n">
        <v>24</v>
      </c>
      <c r="F415" s="24" t="inlineStr">
        <is>
          <t>—</t>
        </is>
      </c>
      <c r="G415" s="24" t="inlineStr">
        <is>
          <t>—</t>
        </is>
      </c>
      <c r="H415" s="24" t="inlineStr">
        <is>
          <t>—</t>
        </is>
      </c>
      <c r="I415" s="21" t="n"/>
      <c r="J415" s="23" t="inlineStr">
        <is>
          <t>2026-06-10</t>
        </is>
      </c>
    </row>
    <row r="416">
      <c r="A416" s="21" t="inlineStr">
        <is>
          <t>Аренда</t>
        </is>
      </c>
      <c r="B416" s="21" t="inlineStr">
        <is>
          <t>Загородная</t>
        </is>
      </c>
      <c r="C416" s="21" t="inlineStr">
        <is>
          <t>Часть дома</t>
        </is>
      </c>
      <c r="D416" s="21" t="inlineStr">
        <is>
          <t>Пермь</t>
        </is>
      </c>
      <c r="E416" s="22" t="n">
        <v>117</v>
      </c>
      <c r="F416" s="24" t="inlineStr">
        <is>
          <t>—</t>
        </is>
      </c>
      <c r="G416" s="24" t="inlineStr">
        <is>
          <t>—</t>
        </is>
      </c>
      <c r="H416" s="24" t="inlineStr">
        <is>
          <t>—</t>
        </is>
      </c>
      <c r="I416" s="21" t="n"/>
      <c r="J416" s="23" t="inlineStr">
        <is>
          <t>2026-06-10</t>
        </is>
      </c>
    </row>
    <row r="417">
      <c r="A417" s="21" t="inlineStr">
        <is>
          <t>Аренда</t>
        </is>
      </c>
      <c r="B417" s="21" t="inlineStr">
        <is>
          <t>Загородная</t>
        </is>
      </c>
      <c r="C417" s="21" t="inlineStr">
        <is>
          <t>Часть дома</t>
        </is>
      </c>
      <c r="D417" s="21" t="inlineStr">
        <is>
          <t>Волгоград</t>
        </is>
      </c>
      <c r="E417" s="22" t="n">
        <v>117</v>
      </c>
      <c r="F417" s="24" t="inlineStr">
        <is>
          <t>—</t>
        </is>
      </c>
      <c r="G417" s="24" t="inlineStr">
        <is>
          <t>—</t>
        </is>
      </c>
      <c r="H417" s="24" t="inlineStr">
        <is>
          <t>—</t>
        </is>
      </c>
      <c r="I417" s="21" t="n"/>
      <c r="J417" s="23" t="inlineStr">
        <is>
          <t>2026-06-10</t>
        </is>
      </c>
    </row>
    <row r="418">
      <c r="A418" s="17" t="inlineStr">
        <is>
          <t>Аренда</t>
        </is>
      </c>
      <c r="B418" s="17" t="inlineStr">
        <is>
          <t>Коммерческая</t>
        </is>
      </c>
      <c r="C418" s="18" t="inlineStr">
        <is>
          <t>Офис</t>
        </is>
      </c>
      <c r="D418" s="18" t="inlineStr">
        <is>
          <t>Москва</t>
        </is>
      </c>
      <c r="E418" s="19" t="n">
        <v>3120</v>
      </c>
      <c r="F418" s="19" t="n">
        <v>1001</v>
      </c>
      <c r="G418" s="19" t="n">
        <v>588</v>
      </c>
      <c r="H418" s="19" t="n">
        <v>222</v>
      </c>
      <c r="I418" s="18" t="inlineStr">
        <is>
          <t>Цена зависит от стоимости объекта</t>
        </is>
      </c>
      <c r="J418" s="20" t="inlineStr">
        <is>
          <t>2026-06-10</t>
        </is>
      </c>
    </row>
    <row r="419">
      <c r="A419" s="21" t="inlineStr">
        <is>
          <t>Аренда</t>
        </is>
      </c>
      <c r="B419" s="21" t="inlineStr">
        <is>
          <t>Коммерческая</t>
        </is>
      </c>
      <c r="C419" s="21" t="inlineStr">
        <is>
          <t>Офис</t>
        </is>
      </c>
      <c r="D419" s="21" t="inlineStr">
        <is>
          <t>Санкт-Петербург</t>
        </is>
      </c>
      <c r="E419" s="22" t="n">
        <v>1356</v>
      </c>
      <c r="F419" s="22" t="n">
        <v>721</v>
      </c>
      <c r="G419" s="22" t="n">
        <v>306</v>
      </c>
      <c r="H419" s="22" t="n">
        <v>193</v>
      </c>
      <c r="I419" s="21" t="inlineStr">
        <is>
          <t>Цена зависит от стоимости объекта</t>
        </is>
      </c>
      <c r="J419" s="23" t="inlineStr">
        <is>
          <t>2026-06-10</t>
        </is>
      </c>
    </row>
    <row r="420">
      <c r="A420" s="21" t="inlineStr">
        <is>
          <t>Аренда</t>
        </is>
      </c>
      <c r="B420" s="21" t="inlineStr">
        <is>
          <t>Коммерческая</t>
        </is>
      </c>
      <c r="C420" s="21" t="inlineStr">
        <is>
          <t>Офис</t>
        </is>
      </c>
      <c r="D420" s="21" t="inlineStr">
        <is>
          <t>Новосибирск</t>
        </is>
      </c>
      <c r="E420" s="22" t="n">
        <v>471</v>
      </c>
      <c r="F420" s="22" t="n">
        <v>385</v>
      </c>
      <c r="G420" s="22" t="n">
        <v>171</v>
      </c>
      <c r="H420" s="22" t="n">
        <v>52</v>
      </c>
      <c r="I420" s="21" t="inlineStr">
        <is>
          <t>Цена зависит от стоимости объекта</t>
        </is>
      </c>
      <c r="J420" s="23" t="inlineStr">
        <is>
          <t>2026-06-10</t>
        </is>
      </c>
    </row>
    <row r="421">
      <c r="A421" s="21" t="inlineStr">
        <is>
          <t>Аренда</t>
        </is>
      </c>
      <c r="B421" s="21" t="inlineStr">
        <is>
          <t>Коммерческая</t>
        </is>
      </c>
      <c r="C421" s="21" t="inlineStr">
        <is>
          <t>Офис</t>
        </is>
      </c>
      <c r="D421" s="21" t="inlineStr">
        <is>
          <t>Екатеринбург</t>
        </is>
      </c>
      <c r="E421" s="22" t="n">
        <v>444</v>
      </c>
      <c r="F421" s="22" t="n">
        <v>542</v>
      </c>
      <c r="G421" s="22" t="n">
        <v>267</v>
      </c>
      <c r="H421" s="22" t="n">
        <v>105</v>
      </c>
      <c r="I421" s="21" t="inlineStr">
        <is>
          <t>Цена зависит от стоимости объекта</t>
        </is>
      </c>
      <c r="J421" s="23" t="inlineStr">
        <is>
          <t>2026-06-10</t>
        </is>
      </c>
    </row>
    <row r="422">
      <c r="A422" s="21" t="inlineStr">
        <is>
          <t>Аренда</t>
        </is>
      </c>
      <c r="B422" s="21" t="inlineStr">
        <is>
          <t>Коммерческая</t>
        </is>
      </c>
      <c r="C422" s="21" t="inlineStr">
        <is>
          <t>Офис</t>
        </is>
      </c>
      <c r="D422" s="21" t="inlineStr">
        <is>
          <t>Казань</t>
        </is>
      </c>
      <c r="E422" s="22" t="n">
        <v>168</v>
      </c>
      <c r="F422" s="22" t="n">
        <v>155</v>
      </c>
      <c r="G422" s="22" t="n">
        <v>68</v>
      </c>
      <c r="H422" s="22" t="n">
        <v>22</v>
      </c>
      <c r="I422" s="21" t="inlineStr">
        <is>
          <t>Цена зависит от стоимости объекта</t>
        </is>
      </c>
      <c r="J422" s="23" t="inlineStr">
        <is>
          <t>2026-06-10</t>
        </is>
      </c>
    </row>
    <row r="423">
      <c r="A423" s="21" t="inlineStr">
        <is>
          <t>Аренда</t>
        </is>
      </c>
      <c r="B423" s="21" t="inlineStr">
        <is>
          <t>Коммерческая</t>
        </is>
      </c>
      <c r="C423" s="21" t="inlineStr">
        <is>
          <t>Офис</t>
        </is>
      </c>
      <c r="D423" s="21" t="inlineStr">
        <is>
          <t>Красноярск</t>
        </is>
      </c>
      <c r="E423" s="22" t="n">
        <v>642</v>
      </c>
      <c r="F423" s="24" t="inlineStr">
        <is>
          <t>—</t>
        </is>
      </c>
      <c r="G423" s="24" t="inlineStr">
        <is>
          <t>—</t>
        </is>
      </c>
      <c r="H423" s="24" t="inlineStr">
        <is>
          <t>—</t>
        </is>
      </c>
      <c r="I423" s="21" t="inlineStr">
        <is>
          <t>Цена зависит от стоимости объекта</t>
        </is>
      </c>
      <c r="J423" s="23" t="inlineStr">
        <is>
          <t>2026-06-10</t>
        </is>
      </c>
    </row>
    <row r="424">
      <c r="A424" s="21" t="inlineStr">
        <is>
          <t>Аренда</t>
        </is>
      </c>
      <c r="B424" s="21" t="inlineStr">
        <is>
          <t>Коммерческая</t>
        </is>
      </c>
      <c r="C424" s="21" t="inlineStr">
        <is>
          <t>Офис</t>
        </is>
      </c>
      <c r="D424" s="21" t="inlineStr">
        <is>
          <t>Нижний Новгород</t>
        </is>
      </c>
      <c r="E424" s="22" t="n">
        <v>303</v>
      </c>
      <c r="F424" s="22" t="n">
        <v>176</v>
      </c>
      <c r="G424" s="22" t="n">
        <v>74</v>
      </c>
      <c r="H424" s="22" t="n">
        <v>23</v>
      </c>
      <c r="I424" s="21" t="inlineStr">
        <is>
          <t>Цена зависит от стоимости объекта</t>
        </is>
      </c>
      <c r="J424" s="23" t="inlineStr">
        <is>
          <t>2026-06-10</t>
        </is>
      </c>
    </row>
    <row r="425">
      <c r="A425" s="21" t="inlineStr">
        <is>
          <t>Аренда</t>
        </is>
      </c>
      <c r="B425" s="21" t="inlineStr">
        <is>
          <t>Коммерческая</t>
        </is>
      </c>
      <c r="C425" s="21" t="inlineStr">
        <is>
          <t>Офис</t>
        </is>
      </c>
      <c r="D425" s="21" t="inlineStr">
        <is>
          <t>Челябинск</t>
        </is>
      </c>
      <c r="E425" s="22" t="n">
        <v>225</v>
      </c>
      <c r="F425" s="22" t="n">
        <v>225</v>
      </c>
      <c r="G425" s="22" t="n">
        <v>105</v>
      </c>
      <c r="H425" s="22" t="n">
        <v>33</v>
      </c>
      <c r="I425" s="21" t="inlineStr">
        <is>
          <t>Цена зависит от стоимости объекта</t>
        </is>
      </c>
      <c r="J425" s="23" t="inlineStr">
        <is>
          <t>2026-06-10</t>
        </is>
      </c>
    </row>
    <row r="426">
      <c r="A426" s="21" t="inlineStr">
        <is>
          <t>Аренда</t>
        </is>
      </c>
      <c r="B426" s="21" t="inlineStr">
        <is>
          <t>Коммерческая</t>
        </is>
      </c>
      <c r="C426" s="21" t="inlineStr">
        <is>
          <t>Офис</t>
        </is>
      </c>
      <c r="D426" s="21" t="inlineStr">
        <is>
          <t>Уфа</t>
        </is>
      </c>
      <c r="E426" s="22" t="n">
        <v>450</v>
      </c>
      <c r="F426" s="22" t="n">
        <v>112</v>
      </c>
      <c r="G426" s="22" t="n">
        <v>49</v>
      </c>
      <c r="H426" s="22" t="n">
        <v>14</v>
      </c>
      <c r="I426" s="21" t="inlineStr">
        <is>
          <t>Цена зависит от стоимости объекта</t>
        </is>
      </c>
      <c r="J426" s="23" t="inlineStr">
        <is>
          <t>2026-06-10</t>
        </is>
      </c>
    </row>
    <row r="427">
      <c r="A427" s="21" t="inlineStr">
        <is>
          <t>Аренда</t>
        </is>
      </c>
      <c r="B427" s="21" t="inlineStr">
        <is>
          <t>Коммерческая</t>
        </is>
      </c>
      <c r="C427" s="21" t="inlineStr">
        <is>
          <t>Офис</t>
        </is>
      </c>
      <c r="D427" s="21" t="inlineStr">
        <is>
          <t>Краснодар</t>
        </is>
      </c>
      <c r="E427" s="22" t="n">
        <v>147</v>
      </c>
      <c r="F427" s="22" t="n">
        <v>143</v>
      </c>
      <c r="G427" s="22" t="n">
        <v>63</v>
      </c>
      <c r="H427" s="22" t="n">
        <v>18</v>
      </c>
      <c r="I427" s="21" t="inlineStr">
        <is>
          <t>Цена зависит от стоимости объекта</t>
        </is>
      </c>
      <c r="J427" s="23" t="inlineStr">
        <is>
          <t>2026-06-10</t>
        </is>
      </c>
    </row>
    <row r="428">
      <c r="A428" s="21" t="inlineStr">
        <is>
          <t>Аренда</t>
        </is>
      </c>
      <c r="B428" s="21" t="inlineStr">
        <is>
          <t>Коммерческая</t>
        </is>
      </c>
      <c r="C428" s="21" t="inlineStr">
        <is>
          <t>Офис</t>
        </is>
      </c>
      <c r="D428" s="21" t="inlineStr">
        <is>
          <t>Самара</t>
        </is>
      </c>
      <c r="E428" s="22" t="n">
        <v>108</v>
      </c>
      <c r="F428" s="24" t="inlineStr">
        <is>
          <t>—</t>
        </is>
      </c>
      <c r="G428" s="24" t="inlineStr">
        <is>
          <t>—</t>
        </is>
      </c>
      <c r="H428" s="24" t="inlineStr">
        <is>
          <t>—</t>
        </is>
      </c>
      <c r="I428" s="21" t="inlineStr">
        <is>
          <t>Цена зависит от стоимости объекта</t>
        </is>
      </c>
      <c r="J428" s="23" t="inlineStr">
        <is>
          <t>2026-06-10</t>
        </is>
      </c>
    </row>
    <row r="429">
      <c r="A429" s="21" t="inlineStr">
        <is>
          <t>Аренда</t>
        </is>
      </c>
      <c r="B429" s="21" t="inlineStr">
        <is>
          <t>Коммерческая</t>
        </is>
      </c>
      <c r="C429" s="21" t="inlineStr">
        <is>
          <t>Офис</t>
        </is>
      </c>
      <c r="D429" s="21" t="inlineStr">
        <is>
          <t>Ростов-на-Дону</t>
        </is>
      </c>
      <c r="E429" s="22" t="n">
        <v>267</v>
      </c>
      <c r="F429" s="22" t="n">
        <v>145</v>
      </c>
      <c r="G429" s="22" t="n">
        <v>61</v>
      </c>
      <c r="H429" s="22" t="n">
        <v>17</v>
      </c>
      <c r="I429" s="21" t="inlineStr">
        <is>
          <t>Цена зависит от стоимости объекта</t>
        </is>
      </c>
      <c r="J429" s="23" t="inlineStr">
        <is>
          <t>2026-06-10</t>
        </is>
      </c>
    </row>
    <row r="430">
      <c r="A430" s="21" t="inlineStr">
        <is>
          <t>Аренда</t>
        </is>
      </c>
      <c r="B430" s="21" t="inlineStr">
        <is>
          <t>Коммерческая</t>
        </is>
      </c>
      <c r="C430" s="21" t="inlineStr">
        <is>
          <t>Офис</t>
        </is>
      </c>
      <c r="D430" s="21" t="inlineStr">
        <is>
          <t>Омск</t>
        </is>
      </c>
      <c r="E430" s="22" t="n">
        <v>366</v>
      </c>
      <c r="F430" s="22" t="n">
        <v>205</v>
      </c>
      <c r="G430" s="22" t="n">
        <v>114</v>
      </c>
      <c r="H430" s="22" t="n">
        <v>36</v>
      </c>
      <c r="I430" s="21" t="inlineStr">
        <is>
          <t>Цена зависит от стоимости объекта</t>
        </is>
      </c>
      <c r="J430" s="23" t="inlineStr">
        <is>
          <t>2026-06-10</t>
        </is>
      </c>
    </row>
    <row r="431">
      <c r="A431" s="21" t="inlineStr">
        <is>
          <t>Аренда</t>
        </is>
      </c>
      <c r="B431" s="21" t="inlineStr">
        <is>
          <t>Коммерческая</t>
        </is>
      </c>
      <c r="C431" s="21" t="inlineStr">
        <is>
          <t>Офис</t>
        </is>
      </c>
      <c r="D431" s="21" t="inlineStr">
        <is>
          <t>Воронеж</t>
        </is>
      </c>
      <c r="E431" s="22" t="n">
        <v>114</v>
      </c>
      <c r="F431" s="24" t="inlineStr">
        <is>
          <t>—</t>
        </is>
      </c>
      <c r="G431" s="24" t="inlineStr">
        <is>
          <t>—</t>
        </is>
      </c>
      <c r="H431" s="24" t="inlineStr">
        <is>
          <t>—</t>
        </is>
      </c>
      <c r="I431" s="21" t="inlineStr">
        <is>
          <t>Цена зависит от стоимости объекта</t>
        </is>
      </c>
      <c r="J431" s="23" t="inlineStr">
        <is>
          <t>2026-06-10</t>
        </is>
      </c>
    </row>
    <row r="432">
      <c r="A432" s="21" t="inlineStr">
        <is>
          <t>Аренда</t>
        </is>
      </c>
      <c r="B432" s="21" t="inlineStr">
        <is>
          <t>Коммерческая</t>
        </is>
      </c>
      <c r="C432" s="21" t="inlineStr">
        <is>
          <t>Офис</t>
        </is>
      </c>
      <c r="D432" s="21" t="inlineStr">
        <is>
          <t>Пермь</t>
        </is>
      </c>
      <c r="E432" s="22" t="n">
        <v>24</v>
      </c>
      <c r="F432" s="24" t="inlineStr">
        <is>
          <t>—</t>
        </is>
      </c>
      <c r="G432" s="24" t="inlineStr">
        <is>
          <t>—</t>
        </is>
      </c>
      <c r="H432" s="24" t="inlineStr">
        <is>
          <t>—</t>
        </is>
      </c>
      <c r="I432" s="21" t="inlineStr">
        <is>
          <t>Цена зависит от стоимости объекта</t>
        </is>
      </c>
      <c r="J432" s="23" t="inlineStr">
        <is>
          <t>2026-06-10</t>
        </is>
      </c>
    </row>
    <row r="433">
      <c r="A433" s="21" t="inlineStr">
        <is>
          <t>Аренда</t>
        </is>
      </c>
      <c r="B433" s="21" t="inlineStr">
        <is>
          <t>Коммерческая</t>
        </is>
      </c>
      <c r="C433" s="21" t="inlineStr">
        <is>
          <t>Офис</t>
        </is>
      </c>
      <c r="D433" s="21" t="inlineStr">
        <is>
          <t>Волгоград</t>
        </is>
      </c>
      <c r="E433" s="22" t="n">
        <v>204</v>
      </c>
      <c r="F433" s="24" t="inlineStr">
        <is>
          <t>—</t>
        </is>
      </c>
      <c r="G433" s="24" t="inlineStr">
        <is>
          <t>—</t>
        </is>
      </c>
      <c r="H433" s="24" t="inlineStr">
        <is>
          <t>—</t>
        </is>
      </c>
      <c r="I433" s="21" t="inlineStr">
        <is>
          <t>Цена зависит от стоимости объекта</t>
        </is>
      </c>
      <c r="J433" s="23" t="inlineStr">
        <is>
          <t>2026-06-10</t>
        </is>
      </c>
    </row>
    <row r="434">
      <c r="A434" s="21" t="inlineStr">
        <is>
          <t>Аренда</t>
        </is>
      </c>
      <c r="B434" s="21" t="inlineStr">
        <is>
          <t>Коммерческая</t>
        </is>
      </c>
      <c r="C434" s="21" t="inlineStr">
        <is>
          <t>Здание</t>
        </is>
      </c>
      <c r="D434" s="21" t="inlineStr">
        <is>
          <t>Москва</t>
        </is>
      </c>
      <c r="E434" s="22" t="n">
        <v>3570</v>
      </c>
      <c r="F434" s="22" t="n">
        <v>1090</v>
      </c>
      <c r="G434" s="22" t="n">
        <v>429</v>
      </c>
      <c r="H434" s="22" t="n">
        <v>129</v>
      </c>
      <c r="I434" s="21" t="inlineStr">
        <is>
          <t>Цена зависит от стоимости объекта</t>
        </is>
      </c>
      <c r="J434" s="23" t="inlineStr">
        <is>
          <t>2026-06-10</t>
        </is>
      </c>
    </row>
    <row r="435">
      <c r="A435" s="21" t="inlineStr">
        <is>
          <t>Аренда</t>
        </is>
      </c>
      <c r="B435" s="21" t="inlineStr">
        <is>
          <t>Коммерческая</t>
        </is>
      </c>
      <c r="C435" s="21" t="inlineStr">
        <is>
          <t>Здание</t>
        </is>
      </c>
      <c r="D435" s="21" t="inlineStr">
        <is>
          <t>Санкт-Петербург</t>
        </is>
      </c>
      <c r="E435" s="22" t="n">
        <v>1476</v>
      </c>
      <c r="F435" s="22" t="n">
        <v>721</v>
      </c>
      <c r="G435" s="22" t="n">
        <v>306</v>
      </c>
      <c r="H435" s="22" t="n">
        <v>92</v>
      </c>
      <c r="I435" s="21" t="inlineStr">
        <is>
          <t>Цена зависит от стоимости объекта</t>
        </is>
      </c>
      <c r="J435" s="23" t="inlineStr">
        <is>
          <t>2026-06-10</t>
        </is>
      </c>
    </row>
    <row r="436">
      <c r="A436" s="21" t="inlineStr">
        <is>
          <t>Аренда</t>
        </is>
      </c>
      <c r="B436" s="21" t="inlineStr">
        <is>
          <t>Коммерческая</t>
        </is>
      </c>
      <c r="C436" s="21" t="inlineStr">
        <is>
          <t>Здание</t>
        </is>
      </c>
      <c r="D436" s="21" t="inlineStr">
        <is>
          <t>Новосибирск</t>
        </is>
      </c>
      <c r="E436" s="22" t="n">
        <v>1500</v>
      </c>
      <c r="F436" s="22" t="n">
        <v>351</v>
      </c>
      <c r="G436" s="22" t="n">
        <v>173</v>
      </c>
      <c r="H436" s="22" t="n">
        <v>52</v>
      </c>
      <c r="I436" s="21" t="inlineStr">
        <is>
          <t>Цена зависит от стоимости объекта</t>
        </is>
      </c>
      <c r="J436" s="23" t="inlineStr">
        <is>
          <t>2026-06-10</t>
        </is>
      </c>
    </row>
    <row r="437">
      <c r="A437" s="21" t="inlineStr">
        <is>
          <t>Аренда</t>
        </is>
      </c>
      <c r="B437" s="21" t="inlineStr">
        <is>
          <t>Коммерческая</t>
        </is>
      </c>
      <c r="C437" s="21" t="inlineStr">
        <is>
          <t>Здание</t>
        </is>
      </c>
      <c r="D437" s="21" t="inlineStr">
        <is>
          <t>Екатеринбург</t>
        </is>
      </c>
      <c r="E437" s="22" t="n">
        <v>1470</v>
      </c>
      <c r="F437" s="22" t="n">
        <v>416</v>
      </c>
      <c r="G437" s="22" t="n">
        <v>211</v>
      </c>
      <c r="H437" s="22" t="n">
        <v>65</v>
      </c>
      <c r="I437" s="21" t="inlineStr">
        <is>
          <t>Цена зависит от стоимости объекта</t>
        </is>
      </c>
      <c r="J437" s="23" t="inlineStr">
        <is>
          <t>2026-06-10</t>
        </is>
      </c>
    </row>
    <row r="438">
      <c r="A438" s="21" t="inlineStr">
        <is>
          <t>Аренда</t>
        </is>
      </c>
      <c r="B438" s="21" t="inlineStr">
        <is>
          <t>Коммерческая</t>
        </is>
      </c>
      <c r="C438" s="21" t="inlineStr">
        <is>
          <t>Здание</t>
        </is>
      </c>
      <c r="D438" s="21" t="inlineStr">
        <is>
          <t>Казань</t>
        </is>
      </c>
      <c r="E438" s="22" t="n">
        <v>642</v>
      </c>
      <c r="F438" s="22" t="n">
        <v>123</v>
      </c>
      <c r="G438" s="22" t="n">
        <v>55</v>
      </c>
      <c r="H438" s="22" t="n">
        <v>18</v>
      </c>
      <c r="I438" s="21" t="inlineStr">
        <is>
          <t>Цена зависит от стоимости объекта</t>
        </is>
      </c>
      <c r="J438" s="23" t="inlineStr">
        <is>
          <t>2026-06-10</t>
        </is>
      </c>
    </row>
    <row r="439">
      <c r="A439" s="21" t="inlineStr">
        <is>
          <t>Аренда</t>
        </is>
      </c>
      <c r="B439" s="21" t="inlineStr">
        <is>
          <t>Коммерческая</t>
        </is>
      </c>
      <c r="C439" s="21" t="inlineStr">
        <is>
          <t>Здание</t>
        </is>
      </c>
      <c r="D439" s="21" t="inlineStr">
        <is>
          <t>Красноярск</t>
        </is>
      </c>
      <c r="E439" s="22" t="n">
        <v>741</v>
      </c>
      <c r="F439" s="24" t="inlineStr">
        <is>
          <t>—</t>
        </is>
      </c>
      <c r="G439" s="24" t="inlineStr">
        <is>
          <t>—</t>
        </is>
      </c>
      <c r="H439" s="24" t="inlineStr">
        <is>
          <t>—</t>
        </is>
      </c>
      <c r="I439" s="21" t="inlineStr">
        <is>
          <t>Цена зависит от стоимости объекта</t>
        </is>
      </c>
      <c r="J439" s="23" t="inlineStr">
        <is>
          <t>2026-06-10</t>
        </is>
      </c>
    </row>
    <row r="440">
      <c r="A440" s="21" t="inlineStr">
        <is>
          <t>Аренда</t>
        </is>
      </c>
      <c r="B440" s="21" t="inlineStr">
        <is>
          <t>Коммерческая</t>
        </is>
      </c>
      <c r="C440" s="21" t="inlineStr">
        <is>
          <t>Здание</t>
        </is>
      </c>
      <c r="D440" s="21" t="inlineStr">
        <is>
          <t>Нижний Новгород</t>
        </is>
      </c>
      <c r="E440" s="22" t="n">
        <v>330</v>
      </c>
      <c r="F440" s="22" t="n">
        <v>123</v>
      </c>
      <c r="G440" s="22" t="n">
        <v>55</v>
      </c>
      <c r="H440" s="22" t="n">
        <v>18</v>
      </c>
      <c r="I440" s="21" t="inlineStr">
        <is>
          <t>Цена зависит от стоимости объекта</t>
        </is>
      </c>
      <c r="J440" s="23" t="inlineStr">
        <is>
          <t>2026-06-10</t>
        </is>
      </c>
    </row>
    <row r="441">
      <c r="A441" s="21" t="inlineStr">
        <is>
          <t>Аренда</t>
        </is>
      </c>
      <c r="B441" s="21" t="inlineStr">
        <is>
          <t>Коммерческая</t>
        </is>
      </c>
      <c r="C441" s="21" t="inlineStr">
        <is>
          <t>Здание</t>
        </is>
      </c>
      <c r="D441" s="21" t="inlineStr">
        <is>
          <t>Челябинск</t>
        </is>
      </c>
      <c r="E441" s="22" t="n">
        <v>585</v>
      </c>
      <c r="F441" s="22" t="n">
        <v>254</v>
      </c>
      <c r="G441" s="22" t="n">
        <v>124</v>
      </c>
      <c r="H441" s="22" t="n">
        <v>39</v>
      </c>
      <c r="I441" s="21" t="inlineStr">
        <is>
          <t>Цена зависит от стоимости объекта</t>
        </is>
      </c>
      <c r="J441" s="23" t="inlineStr">
        <is>
          <t>2026-06-10</t>
        </is>
      </c>
    </row>
    <row r="442">
      <c r="A442" s="21" t="inlineStr">
        <is>
          <t>Аренда</t>
        </is>
      </c>
      <c r="B442" s="21" t="inlineStr">
        <is>
          <t>Коммерческая</t>
        </is>
      </c>
      <c r="C442" s="21" t="inlineStr">
        <is>
          <t>Здание</t>
        </is>
      </c>
      <c r="D442" s="21" t="inlineStr">
        <is>
          <t>Уфа</t>
        </is>
      </c>
      <c r="E442" s="22" t="n">
        <v>648</v>
      </c>
      <c r="F442" s="22" t="n">
        <v>124</v>
      </c>
      <c r="G442" s="22" t="n">
        <v>53</v>
      </c>
      <c r="H442" s="22" t="n">
        <v>17</v>
      </c>
      <c r="I442" s="21" t="inlineStr">
        <is>
          <t>Цена зависит от стоимости объекта</t>
        </is>
      </c>
      <c r="J442" s="23" t="inlineStr">
        <is>
          <t>2026-06-10</t>
        </is>
      </c>
    </row>
    <row r="443">
      <c r="A443" s="21" t="inlineStr">
        <is>
          <t>Аренда</t>
        </is>
      </c>
      <c r="B443" s="21" t="inlineStr">
        <is>
          <t>Коммерческая</t>
        </is>
      </c>
      <c r="C443" s="21" t="inlineStr">
        <is>
          <t>Здание</t>
        </is>
      </c>
      <c r="D443" s="21" t="inlineStr">
        <is>
          <t>Краснодар</t>
        </is>
      </c>
      <c r="E443" s="22" t="n">
        <v>570</v>
      </c>
      <c r="F443" s="22" t="n">
        <v>130</v>
      </c>
      <c r="G443" s="22" t="n">
        <v>55</v>
      </c>
      <c r="H443" s="22" t="n">
        <v>17</v>
      </c>
      <c r="I443" s="21" t="inlineStr">
        <is>
          <t>Цена зависит от стоимости объекта</t>
        </is>
      </c>
      <c r="J443" s="23" t="inlineStr">
        <is>
          <t>2026-06-10</t>
        </is>
      </c>
    </row>
    <row r="444">
      <c r="A444" s="21" t="inlineStr">
        <is>
          <t>Аренда</t>
        </is>
      </c>
      <c r="B444" s="21" t="inlineStr">
        <is>
          <t>Коммерческая</t>
        </is>
      </c>
      <c r="C444" s="21" t="inlineStr">
        <is>
          <t>Здание</t>
        </is>
      </c>
      <c r="D444" s="21" t="inlineStr">
        <is>
          <t>Самара</t>
        </is>
      </c>
      <c r="E444" s="22" t="n">
        <v>372</v>
      </c>
      <c r="F444" s="24" t="inlineStr">
        <is>
          <t>—</t>
        </is>
      </c>
      <c r="G444" s="24" t="inlineStr">
        <is>
          <t>—</t>
        </is>
      </c>
      <c r="H444" s="24" t="inlineStr">
        <is>
          <t>—</t>
        </is>
      </c>
      <c r="I444" s="21" t="inlineStr">
        <is>
          <t>Цена зависит от стоимости объекта</t>
        </is>
      </c>
      <c r="J444" s="23" t="inlineStr">
        <is>
          <t>2026-06-10</t>
        </is>
      </c>
    </row>
    <row r="445">
      <c r="A445" s="21" t="inlineStr">
        <is>
          <t>Аренда</t>
        </is>
      </c>
      <c r="B445" s="21" t="inlineStr">
        <is>
          <t>Коммерческая</t>
        </is>
      </c>
      <c r="C445" s="21" t="inlineStr">
        <is>
          <t>Здание</t>
        </is>
      </c>
      <c r="D445" s="21" t="inlineStr">
        <is>
          <t>Ростов-на-Дону</t>
        </is>
      </c>
      <c r="E445" s="22" t="n">
        <v>513</v>
      </c>
      <c r="F445" s="22" t="n">
        <v>132</v>
      </c>
      <c r="G445" s="22" t="n">
        <v>54</v>
      </c>
      <c r="H445" s="22" t="n">
        <v>16</v>
      </c>
      <c r="I445" s="21" t="inlineStr">
        <is>
          <t>Цена зависит от стоимости объекта</t>
        </is>
      </c>
      <c r="J445" s="23" t="inlineStr">
        <is>
          <t>2026-06-10</t>
        </is>
      </c>
    </row>
    <row r="446">
      <c r="A446" s="21" t="inlineStr">
        <is>
          <t>Аренда</t>
        </is>
      </c>
      <c r="B446" s="21" t="inlineStr">
        <is>
          <t>Коммерческая</t>
        </is>
      </c>
      <c r="C446" s="21" t="inlineStr">
        <is>
          <t>Здание</t>
        </is>
      </c>
      <c r="D446" s="21" t="inlineStr">
        <is>
          <t>Омск</t>
        </is>
      </c>
      <c r="E446" s="22" t="n">
        <v>642</v>
      </c>
      <c r="F446" s="22" t="n">
        <v>206</v>
      </c>
      <c r="G446" s="22" t="n">
        <v>114</v>
      </c>
      <c r="H446" s="22" t="n">
        <v>36</v>
      </c>
      <c r="I446" s="21" t="inlineStr">
        <is>
          <t>Цена зависит от стоимости объекта</t>
        </is>
      </c>
      <c r="J446" s="23" t="inlineStr">
        <is>
          <t>2026-06-10</t>
        </is>
      </c>
    </row>
    <row r="447">
      <c r="A447" s="21" t="inlineStr">
        <is>
          <t>Аренда</t>
        </is>
      </c>
      <c r="B447" s="21" t="inlineStr">
        <is>
          <t>Коммерческая</t>
        </is>
      </c>
      <c r="C447" s="21" t="inlineStr">
        <is>
          <t>Здание</t>
        </is>
      </c>
      <c r="D447" s="21" t="inlineStr">
        <is>
          <t>Воронеж</t>
        </is>
      </c>
      <c r="E447" s="22" t="n">
        <v>174</v>
      </c>
      <c r="F447" s="24" t="inlineStr">
        <is>
          <t>—</t>
        </is>
      </c>
      <c r="G447" s="24" t="inlineStr">
        <is>
          <t>—</t>
        </is>
      </c>
      <c r="H447" s="24" t="inlineStr">
        <is>
          <t>—</t>
        </is>
      </c>
      <c r="I447" s="21" t="inlineStr">
        <is>
          <t>Цена зависит от стоимости объекта</t>
        </is>
      </c>
      <c r="J447" s="23" t="inlineStr">
        <is>
          <t>2026-06-10</t>
        </is>
      </c>
    </row>
    <row r="448">
      <c r="A448" s="21" t="inlineStr">
        <is>
          <t>Аренда</t>
        </is>
      </c>
      <c r="B448" s="21" t="inlineStr">
        <is>
          <t>Коммерческая</t>
        </is>
      </c>
      <c r="C448" s="21" t="inlineStr">
        <is>
          <t>Здание</t>
        </is>
      </c>
      <c r="D448" s="21" t="inlineStr">
        <is>
          <t>Пермь</t>
        </is>
      </c>
      <c r="E448" s="22" t="n">
        <v>108</v>
      </c>
      <c r="F448" s="24" t="inlineStr">
        <is>
          <t>—</t>
        </is>
      </c>
      <c r="G448" s="24" t="inlineStr">
        <is>
          <t>—</t>
        </is>
      </c>
      <c r="H448" s="24" t="inlineStr">
        <is>
          <t>—</t>
        </is>
      </c>
      <c r="I448" s="21" t="inlineStr">
        <is>
          <t>Цена зависит от стоимости объекта</t>
        </is>
      </c>
      <c r="J448" s="23" t="inlineStr">
        <is>
          <t>2026-06-10</t>
        </is>
      </c>
    </row>
    <row r="449">
      <c r="A449" s="21" t="inlineStr">
        <is>
          <t>Аренда</t>
        </is>
      </c>
      <c r="B449" s="21" t="inlineStr">
        <is>
          <t>Коммерческая</t>
        </is>
      </c>
      <c r="C449" s="21" t="inlineStr">
        <is>
          <t>Здание</t>
        </is>
      </c>
      <c r="D449" s="21" t="inlineStr">
        <is>
          <t>Волгоград</t>
        </is>
      </c>
      <c r="E449" s="22" t="n">
        <v>234</v>
      </c>
      <c r="F449" s="24" t="inlineStr">
        <is>
          <t>—</t>
        </is>
      </c>
      <c r="G449" s="24" t="inlineStr">
        <is>
          <t>—</t>
        </is>
      </c>
      <c r="H449" s="24" t="inlineStr">
        <is>
          <t>—</t>
        </is>
      </c>
      <c r="I449" s="21" t="inlineStr">
        <is>
          <t>Цена зависит от стоимости объекта</t>
        </is>
      </c>
      <c r="J449" s="23" t="inlineStr">
        <is>
          <t>2026-06-10</t>
        </is>
      </c>
    </row>
    <row r="450">
      <c r="A450" s="21" t="inlineStr">
        <is>
          <t>Аренда</t>
        </is>
      </c>
      <c r="B450" s="21" t="inlineStr">
        <is>
          <t>Коммерческая</t>
        </is>
      </c>
      <c r="C450" s="21" t="inlineStr">
        <is>
          <t>Торговая площадь</t>
        </is>
      </c>
      <c r="D450" s="21" t="inlineStr">
        <is>
          <t>Москва</t>
        </is>
      </c>
      <c r="E450" s="22" t="n">
        <v>1710</v>
      </c>
      <c r="F450" s="22" t="n">
        <v>1002</v>
      </c>
      <c r="G450" s="22" t="n">
        <v>409</v>
      </c>
      <c r="H450" s="22" t="n">
        <v>124</v>
      </c>
      <c r="I450" s="21" t="inlineStr">
        <is>
          <t>Цена зависит от стоимости объекта</t>
        </is>
      </c>
      <c r="J450" s="23" t="inlineStr">
        <is>
          <t>2026-06-10</t>
        </is>
      </c>
    </row>
    <row r="451">
      <c r="A451" s="21" t="inlineStr">
        <is>
          <t>Аренда</t>
        </is>
      </c>
      <c r="B451" s="21" t="inlineStr">
        <is>
          <t>Коммерческая</t>
        </is>
      </c>
      <c r="C451" s="21" t="inlineStr">
        <is>
          <t>Торговая площадь</t>
        </is>
      </c>
      <c r="D451" s="21" t="inlineStr">
        <is>
          <t>Санкт-Петербург</t>
        </is>
      </c>
      <c r="E451" s="22" t="n">
        <v>564</v>
      </c>
      <c r="F451" s="22" t="n">
        <v>691</v>
      </c>
      <c r="G451" s="22" t="n">
        <v>293</v>
      </c>
      <c r="H451" s="22" t="n">
        <v>90</v>
      </c>
      <c r="I451" s="21" t="inlineStr">
        <is>
          <t>Цена зависит от стоимости объекта</t>
        </is>
      </c>
      <c r="J451" s="23" t="inlineStr">
        <is>
          <t>2026-06-10</t>
        </is>
      </c>
    </row>
    <row r="452">
      <c r="A452" s="21" t="inlineStr">
        <is>
          <t>Аренда</t>
        </is>
      </c>
      <c r="B452" s="21" t="inlineStr">
        <is>
          <t>Коммерческая</t>
        </is>
      </c>
      <c r="C452" s="21" t="inlineStr">
        <is>
          <t>Торговая площадь</t>
        </is>
      </c>
      <c r="D452" s="21" t="inlineStr">
        <is>
          <t>Новосибирск</t>
        </is>
      </c>
      <c r="E452" s="22" t="n">
        <v>432</v>
      </c>
      <c r="F452" s="22" t="n">
        <v>372</v>
      </c>
      <c r="G452" s="22" t="n">
        <v>165</v>
      </c>
      <c r="H452" s="22" t="n">
        <v>50</v>
      </c>
      <c r="I452" s="21" t="inlineStr">
        <is>
          <t>Цена зависит от стоимости объекта</t>
        </is>
      </c>
      <c r="J452" s="23" t="inlineStr">
        <is>
          <t>2026-06-10</t>
        </is>
      </c>
    </row>
    <row r="453">
      <c r="A453" s="21" t="inlineStr">
        <is>
          <t>Аренда</t>
        </is>
      </c>
      <c r="B453" s="21" t="inlineStr">
        <is>
          <t>Коммерческая</t>
        </is>
      </c>
      <c r="C453" s="21" t="inlineStr">
        <is>
          <t>Торговая площадь</t>
        </is>
      </c>
      <c r="D453" s="21" t="inlineStr">
        <is>
          <t>Екатеринбург</t>
        </is>
      </c>
      <c r="E453" s="22" t="n">
        <v>510</v>
      </c>
      <c r="F453" s="22" t="n">
        <v>452</v>
      </c>
      <c r="G453" s="22" t="n">
        <v>230</v>
      </c>
      <c r="H453" s="22" t="n">
        <v>71</v>
      </c>
      <c r="I453" s="21" t="inlineStr">
        <is>
          <t>Цена зависит от стоимости объекта</t>
        </is>
      </c>
      <c r="J453" s="23" t="inlineStr">
        <is>
          <t>2026-06-10</t>
        </is>
      </c>
    </row>
    <row r="454">
      <c r="A454" s="21" t="inlineStr">
        <is>
          <t>Аренда</t>
        </is>
      </c>
      <c r="B454" s="21" t="inlineStr">
        <is>
          <t>Коммерческая</t>
        </is>
      </c>
      <c r="C454" s="21" t="inlineStr">
        <is>
          <t>Торговая площадь</t>
        </is>
      </c>
      <c r="D454" s="21" t="inlineStr">
        <is>
          <t>Казань</t>
        </is>
      </c>
      <c r="E454" s="22" t="n">
        <v>120</v>
      </c>
      <c r="F454" s="22" t="n">
        <v>143</v>
      </c>
      <c r="G454" s="22" t="n">
        <v>62</v>
      </c>
      <c r="H454" s="22" t="n">
        <v>20</v>
      </c>
      <c r="I454" s="21" t="inlineStr">
        <is>
          <t>Цена зависит от стоимости объекта</t>
        </is>
      </c>
      <c r="J454" s="23" t="inlineStr">
        <is>
          <t>2026-06-10</t>
        </is>
      </c>
    </row>
    <row r="455">
      <c r="A455" s="21" t="inlineStr">
        <is>
          <t>Аренда</t>
        </is>
      </c>
      <c r="B455" s="21" t="inlineStr">
        <is>
          <t>Коммерческая</t>
        </is>
      </c>
      <c r="C455" s="21" t="inlineStr">
        <is>
          <t>Торговая площадь</t>
        </is>
      </c>
      <c r="D455" s="21" t="inlineStr">
        <is>
          <t>Красноярск</t>
        </is>
      </c>
      <c r="E455" s="22" t="n">
        <v>540</v>
      </c>
      <c r="F455" s="24" t="inlineStr">
        <is>
          <t>—</t>
        </is>
      </c>
      <c r="G455" s="24" t="inlineStr">
        <is>
          <t>—</t>
        </is>
      </c>
      <c r="H455" s="24" t="inlineStr">
        <is>
          <t>—</t>
        </is>
      </c>
      <c r="I455" s="21" t="inlineStr">
        <is>
          <t>Цена зависит от стоимости объекта</t>
        </is>
      </c>
      <c r="J455" s="23" t="inlineStr">
        <is>
          <t>2026-06-10</t>
        </is>
      </c>
    </row>
    <row r="456">
      <c r="A456" s="21" t="inlineStr">
        <is>
          <t>Аренда</t>
        </is>
      </c>
      <c r="B456" s="21" t="inlineStr">
        <is>
          <t>Коммерческая</t>
        </is>
      </c>
      <c r="C456" s="21" t="inlineStr">
        <is>
          <t>Торговая площадь</t>
        </is>
      </c>
      <c r="D456" s="21" t="inlineStr">
        <is>
          <t>Нижний Новгород</t>
        </is>
      </c>
      <c r="E456" s="22" t="n">
        <v>330</v>
      </c>
      <c r="F456" s="22" t="n">
        <v>159</v>
      </c>
      <c r="G456" s="22" t="n">
        <v>67</v>
      </c>
      <c r="H456" s="22" t="n">
        <v>21</v>
      </c>
      <c r="I456" s="21" t="inlineStr">
        <is>
          <t>Цена зависит от стоимости объекта</t>
        </is>
      </c>
      <c r="J456" s="23" t="inlineStr">
        <is>
          <t>2026-06-10</t>
        </is>
      </c>
    </row>
    <row r="457">
      <c r="A457" s="21" t="inlineStr">
        <is>
          <t>Аренда</t>
        </is>
      </c>
      <c r="B457" s="21" t="inlineStr">
        <is>
          <t>Коммерческая</t>
        </is>
      </c>
      <c r="C457" s="21" t="inlineStr">
        <is>
          <t>Торговая площадь</t>
        </is>
      </c>
      <c r="D457" s="21" t="inlineStr">
        <is>
          <t>Челябинск</t>
        </is>
      </c>
      <c r="E457" s="22" t="n">
        <v>258</v>
      </c>
      <c r="F457" s="22" t="n">
        <v>302</v>
      </c>
      <c r="G457" s="22" t="n">
        <v>137</v>
      </c>
      <c r="H457" s="22" t="n">
        <v>41</v>
      </c>
      <c r="I457" s="21" t="inlineStr">
        <is>
          <t>Цена зависит от стоимости объекта</t>
        </is>
      </c>
      <c r="J457" s="23" t="inlineStr">
        <is>
          <t>2026-06-10</t>
        </is>
      </c>
    </row>
    <row r="458">
      <c r="A458" s="21" t="inlineStr">
        <is>
          <t>Аренда</t>
        </is>
      </c>
      <c r="B458" s="21" t="inlineStr">
        <is>
          <t>Коммерческая</t>
        </is>
      </c>
      <c r="C458" s="21" t="inlineStr">
        <is>
          <t>Торговая площадь</t>
        </is>
      </c>
      <c r="D458" s="21" t="inlineStr">
        <is>
          <t>Уфа</t>
        </is>
      </c>
      <c r="E458" s="22" t="n">
        <v>450</v>
      </c>
      <c r="F458" s="22" t="n">
        <v>125</v>
      </c>
      <c r="G458" s="22" t="n">
        <v>55</v>
      </c>
      <c r="H458" s="22" t="n">
        <v>18</v>
      </c>
      <c r="I458" s="21" t="inlineStr">
        <is>
          <t>Цена зависит от стоимости объекта</t>
        </is>
      </c>
      <c r="J458" s="23" t="inlineStr">
        <is>
          <t>2026-06-10</t>
        </is>
      </c>
    </row>
    <row r="459">
      <c r="A459" s="21" t="inlineStr">
        <is>
          <t>Аренда</t>
        </is>
      </c>
      <c r="B459" s="21" t="inlineStr">
        <is>
          <t>Коммерческая</t>
        </is>
      </c>
      <c r="C459" s="21" t="inlineStr">
        <is>
          <t>Торговая площадь</t>
        </is>
      </c>
      <c r="D459" s="21" t="inlineStr">
        <is>
          <t>Краснодар</t>
        </is>
      </c>
      <c r="E459" s="22" t="n">
        <v>162</v>
      </c>
      <c r="F459" s="22" t="n">
        <v>135</v>
      </c>
      <c r="G459" s="22" t="n">
        <v>62</v>
      </c>
      <c r="H459" s="22" t="n">
        <v>19</v>
      </c>
      <c r="I459" s="21" t="inlineStr">
        <is>
          <t>Цена зависит от стоимости объекта</t>
        </is>
      </c>
      <c r="J459" s="23" t="inlineStr">
        <is>
          <t>2026-06-10</t>
        </is>
      </c>
    </row>
    <row r="460">
      <c r="A460" s="21" t="inlineStr">
        <is>
          <t>Аренда</t>
        </is>
      </c>
      <c r="B460" s="21" t="inlineStr">
        <is>
          <t>Коммерческая</t>
        </is>
      </c>
      <c r="C460" s="21" t="inlineStr">
        <is>
          <t>Торговая площадь</t>
        </is>
      </c>
      <c r="D460" s="21" t="inlineStr">
        <is>
          <t>Самара</t>
        </is>
      </c>
      <c r="E460" s="22" t="n">
        <v>192</v>
      </c>
      <c r="F460" s="24" t="inlineStr">
        <is>
          <t>—</t>
        </is>
      </c>
      <c r="G460" s="24" t="inlineStr">
        <is>
          <t>—</t>
        </is>
      </c>
      <c r="H460" s="24" t="inlineStr">
        <is>
          <t>—</t>
        </is>
      </c>
      <c r="I460" s="21" t="inlineStr">
        <is>
          <t>Цена зависит от стоимости объекта</t>
        </is>
      </c>
      <c r="J460" s="23" t="inlineStr">
        <is>
          <t>2026-06-10</t>
        </is>
      </c>
    </row>
    <row r="461">
      <c r="A461" s="21" t="inlineStr">
        <is>
          <t>Аренда</t>
        </is>
      </c>
      <c r="B461" s="21" t="inlineStr">
        <is>
          <t>Коммерческая</t>
        </is>
      </c>
      <c r="C461" s="21" t="inlineStr">
        <is>
          <t>Торговая площадь</t>
        </is>
      </c>
      <c r="D461" s="21" t="inlineStr">
        <is>
          <t>Ростов-на-Дону</t>
        </is>
      </c>
      <c r="E461" s="22" t="n">
        <v>183</v>
      </c>
      <c r="F461" s="22" t="n">
        <v>132</v>
      </c>
      <c r="G461" s="22" t="n">
        <v>56</v>
      </c>
      <c r="H461" s="22" t="n">
        <v>17</v>
      </c>
      <c r="I461" s="21" t="inlineStr">
        <is>
          <t>Цена зависит от стоимости объекта</t>
        </is>
      </c>
      <c r="J461" s="23" t="inlineStr">
        <is>
          <t>2026-06-10</t>
        </is>
      </c>
    </row>
    <row r="462">
      <c r="A462" s="21" t="inlineStr">
        <is>
          <t>Аренда</t>
        </is>
      </c>
      <c r="B462" s="21" t="inlineStr">
        <is>
          <t>Коммерческая</t>
        </is>
      </c>
      <c r="C462" s="21" t="inlineStr">
        <is>
          <t>Торговая площадь</t>
        </is>
      </c>
      <c r="D462" s="21" t="inlineStr">
        <is>
          <t>Омск</t>
        </is>
      </c>
      <c r="E462" s="22" t="n">
        <v>333</v>
      </c>
      <c r="F462" s="22" t="n">
        <v>205</v>
      </c>
      <c r="G462" s="22" t="n">
        <v>111</v>
      </c>
      <c r="H462" s="22" t="n">
        <v>35</v>
      </c>
      <c r="I462" s="21" t="inlineStr">
        <is>
          <t>Цена зависит от стоимости объекта</t>
        </is>
      </c>
      <c r="J462" s="23" t="inlineStr">
        <is>
          <t>2026-06-10</t>
        </is>
      </c>
    </row>
    <row r="463">
      <c r="A463" s="21" t="inlineStr">
        <is>
          <t>Аренда</t>
        </is>
      </c>
      <c r="B463" s="21" t="inlineStr">
        <is>
          <t>Коммерческая</t>
        </is>
      </c>
      <c r="C463" s="21" t="inlineStr">
        <is>
          <t>Торговая площадь</t>
        </is>
      </c>
      <c r="D463" s="21" t="inlineStr">
        <is>
          <t>Воронеж</t>
        </is>
      </c>
      <c r="E463" s="22" t="n">
        <v>108</v>
      </c>
      <c r="F463" s="24" t="inlineStr">
        <is>
          <t>—</t>
        </is>
      </c>
      <c r="G463" s="24" t="inlineStr">
        <is>
          <t>—</t>
        </is>
      </c>
      <c r="H463" s="24" t="inlineStr">
        <is>
          <t>—</t>
        </is>
      </c>
      <c r="I463" s="21" t="inlineStr">
        <is>
          <t>Цена зависит от стоимости объекта</t>
        </is>
      </c>
      <c r="J463" s="23" t="inlineStr">
        <is>
          <t>2026-06-10</t>
        </is>
      </c>
    </row>
    <row r="464">
      <c r="A464" s="21" t="inlineStr">
        <is>
          <t>Аренда</t>
        </is>
      </c>
      <c r="B464" s="21" t="inlineStr">
        <is>
          <t>Коммерческая</t>
        </is>
      </c>
      <c r="C464" s="21" t="inlineStr">
        <is>
          <t>Торговая площадь</t>
        </is>
      </c>
      <c r="D464" s="21" t="inlineStr">
        <is>
          <t>Пермь</t>
        </is>
      </c>
      <c r="E464" s="22" t="n">
        <v>21</v>
      </c>
      <c r="F464" s="24" t="inlineStr">
        <is>
          <t>—</t>
        </is>
      </c>
      <c r="G464" s="24" t="inlineStr">
        <is>
          <t>—</t>
        </is>
      </c>
      <c r="H464" s="24" t="inlineStr">
        <is>
          <t>—</t>
        </is>
      </c>
      <c r="I464" s="21" t="inlineStr">
        <is>
          <t>Цена зависит от стоимости объекта</t>
        </is>
      </c>
      <c r="J464" s="23" t="inlineStr">
        <is>
          <t>2026-06-10</t>
        </is>
      </c>
    </row>
    <row r="465">
      <c r="A465" s="21" t="inlineStr">
        <is>
          <t>Аренда</t>
        </is>
      </c>
      <c r="B465" s="21" t="inlineStr">
        <is>
          <t>Коммерческая</t>
        </is>
      </c>
      <c r="C465" s="21" t="inlineStr">
        <is>
          <t>Торговая площадь</t>
        </is>
      </c>
      <c r="D465" s="21" t="inlineStr">
        <is>
          <t>Волгоград</t>
        </is>
      </c>
      <c r="E465" s="22" t="n">
        <v>159</v>
      </c>
      <c r="F465" s="24" t="inlineStr">
        <is>
          <t>—</t>
        </is>
      </c>
      <c r="G465" s="24" t="inlineStr">
        <is>
          <t>—</t>
        </is>
      </c>
      <c r="H465" s="24" t="inlineStr">
        <is>
          <t>—</t>
        </is>
      </c>
      <c r="I465" s="21" t="inlineStr">
        <is>
          <t>Цена зависит от стоимости объекта</t>
        </is>
      </c>
      <c r="J465" s="23" t="inlineStr">
        <is>
          <t>2026-06-10</t>
        </is>
      </c>
    </row>
    <row r="466">
      <c r="A466" s="21" t="inlineStr">
        <is>
          <t>Аренда</t>
        </is>
      </c>
      <c r="B466" s="21" t="inlineStr">
        <is>
          <t>Коммерческая</t>
        </is>
      </c>
      <c r="C466" s="21" t="inlineStr">
        <is>
          <t>Предприятие сферы услуг</t>
        </is>
      </c>
      <c r="D466" s="21" t="inlineStr">
        <is>
          <t>Москва</t>
        </is>
      </c>
      <c r="E466" s="22" t="n">
        <v>3570</v>
      </c>
      <c r="F466" s="22" t="n">
        <v>1090</v>
      </c>
      <c r="G466" s="22" t="n">
        <v>588</v>
      </c>
      <c r="H466" s="22" t="n">
        <v>271</v>
      </c>
      <c r="I466" s="21" t="inlineStr">
        <is>
          <t>Цена зависит от стоимости объекта</t>
        </is>
      </c>
      <c r="J466" s="23" t="inlineStr">
        <is>
          <t>2026-06-10</t>
        </is>
      </c>
    </row>
    <row r="467">
      <c r="A467" s="21" t="inlineStr">
        <is>
          <t>Аренда</t>
        </is>
      </c>
      <c r="B467" s="21" t="inlineStr">
        <is>
          <t>Коммерческая</t>
        </is>
      </c>
      <c r="C467" s="21" t="inlineStr">
        <is>
          <t>Предприятие сферы услуг</t>
        </is>
      </c>
      <c r="D467" s="21" t="inlineStr">
        <is>
          <t>Санкт-Петербург</t>
        </is>
      </c>
      <c r="E467" s="22" t="n">
        <v>1476</v>
      </c>
      <c r="F467" s="22" t="n">
        <v>752</v>
      </c>
      <c r="G467" s="22" t="n">
        <v>677</v>
      </c>
      <c r="H467" s="22" t="n">
        <v>618</v>
      </c>
      <c r="I467" s="21" t="inlineStr">
        <is>
          <t>Цена зависит от стоимости объекта</t>
        </is>
      </c>
      <c r="J467" s="23" t="inlineStr">
        <is>
          <t>2026-06-10</t>
        </is>
      </c>
    </row>
    <row r="468">
      <c r="A468" s="21" t="inlineStr">
        <is>
          <t>Аренда</t>
        </is>
      </c>
      <c r="B468" s="21" t="inlineStr">
        <is>
          <t>Коммерческая</t>
        </is>
      </c>
      <c r="C468" s="21" t="inlineStr">
        <is>
          <t>Предприятие сферы услуг</t>
        </is>
      </c>
      <c r="D468" s="21" t="inlineStr">
        <is>
          <t>Новосибирск</t>
        </is>
      </c>
      <c r="E468" s="22" t="n">
        <v>1500</v>
      </c>
      <c r="F468" s="22" t="n">
        <v>419</v>
      </c>
      <c r="G468" s="22" t="n">
        <v>190</v>
      </c>
      <c r="H468" s="22" t="n">
        <v>56</v>
      </c>
      <c r="I468" s="21" t="inlineStr">
        <is>
          <t>Цена зависит от стоимости объекта</t>
        </is>
      </c>
      <c r="J468" s="23" t="inlineStr">
        <is>
          <t>2026-06-10</t>
        </is>
      </c>
    </row>
    <row r="469">
      <c r="A469" s="21" t="inlineStr">
        <is>
          <t>Аренда</t>
        </is>
      </c>
      <c r="B469" s="21" t="inlineStr">
        <is>
          <t>Коммерческая</t>
        </is>
      </c>
      <c r="C469" s="21" t="inlineStr">
        <is>
          <t>Предприятие сферы услуг</t>
        </is>
      </c>
      <c r="D469" s="21" t="inlineStr">
        <is>
          <t>Екатеринбург</t>
        </is>
      </c>
      <c r="E469" s="22" t="n">
        <v>1470</v>
      </c>
      <c r="F469" s="22" t="n">
        <v>542</v>
      </c>
      <c r="G469" s="22" t="n">
        <v>267</v>
      </c>
      <c r="H469" s="22" t="n">
        <v>105</v>
      </c>
      <c r="I469" s="21" t="inlineStr">
        <is>
          <t>Цена зависит от стоимости объекта</t>
        </is>
      </c>
      <c r="J469" s="23" t="inlineStr">
        <is>
          <t>2026-06-10</t>
        </is>
      </c>
    </row>
    <row r="470">
      <c r="A470" s="21" t="inlineStr">
        <is>
          <t>Аренда</t>
        </is>
      </c>
      <c r="B470" s="21" t="inlineStr">
        <is>
          <t>Коммерческая</t>
        </is>
      </c>
      <c r="C470" s="21" t="inlineStr">
        <is>
          <t>Предприятие сферы услуг</t>
        </is>
      </c>
      <c r="D470" s="21" t="inlineStr">
        <is>
          <t>Казань</t>
        </is>
      </c>
      <c r="E470" s="22" t="n">
        <v>642</v>
      </c>
      <c r="F470" s="22" t="n">
        <v>162</v>
      </c>
      <c r="G470" s="22" t="n">
        <v>71</v>
      </c>
      <c r="H470" s="22" t="n">
        <v>23</v>
      </c>
      <c r="I470" s="21" t="inlineStr">
        <is>
          <t>Цена зависит от стоимости объекта</t>
        </is>
      </c>
      <c r="J470" s="23" t="inlineStr">
        <is>
          <t>2026-06-10</t>
        </is>
      </c>
    </row>
    <row r="471">
      <c r="A471" s="21" t="inlineStr">
        <is>
          <t>Аренда</t>
        </is>
      </c>
      <c r="B471" s="21" t="inlineStr">
        <is>
          <t>Коммерческая</t>
        </is>
      </c>
      <c r="C471" s="21" t="inlineStr">
        <is>
          <t>Предприятие сферы услуг</t>
        </is>
      </c>
      <c r="D471" s="21" t="inlineStr">
        <is>
          <t>Красноярск</t>
        </is>
      </c>
      <c r="E471" s="22" t="n">
        <v>741</v>
      </c>
      <c r="F471" s="24" t="inlineStr">
        <is>
          <t>—</t>
        </is>
      </c>
      <c r="G471" s="24" t="inlineStr">
        <is>
          <t>—</t>
        </is>
      </c>
      <c r="H471" s="24" t="inlineStr">
        <is>
          <t>—</t>
        </is>
      </c>
      <c r="I471" s="21" t="inlineStr">
        <is>
          <t>Цена зависит от стоимости объекта</t>
        </is>
      </c>
      <c r="J471" s="23" t="inlineStr">
        <is>
          <t>2026-06-10</t>
        </is>
      </c>
    </row>
    <row r="472">
      <c r="A472" s="21" t="inlineStr">
        <is>
          <t>Аренда</t>
        </is>
      </c>
      <c r="B472" s="21" t="inlineStr">
        <is>
          <t>Коммерческая</t>
        </is>
      </c>
      <c r="C472" s="21" t="inlineStr">
        <is>
          <t>Предприятие сферы услуг</t>
        </is>
      </c>
      <c r="D472" s="21" t="inlineStr">
        <is>
          <t>Нижний Новгород</t>
        </is>
      </c>
      <c r="E472" s="22" t="n">
        <v>330</v>
      </c>
      <c r="F472" s="22" t="n">
        <v>176</v>
      </c>
      <c r="G472" s="22" t="n">
        <v>74</v>
      </c>
      <c r="H472" s="22" t="n">
        <v>23</v>
      </c>
      <c r="I472" s="21" t="inlineStr">
        <is>
          <t>Цена зависит от стоимости объекта</t>
        </is>
      </c>
      <c r="J472" s="23" t="inlineStr">
        <is>
          <t>2026-06-10</t>
        </is>
      </c>
    </row>
    <row r="473">
      <c r="A473" s="21" t="inlineStr">
        <is>
          <t>Аренда</t>
        </is>
      </c>
      <c r="B473" s="21" t="inlineStr">
        <is>
          <t>Коммерческая</t>
        </is>
      </c>
      <c r="C473" s="21" t="inlineStr">
        <is>
          <t>Предприятие сферы услуг</t>
        </is>
      </c>
      <c r="D473" s="21" t="inlineStr">
        <is>
          <t>Челябинск</t>
        </is>
      </c>
      <c r="E473" s="22" t="n">
        <v>585</v>
      </c>
      <c r="F473" s="22" t="n">
        <v>302</v>
      </c>
      <c r="G473" s="22" t="n">
        <v>137</v>
      </c>
      <c r="H473" s="22" t="n">
        <v>41</v>
      </c>
      <c r="I473" s="21" t="inlineStr">
        <is>
          <t>Цена зависит от стоимости объекта</t>
        </is>
      </c>
      <c r="J473" s="23" t="inlineStr">
        <is>
          <t>2026-06-10</t>
        </is>
      </c>
    </row>
    <row r="474">
      <c r="A474" s="21" t="inlineStr">
        <is>
          <t>Аренда</t>
        </is>
      </c>
      <c r="B474" s="21" t="inlineStr">
        <is>
          <t>Коммерческая</t>
        </is>
      </c>
      <c r="C474" s="21" t="inlineStr">
        <is>
          <t>Предприятие сферы услуг</t>
        </is>
      </c>
      <c r="D474" s="21" t="inlineStr">
        <is>
          <t>Уфа</t>
        </is>
      </c>
      <c r="E474" s="22" t="n">
        <v>648</v>
      </c>
      <c r="F474" s="22" t="n">
        <v>133</v>
      </c>
      <c r="G474" s="22" t="n">
        <v>58</v>
      </c>
      <c r="H474" s="22" t="n">
        <v>18</v>
      </c>
      <c r="I474" s="21" t="inlineStr">
        <is>
          <t>Цена зависит от стоимости объекта</t>
        </is>
      </c>
      <c r="J474" s="23" t="inlineStr">
        <is>
          <t>2026-06-10</t>
        </is>
      </c>
    </row>
    <row r="475">
      <c r="A475" s="21" t="inlineStr">
        <is>
          <t>Аренда</t>
        </is>
      </c>
      <c r="B475" s="21" t="inlineStr">
        <is>
          <t>Коммерческая</t>
        </is>
      </c>
      <c r="C475" s="21" t="inlineStr">
        <is>
          <t>Предприятие сферы услуг</t>
        </is>
      </c>
      <c r="D475" s="21" t="inlineStr">
        <is>
          <t>Краснодар</t>
        </is>
      </c>
      <c r="E475" s="22" t="n">
        <v>570</v>
      </c>
      <c r="F475" s="22" t="n">
        <v>169</v>
      </c>
      <c r="G475" s="22" t="n">
        <v>70</v>
      </c>
      <c r="H475" s="22" t="n">
        <v>40</v>
      </c>
      <c r="I475" s="21" t="inlineStr">
        <is>
          <t>Цена зависит от стоимости объекта</t>
        </is>
      </c>
      <c r="J475" s="23" t="inlineStr">
        <is>
          <t>2026-06-10</t>
        </is>
      </c>
    </row>
    <row r="476">
      <c r="A476" s="21" t="inlineStr">
        <is>
          <t>Аренда</t>
        </is>
      </c>
      <c r="B476" s="21" t="inlineStr">
        <is>
          <t>Коммерческая</t>
        </is>
      </c>
      <c r="C476" s="21" t="inlineStr">
        <is>
          <t>Предприятие сферы услуг</t>
        </is>
      </c>
      <c r="D476" s="21" t="inlineStr">
        <is>
          <t>Самара</t>
        </is>
      </c>
      <c r="E476" s="22" t="n">
        <v>372</v>
      </c>
      <c r="F476" s="24" t="inlineStr">
        <is>
          <t>—</t>
        </is>
      </c>
      <c r="G476" s="24" t="inlineStr">
        <is>
          <t>—</t>
        </is>
      </c>
      <c r="H476" s="24" t="inlineStr">
        <is>
          <t>—</t>
        </is>
      </c>
      <c r="I476" s="21" t="inlineStr">
        <is>
          <t>Цена зависит от стоимости объекта</t>
        </is>
      </c>
      <c r="J476" s="23" t="inlineStr">
        <is>
          <t>2026-06-10</t>
        </is>
      </c>
    </row>
    <row r="477">
      <c r="A477" s="21" t="inlineStr">
        <is>
          <t>Аренда</t>
        </is>
      </c>
      <c r="B477" s="21" t="inlineStr">
        <is>
          <t>Коммерческая</t>
        </is>
      </c>
      <c r="C477" s="21" t="inlineStr">
        <is>
          <t>Предприятие сферы услуг</t>
        </is>
      </c>
      <c r="D477" s="21" t="inlineStr">
        <is>
          <t>Ростов-на-Дону</t>
        </is>
      </c>
      <c r="E477" s="22" t="n">
        <v>513</v>
      </c>
      <c r="F477" s="22" t="n">
        <v>150</v>
      </c>
      <c r="G477" s="22" t="n">
        <v>62</v>
      </c>
      <c r="H477" s="22" t="n">
        <v>20</v>
      </c>
      <c r="I477" s="21" t="inlineStr">
        <is>
          <t>Цена зависит от стоимости объекта</t>
        </is>
      </c>
      <c r="J477" s="23" t="inlineStr">
        <is>
          <t>2026-06-10</t>
        </is>
      </c>
    </row>
    <row r="478">
      <c r="A478" s="21" t="inlineStr">
        <is>
          <t>Аренда</t>
        </is>
      </c>
      <c r="B478" s="21" t="inlineStr">
        <is>
          <t>Коммерческая</t>
        </is>
      </c>
      <c r="C478" s="21" t="inlineStr">
        <is>
          <t>Предприятие сферы услуг</t>
        </is>
      </c>
      <c r="D478" s="21" t="inlineStr">
        <is>
          <t>Омск</t>
        </is>
      </c>
      <c r="E478" s="22" t="n">
        <v>642</v>
      </c>
      <c r="F478" s="22" t="n">
        <v>223</v>
      </c>
      <c r="G478" s="22" t="n">
        <v>120</v>
      </c>
      <c r="H478" s="22" t="n">
        <v>38</v>
      </c>
      <c r="I478" s="21" t="inlineStr">
        <is>
          <t>Цена зависит от стоимости объекта</t>
        </is>
      </c>
      <c r="J478" s="23" t="inlineStr">
        <is>
          <t>2026-06-10</t>
        </is>
      </c>
    </row>
    <row r="479">
      <c r="A479" s="21" t="inlineStr">
        <is>
          <t>Аренда</t>
        </is>
      </c>
      <c r="B479" s="21" t="inlineStr">
        <is>
          <t>Коммерческая</t>
        </is>
      </c>
      <c r="C479" s="21" t="inlineStr">
        <is>
          <t>Предприятие сферы услуг</t>
        </is>
      </c>
      <c r="D479" s="21" t="inlineStr">
        <is>
          <t>Воронеж</t>
        </is>
      </c>
      <c r="E479" s="22" t="n">
        <v>174</v>
      </c>
      <c r="F479" s="24" t="inlineStr">
        <is>
          <t>—</t>
        </is>
      </c>
      <c r="G479" s="24" t="inlineStr">
        <is>
          <t>—</t>
        </is>
      </c>
      <c r="H479" s="24" t="inlineStr">
        <is>
          <t>—</t>
        </is>
      </c>
      <c r="I479" s="21" t="inlineStr">
        <is>
          <t>Цена зависит от стоимости объекта</t>
        </is>
      </c>
      <c r="J479" s="23" t="inlineStr">
        <is>
          <t>2026-06-10</t>
        </is>
      </c>
    </row>
    <row r="480">
      <c r="A480" s="21" t="inlineStr">
        <is>
          <t>Аренда</t>
        </is>
      </c>
      <c r="B480" s="21" t="inlineStr">
        <is>
          <t>Коммерческая</t>
        </is>
      </c>
      <c r="C480" s="21" t="inlineStr">
        <is>
          <t>Предприятие сферы услуг</t>
        </is>
      </c>
      <c r="D480" s="21" t="inlineStr">
        <is>
          <t>Пермь</t>
        </is>
      </c>
      <c r="E480" s="22" t="n">
        <v>108</v>
      </c>
      <c r="F480" s="24" t="inlineStr">
        <is>
          <t>—</t>
        </is>
      </c>
      <c r="G480" s="24" t="inlineStr">
        <is>
          <t>—</t>
        </is>
      </c>
      <c r="H480" s="24" t="inlineStr">
        <is>
          <t>—</t>
        </is>
      </c>
      <c r="I480" s="21" t="inlineStr">
        <is>
          <t>Цена зависит от стоимости объекта</t>
        </is>
      </c>
      <c r="J480" s="23" t="inlineStr">
        <is>
          <t>2026-06-10</t>
        </is>
      </c>
    </row>
    <row r="481">
      <c r="A481" s="21" t="inlineStr">
        <is>
          <t>Аренда</t>
        </is>
      </c>
      <c r="B481" s="21" t="inlineStr">
        <is>
          <t>Коммерческая</t>
        </is>
      </c>
      <c r="C481" s="21" t="inlineStr">
        <is>
          <t>Предприятие сферы услуг</t>
        </is>
      </c>
      <c r="D481" s="21" t="inlineStr">
        <is>
          <t>Волгоград</t>
        </is>
      </c>
      <c r="E481" s="22" t="n">
        <v>234</v>
      </c>
      <c r="F481" s="24" t="inlineStr">
        <is>
          <t>—</t>
        </is>
      </c>
      <c r="G481" s="24" t="inlineStr">
        <is>
          <t>—</t>
        </is>
      </c>
      <c r="H481" s="24" t="inlineStr">
        <is>
          <t>—</t>
        </is>
      </c>
      <c r="I481" s="21" t="inlineStr">
        <is>
          <t>Цена зависит от стоимости объекта</t>
        </is>
      </c>
      <c r="J481" s="23" t="inlineStr">
        <is>
          <t>2026-06-10</t>
        </is>
      </c>
    </row>
    <row r="482">
      <c r="A482" s="21" t="inlineStr">
        <is>
          <t>Аренда</t>
        </is>
      </c>
      <c r="B482" s="21" t="inlineStr">
        <is>
          <t>Коммерческая</t>
        </is>
      </c>
      <c r="C482" s="21" t="inlineStr">
        <is>
          <t>Производство</t>
        </is>
      </c>
      <c r="D482" s="21" t="inlineStr">
        <is>
          <t>Москва</t>
        </is>
      </c>
      <c r="E482" s="22" t="n">
        <v>3270</v>
      </c>
      <c r="F482" s="22" t="n">
        <v>999</v>
      </c>
      <c r="G482" s="22" t="n">
        <v>410</v>
      </c>
      <c r="H482" s="22" t="n">
        <v>123</v>
      </c>
      <c r="I482" s="21" t="inlineStr">
        <is>
          <t>Цена зависит от стоимости объекта</t>
        </is>
      </c>
      <c r="J482" s="23" t="inlineStr">
        <is>
          <t>2026-06-10</t>
        </is>
      </c>
    </row>
    <row r="483">
      <c r="A483" s="21" t="inlineStr">
        <is>
          <t>Аренда</t>
        </is>
      </c>
      <c r="B483" s="21" t="inlineStr">
        <is>
          <t>Коммерческая</t>
        </is>
      </c>
      <c r="C483" s="21" t="inlineStr">
        <is>
          <t>Производство</t>
        </is>
      </c>
      <c r="D483" s="21" t="inlineStr">
        <is>
          <t>Санкт-Петербург</t>
        </is>
      </c>
      <c r="E483" s="22" t="n">
        <v>618</v>
      </c>
      <c r="F483" s="22" t="n">
        <v>563</v>
      </c>
      <c r="G483" s="22" t="n">
        <v>239</v>
      </c>
      <c r="H483" s="22" t="n">
        <v>73</v>
      </c>
      <c r="I483" s="21" t="inlineStr">
        <is>
          <t>Цена зависит от стоимости объекта</t>
        </is>
      </c>
      <c r="J483" s="23" t="inlineStr">
        <is>
          <t>2026-06-10</t>
        </is>
      </c>
    </row>
    <row r="484">
      <c r="A484" s="21" t="inlineStr">
        <is>
          <t>Аренда</t>
        </is>
      </c>
      <c r="B484" s="21" t="inlineStr">
        <is>
          <t>Коммерческая</t>
        </is>
      </c>
      <c r="C484" s="21" t="inlineStr">
        <is>
          <t>Производство</t>
        </is>
      </c>
      <c r="D484" s="21" t="inlineStr">
        <is>
          <t>Новосибирск</t>
        </is>
      </c>
      <c r="E484" s="22" t="n">
        <v>432</v>
      </c>
      <c r="F484" s="22" t="n">
        <v>419</v>
      </c>
      <c r="G484" s="22" t="n">
        <v>190</v>
      </c>
      <c r="H484" s="22" t="n">
        <v>56</v>
      </c>
      <c r="I484" s="21" t="inlineStr">
        <is>
          <t>Цена зависит от стоимости объекта</t>
        </is>
      </c>
      <c r="J484" s="23" t="inlineStr">
        <is>
          <t>2026-06-10</t>
        </is>
      </c>
    </row>
    <row r="485">
      <c r="A485" s="21" t="inlineStr">
        <is>
          <t>Аренда</t>
        </is>
      </c>
      <c r="B485" s="21" t="inlineStr">
        <is>
          <t>Коммерческая</t>
        </is>
      </c>
      <c r="C485" s="21" t="inlineStr">
        <is>
          <t>Производство</t>
        </is>
      </c>
      <c r="D485" s="21" t="inlineStr">
        <is>
          <t>Екатеринбург</t>
        </is>
      </c>
      <c r="E485" s="22" t="n">
        <v>510</v>
      </c>
      <c r="F485" s="22" t="n">
        <v>433</v>
      </c>
      <c r="G485" s="22" t="n">
        <v>221</v>
      </c>
      <c r="H485" s="22" t="n">
        <v>68</v>
      </c>
      <c r="I485" s="21" t="inlineStr">
        <is>
          <t>Цена зависит от стоимости объекта</t>
        </is>
      </c>
      <c r="J485" s="23" t="inlineStr">
        <is>
          <t>2026-06-10</t>
        </is>
      </c>
    </row>
    <row r="486">
      <c r="A486" s="21" t="inlineStr">
        <is>
          <t>Аренда</t>
        </is>
      </c>
      <c r="B486" s="21" t="inlineStr">
        <is>
          <t>Коммерческая</t>
        </is>
      </c>
      <c r="C486" s="21" t="inlineStr">
        <is>
          <t>Производство</t>
        </is>
      </c>
      <c r="D486" s="21" t="inlineStr">
        <is>
          <t>Казань</t>
        </is>
      </c>
      <c r="E486" s="22" t="n">
        <v>120</v>
      </c>
      <c r="F486" s="22" t="n">
        <v>162</v>
      </c>
      <c r="G486" s="22" t="n">
        <v>70</v>
      </c>
      <c r="H486" s="22" t="n">
        <v>22</v>
      </c>
      <c r="I486" s="21" t="inlineStr">
        <is>
          <t>Цена зависит от стоимости объекта</t>
        </is>
      </c>
      <c r="J486" s="23" t="inlineStr">
        <is>
          <t>2026-06-10</t>
        </is>
      </c>
    </row>
    <row r="487">
      <c r="A487" s="21" t="inlineStr">
        <is>
          <t>Аренда</t>
        </is>
      </c>
      <c r="B487" s="21" t="inlineStr">
        <is>
          <t>Коммерческая</t>
        </is>
      </c>
      <c r="C487" s="21" t="inlineStr">
        <is>
          <t>Производство</t>
        </is>
      </c>
      <c r="D487" s="21" t="inlineStr">
        <is>
          <t>Красноярск</t>
        </is>
      </c>
      <c r="E487" s="22" t="n">
        <v>270</v>
      </c>
      <c r="F487" s="24" t="inlineStr">
        <is>
          <t>—</t>
        </is>
      </c>
      <c r="G487" s="24" t="inlineStr">
        <is>
          <t>—</t>
        </is>
      </c>
      <c r="H487" s="24" t="inlineStr">
        <is>
          <t>—</t>
        </is>
      </c>
      <c r="I487" s="21" t="inlineStr">
        <is>
          <t>Цена зависит от стоимости объекта</t>
        </is>
      </c>
      <c r="J487" s="23" t="inlineStr">
        <is>
          <t>2026-06-10</t>
        </is>
      </c>
    </row>
    <row r="488">
      <c r="A488" s="21" t="inlineStr">
        <is>
          <t>Аренда</t>
        </is>
      </c>
      <c r="B488" s="21" t="inlineStr">
        <is>
          <t>Коммерческая</t>
        </is>
      </c>
      <c r="C488" s="21" t="inlineStr">
        <is>
          <t>Производство</t>
        </is>
      </c>
      <c r="D488" s="21" t="inlineStr">
        <is>
          <t>Нижний Новгород</t>
        </is>
      </c>
      <c r="E488" s="22" t="n">
        <v>303</v>
      </c>
      <c r="F488" s="22" t="n">
        <v>168</v>
      </c>
      <c r="G488" s="22" t="n">
        <v>71</v>
      </c>
      <c r="H488" s="22" t="n">
        <v>23</v>
      </c>
      <c r="I488" s="21" t="inlineStr">
        <is>
          <t>Цена зависит от стоимости объекта</t>
        </is>
      </c>
      <c r="J488" s="23" t="inlineStr">
        <is>
          <t>2026-06-10</t>
        </is>
      </c>
    </row>
    <row r="489">
      <c r="A489" s="21" t="inlineStr">
        <is>
          <t>Аренда</t>
        </is>
      </c>
      <c r="B489" s="21" t="inlineStr">
        <is>
          <t>Коммерческая</t>
        </is>
      </c>
      <c r="C489" s="21" t="inlineStr">
        <is>
          <t>Производство</t>
        </is>
      </c>
      <c r="D489" s="21" t="inlineStr">
        <is>
          <t>Челябинск</t>
        </is>
      </c>
      <c r="E489" s="22" t="n">
        <v>81</v>
      </c>
      <c r="F489" s="22" t="n">
        <v>265</v>
      </c>
      <c r="G489" s="22" t="n">
        <v>124</v>
      </c>
      <c r="H489" s="22" t="n">
        <v>39</v>
      </c>
      <c r="I489" s="21" t="inlineStr">
        <is>
          <t>Цена зависит от стоимости объекта</t>
        </is>
      </c>
      <c r="J489" s="23" t="inlineStr">
        <is>
          <t>2026-06-10</t>
        </is>
      </c>
    </row>
    <row r="490">
      <c r="A490" s="21" t="inlineStr">
        <is>
          <t>Аренда</t>
        </is>
      </c>
      <c r="B490" s="21" t="inlineStr">
        <is>
          <t>Коммерческая</t>
        </is>
      </c>
      <c r="C490" s="21" t="inlineStr">
        <is>
          <t>Производство</t>
        </is>
      </c>
      <c r="D490" s="21" t="inlineStr">
        <is>
          <t>Уфа</t>
        </is>
      </c>
      <c r="E490" s="22" t="n">
        <v>543</v>
      </c>
      <c r="F490" s="22" t="n">
        <v>125</v>
      </c>
      <c r="G490" s="22" t="n">
        <v>55</v>
      </c>
      <c r="H490" s="22" t="n">
        <v>18</v>
      </c>
      <c r="I490" s="21" t="inlineStr">
        <is>
          <t>Цена зависит от стоимости объекта</t>
        </is>
      </c>
      <c r="J490" s="23" t="inlineStr">
        <is>
          <t>2026-06-10</t>
        </is>
      </c>
    </row>
    <row r="491">
      <c r="A491" s="21" t="inlineStr">
        <is>
          <t>Аренда</t>
        </is>
      </c>
      <c r="B491" s="21" t="inlineStr">
        <is>
          <t>Коммерческая</t>
        </is>
      </c>
      <c r="C491" s="21" t="inlineStr">
        <is>
          <t>Производство</t>
        </is>
      </c>
      <c r="D491" s="21" t="inlineStr">
        <is>
          <t>Краснодар</t>
        </is>
      </c>
      <c r="E491" s="22" t="n">
        <v>297</v>
      </c>
      <c r="F491" s="22" t="n">
        <v>135</v>
      </c>
      <c r="G491" s="22" t="n">
        <v>63</v>
      </c>
      <c r="H491" s="22" t="n">
        <v>20</v>
      </c>
      <c r="I491" s="21" t="inlineStr">
        <is>
          <t>Цена зависит от стоимости объекта</t>
        </is>
      </c>
      <c r="J491" s="23" t="inlineStr">
        <is>
          <t>2026-06-10</t>
        </is>
      </c>
    </row>
    <row r="492">
      <c r="A492" s="21" t="inlineStr">
        <is>
          <t>Аренда</t>
        </is>
      </c>
      <c r="B492" s="21" t="inlineStr">
        <is>
          <t>Коммерческая</t>
        </is>
      </c>
      <c r="C492" s="21" t="inlineStr">
        <is>
          <t>Производство</t>
        </is>
      </c>
      <c r="D492" s="21" t="inlineStr">
        <is>
          <t>Самара</t>
        </is>
      </c>
      <c r="E492" s="22" t="n">
        <v>132</v>
      </c>
      <c r="F492" s="24" t="inlineStr">
        <is>
          <t>—</t>
        </is>
      </c>
      <c r="G492" s="24" t="inlineStr">
        <is>
          <t>—</t>
        </is>
      </c>
      <c r="H492" s="24" t="inlineStr">
        <is>
          <t>—</t>
        </is>
      </c>
      <c r="I492" s="21" t="inlineStr">
        <is>
          <t>Цена зависит от стоимости объекта</t>
        </is>
      </c>
      <c r="J492" s="23" t="inlineStr">
        <is>
          <t>2026-06-10</t>
        </is>
      </c>
    </row>
    <row r="493">
      <c r="A493" s="21" t="inlineStr">
        <is>
          <t>Аренда</t>
        </is>
      </c>
      <c r="B493" s="21" t="inlineStr">
        <is>
          <t>Коммерческая</t>
        </is>
      </c>
      <c r="C493" s="21" t="inlineStr">
        <is>
          <t>Производство</t>
        </is>
      </c>
      <c r="D493" s="21" t="inlineStr">
        <is>
          <t>Ростов-на-Дону</t>
        </is>
      </c>
      <c r="E493" s="22" t="n">
        <v>267</v>
      </c>
      <c r="F493" s="22" t="n">
        <v>119</v>
      </c>
      <c r="G493" s="22" t="n">
        <v>51</v>
      </c>
      <c r="H493" s="22" t="n">
        <v>16</v>
      </c>
      <c r="I493" s="21" t="inlineStr">
        <is>
          <t>Цена зависит от стоимости объекта</t>
        </is>
      </c>
      <c r="J493" s="23" t="inlineStr">
        <is>
          <t>2026-06-10</t>
        </is>
      </c>
    </row>
    <row r="494">
      <c r="A494" s="21" t="inlineStr">
        <is>
          <t>Аренда</t>
        </is>
      </c>
      <c r="B494" s="21" t="inlineStr">
        <is>
          <t>Коммерческая</t>
        </is>
      </c>
      <c r="C494" s="21" t="inlineStr">
        <is>
          <t>Производство</t>
        </is>
      </c>
      <c r="D494" s="21" t="inlineStr">
        <is>
          <t>Омск</t>
        </is>
      </c>
      <c r="E494" s="22" t="n">
        <v>132</v>
      </c>
      <c r="F494" s="22" t="n">
        <v>171</v>
      </c>
      <c r="G494" s="22" t="n">
        <v>99</v>
      </c>
      <c r="H494" s="22" t="n">
        <v>30</v>
      </c>
      <c r="I494" s="21" t="inlineStr">
        <is>
          <t>Цена зависит от стоимости объекта</t>
        </is>
      </c>
      <c r="J494" s="23" t="inlineStr">
        <is>
          <t>2026-06-10</t>
        </is>
      </c>
    </row>
    <row r="495">
      <c r="A495" s="21" t="inlineStr">
        <is>
          <t>Аренда</t>
        </is>
      </c>
      <c r="B495" s="21" t="inlineStr">
        <is>
          <t>Коммерческая</t>
        </is>
      </c>
      <c r="C495" s="21" t="inlineStr">
        <is>
          <t>Производство</t>
        </is>
      </c>
      <c r="D495" s="21" t="inlineStr">
        <is>
          <t>Воронеж</t>
        </is>
      </c>
      <c r="E495" s="22" t="n">
        <v>108</v>
      </c>
      <c r="F495" s="24" t="inlineStr">
        <is>
          <t>—</t>
        </is>
      </c>
      <c r="G495" s="24" t="inlineStr">
        <is>
          <t>—</t>
        </is>
      </c>
      <c r="H495" s="24" t="inlineStr">
        <is>
          <t>—</t>
        </is>
      </c>
      <c r="I495" s="21" t="inlineStr">
        <is>
          <t>Цена зависит от стоимости объекта</t>
        </is>
      </c>
      <c r="J495" s="23" t="inlineStr">
        <is>
          <t>2026-06-10</t>
        </is>
      </c>
    </row>
    <row r="496">
      <c r="A496" s="21" t="inlineStr">
        <is>
          <t>Аренда</t>
        </is>
      </c>
      <c r="B496" s="21" t="inlineStr">
        <is>
          <t>Коммерческая</t>
        </is>
      </c>
      <c r="C496" s="21" t="inlineStr">
        <is>
          <t>Производство</t>
        </is>
      </c>
      <c r="D496" s="21" t="inlineStr">
        <is>
          <t>Пермь</t>
        </is>
      </c>
      <c r="E496" s="22" t="n">
        <v>24</v>
      </c>
      <c r="F496" s="24" t="inlineStr">
        <is>
          <t>—</t>
        </is>
      </c>
      <c r="G496" s="24" t="inlineStr">
        <is>
          <t>—</t>
        </is>
      </c>
      <c r="H496" s="24" t="inlineStr">
        <is>
          <t>—</t>
        </is>
      </c>
      <c r="I496" s="21" t="inlineStr">
        <is>
          <t>Цена зависит от стоимости объекта</t>
        </is>
      </c>
      <c r="J496" s="23" t="inlineStr">
        <is>
          <t>2026-06-10</t>
        </is>
      </c>
    </row>
    <row r="497">
      <c r="A497" s="21" t="inlineStr">
        <is>
          <t>Аренда</t>
        </is>
      </c>
      <c r="B497" s="21" t="inlineStr">
        <is>
          <t>Коммерческая</t>
        </is>
      </c>
      <c r="C497" s="21" t="inlineStr">
        <is>
          <t>Производство</t>
        </is>
      </c>
      <c r="D497" s="21" t="inlineStr">
        <is>
          <t>Волгоград</t>
        </is>
      </c>
      <c r="E497" s="22" t="n">
        <v>159</v>
      </c>
      <c r="F497" s="24" t="inlineStr">
        <is>
          <t>—</t>
        </is>
      </c>
      <c r="G497" s="24" t="inlineStr">
        <is>
          <t>—</t>
        </is>
      </c>
      <c r="H497" s="24" t="inlineStr">
        <is>
          <t>—</t>
        </is>
      </c>
      <c r="I497" s="21" t="inlineStr">
        <is>
          <t>Цена зависит от стоимости объекта</t>
        </is>
      </c>
      <c r="J497" s="23" t="inlineStr">
        <is>
          <t>2026-06-10</t>
        </is>
      </c>
    </row>
    <row r="498">
      <c r="A498" s="21" t="inlineStr">
        <is>
          <t>Аренда</t>
        </is>
      </c>
      <c r="B498" s="21" t="inlineStr">
        <is>
          <t>Коммерческая</t>
        </is>
      </c>
      <c r="C498" s="21" t="inlineStr">
        <is>
          <t>Помещение свободного назначения</t>
        </is>
      </c>
      <c r="D498" s="21" t="inlineStr">
        <is>
          <t>Москва</t>
        </is>
      </c>
      <c r="E498" s="22" t="n">
        <v>2850</v>
      </c>
      <c r="F498" s="22" t="n">
        <v>1044</v>
      </c>
      <c r="G498" s="22" t="n">
        <v>429</v>
      </c>
      <c r="H498" s="22" t="n">
        <v>271</v>
      </c>
      <c r="I498" s="21" t="inlineStr">
        <is>
          <t>Цена зависит от стоимости объекта</t>
        </is>
      </c>
      <c r="J498" s="23" t="inlineStr">
        <is>
          <t>2026-06-10</t>
        </is>
      </c>
    </row>
    <row r="499">
      <c r="A499" s="21" t="inlineStr">
        <is>
          <t>Аренда</t>
        </is>
      </c>
      <c r="B499" s="21" t="inlineStr">
        <is>
          <t>Коммерческая</t>
        </is>
      </c>
      <c r="C499" s="21" t="inlineStr">
        <is>
          <t>Помещение свободного назначения</t>
        </is>
      </c>
      <c r="D499" s="21" t="inlineStr">
        <is>
          <t>Санкт-Петербург</t>
        </is>
      </c>
      <c r="E499" s="22" t="n">
        <v>408</v>
      </c>
      <c r="F499" s="22" t="n">
        <v>691</v>
      </c>
      <c r="G499" s="22" t="n">
        <v>292</v>
      </c>
      <c r="H499" s="22" t="n">
        <v>169</v>
      </c>
      <c r="I499" s="21" t="inlineStr">
        <is>
          <t>Цена зависит от стоимости объекта</t>
        </is>
      </c>
      <c r="J499" s="23" t="inlineStr">
        <is>
          <t>2026-06-10</t>
        </is>
      </c>
    </row>
    <row r="500">
      <c r="A500" s="21" t="inlineStr">
        <is>
          <t>Аренда</t>
        </is>
      </c>
      <c r="B500" s="21" t="inlineStr">
        <is>
          <t>Коммерческая</t>
        </is>
      </c>
      <c r="C500" s="21" t="inlineStr">
        <is>
          <t>Помещение свободного назначения</t>
        </is>
      </c>
      <c r="D500" s="21" t="inlineStr">
        <is>
          <t>Новосибирск</t>
        </is>
      </c>
      <c r="E500" s="22" t="n">
        <v>432</v>
      </c>
      <c r="F500" s="22" t="n">
        <v>369</v>
      </c>
      <c r="G500" s="22" t="n">
        <v>173</v>
      </c>
      <c r="H500" s="22" t="n">
        <v>51</v>
      </c>
      <c r="I500" s="21" t="inlineStr">
        <is>
          <t>Цена зависит от стоимости объекта</t>
        </is>
      </c>
      <c r="J500" s="23" t="inlineStr">
        <is>
          <t>2026-06-10</t>
        </is>
      </c>
    </row>
    <row r="501">
      <c r="A501" s="21" t="inlineStr">
        <is>
          <t>Аренда</t>
        </is>
      </c>
      <c r="B501" s="21" t="inlineStr">
        <is>
          <t>Коммерческая</t>
        </is>
      </c>
      <c r="C501" s="21" t="inlineStr">
        <is>
          <t>Помещение свободного назначения</t>
        </is>
      </c>
      <c r="D501" s="21" t="inlineStr">
        <is>
          <t>Екатеринбург</t>
        </is>
      </c>
      <c r="E501" s="22" t="n">
        <v>318</v>
      </c>
      <c r="F501" s="22" t="n">
        <v>388</v>
      </c>
      <c r="G501" s="22" t="n">
        <v>197</v>
      </c>
      <c r="H501" s="22" t="n">
        <v>61</v>
      </c>
      <c r="I501" s="21" t="inlineStr">
        <is>
          <t>Цена зависит от стоимости объекта</t>
        </is>
      </c>
      <c r="J501" s="23" t="inlineStr">
        <is>
          <t>2026-06-10</t>
        </is>
      </c>
    </row>
    <row r="502">
      <c r="A502" s="21" t="inlineStr">
        <is>
          <t>Аренда</t>
        </is>
      </c>
      <c r="B502" s="21" t="inlineStr">
        <is>
          <t>Коммерческая</t>
        </is>
      </c>
      <c r="C502" s="21" t="inlineStr">
        <is>
          <t>Помещение свободного назначения</t>
        </is>
      </c>
      <c r="D502" s="21" t="inlineStr">
        <is>
          <t>Казань</t>
        </is>
      </c>
      <c r="E502" s="22" t="n">
        <v>123</v>
      </c>
      <c r="F502" s="22" t="n">
        <v>126</v>
      </c>
      <c r="G502" s="22" t="n">
        <v>56</v>
      </c>
      <c r="H502" s="22" t="n">
        <v>18</v>
      </c>
      <c r="I502" s="21" t="inlineStr">
        <is>
          <t>Цена зависит от стоимости объекта</t>
        </is>
      </c>
      <c r="J502" s="23" t="inlineStr">
        <is>
          <t>2026-06-10</t>
        </is>
      </c>
    </row>
    <row r="503">
      <c r="A503" s="21" t="inlineStr">
        <is>
          <t>Аренда</t>
        </is>
      </c>
      <c r="B503" s="21" t="inlineStr">
        <is>
          <t>Коммерческая</t>
        </is>
      </c>
      <c r="C503" s="21" t="inlineStr">
        <is>
          <t>Помещение свободного назначения</t>
        </is>
      </c>
      <c r="D503" s="21" t="inlineStr">
        <is>
          <t>Красноярск</t>
        </is>
      </c>
      <c r="E503" s="22" t="n">
        <v>540</v>
      </c>
      <c r="F503" s="24" t="inlineStr">
        <is>
          <t>—</t>
        </is>
      </c>
      <c r="G503" s="24" t="inlineStr">
        <is>
          <t>—</t>
        </is>
      </c>
      <c r="H503" s="24" t="inlineStr">
        <is>
          <t>—</t>
        </is>
      </c>
      <c r="I503" s="21" t="inlineStr">
        <is>
          <t>Цена зависит от стоимости объекта</t>
        </is>
      </c>
      <c r="J503" s="23" t="inlineStr">
        <is>
          <t>2026-06-10</t>
        </is>
      </c>
    </row>
    <row r="504">
      <c r="A504" s="21" t="inlineStr">
        <is>
          <t>Аренда</t>
        </is>
      </c>
      <c r="B504" s="21" t="inlineStr">
        <is>
          <t>Коммерческая</t>
        </is>
      </c>
      <c r="C504" s="21" t="inlineStr">
        <is>
          <t>Помещение свободного назначения</t>
        </is>
      </c>
      <c r="D504" s="21" t="inlineStr">
        <is>
          <t>Нижний Новгород</t>
        </is>
      </c>
      <c r="E504" s="22" t="n">
        <v>204</v>
      </c>
      <c r="F504" s="22" t="n">
        <v>138</v>
      </c>
      <c r="G504" s="22" t="n">
        <v>60</v>
      </c>
      <c r="H504" s="22" t="n">
        <v>19</v>
      </c>
      <c r="I504" s="21" t="inlineStr">
        <is>
          <t>Цена зависит от стоимости объекта</t>
        </is>
      </c>
      <c r="J504" s="23" t="inlineStr">
        <is>
          <t>2026-06-10</t>
        </is>
      </c>
    </row>
    <row r="505">
      <c r="A505" s="21" t="inlineStr">
        <is>
          <t>Аренда</t>
        </is>
      </c>
      <c r="B505" s="21" t="inlineStr">
        <is>
          <t>Коммерческая</t>
        </is>
      </c>
      <c r="C505" s="21" t="inlineStr">
        <is>
          <t>Помещение свободного назначения</t>
        </is>
      </c>
      <c r="D505" s="21" t="inlineStr">
        <is>
          <t>Челябинск</t>
        </is>
      </c>
      <c r="E505" s="22" t="n">
        <v>258</v>
      </c>
      <c r="F505" s="22" t="n">
        <v>224</v>
      </c>
      <c r="G505" s="22" t="n">
        <v>99</v>
      </c>
      <c r="H505" s="22" t="n">
        <v>31</v>
      </c>
      <c r="I505" s="21" t="inlineStr">
        <is>
          <t>Цена зависит от стоимости объекта</t>
        </is>
      </c>
      <c r="J505" s="23" t="inlineStr">
        <is>
          <t>2026-06-10</t>
        </is>
      </c>
    </row>
    <row r="506">
      <c r="A506" s="21" t="inlineStr">
        <is>
          <t>Аренда</t>
        </is>
      </c>
      <c r="B506" s="21" t="inlineStr">
        <is>
          <t>Коммерческая</t>
        </is>
      </c>
      <c r="C506" s="21" t="inlineStr">
        <is>
          <t>Помещение свободного назначения</t>
        </is>
      </c>
      <c r="D506" s="21" t="inlineStr">
        <is>
          <t>Уфа</t>
        </is>
      </c>
      <c r="E506" s="22" t="n">
        <v>291</v>
      </c>
      <c r="F506" s="22" t="n">
        <v>113</v>
      </c>
      <c r="G506" s="22" t="n">
        <v>48</v>
      </c>
      <c r="H506" s="22" t="n">
        <v>14</v>
      </c>
      <c r="I506" s="21" t="inlineStr">
        <is>
          <t>Цена зависит от стоимости объекта</t>
        </is>
      </c>
      <c r="J506" s="23" t="inlineStr">
        <is>
          <t>2026-06-10</t>
        </is>
      </c>
    </row>
    <row r="507">
      <c r="A507" s="21" t="inlineStr">
        <is>
          <t>Аренда</t>
        </is>
      </c>
      <c r="B507" s="21" t="inlineStr">
        <is>
          <t>Коммерческая</t>
        </is>
      </c>
      <c r="C507" s="21" t="inlineStr">
        <is>
          <t>Помещение свободного назначения</t>
        </is>
      </c>
      <c r="D507" s="21" t="inlineStr">
        <is>
          <t>Краснодар</t>
        </is>
      </c>
      <c r="E507" s="22" t="n">
        <v>162</v>
      </c>
      <c r="F507" s="22" t="n">
        <v>169</v>
      </c>
      <c r="G507" s="22" t="n">
        <v>70</v>
      </c>
      <c r="H507" s="22" t="n">
        <v>40</v>
      </c>
      <c r="I507" s="21" t="inlineStr">
        <is>
          <t>Цена зависит от стоимости объекта</t>
        </is>
      </c>
      <c r="J507" s="23" t="inlineStr">
        <is>
          <t>2026-06-10</t>
        </is>
      </c>
    </row>
    <row r="508">
      <c r="A508" s="21" t="inlineStr">
        <is>
          <t>Аренда</t>
        </is>
      </c>
      <c r="B508" s="21" t="inlineStr">
        <is>
          <t>Коммерческая</t>
        </is>
      </c>
      <c r="C508" s="21" t="inlineStr">
        <is>
          <t>Помещение свободного назначения</t>
        </is>
      </c>
      <c r="D508" s="21" t="inlineStr">
        <is>
          <t>Самара</t>
        </is>
      </c>
      <c r="E508" s="22" t="n">
        <v>111</v>
      </c>
      <c r="F508" s="24" t="inlineStr">
        <is>
          <t>—</t>
        </is>
      </c>
      <c r="G508" s="24" t="inlineStr">
        <is>
          <t>—</t>
        </is>
      </c>
      <c r="H508" s="24" t="inlineStr">
        <is>
          <t>—</t>
        </is>
      </c>
      <c r="I508" s="21" t="inlineStr">
        <is>
          <t>Цена зависит от стоимости объекта</t>
        </is>
      </c>
      <c r="J508" s="23" t="inlineStr">
        <is>
          <t>2026-06-10</t>
        </is>
      </c>
    </row>
    <row r="509">
      <c r="A509" s="21" t="inlineStr">
        <is>
          <t>Аренда</t>
        </is>
      </c>
      <c r="B509" s="21" t="inlineStr">
        <is>
          <t>Коммерческая</t>
        </is>
      </c>
      <c r="C509" s="21" t="inlineStr">
        <is>
          <t>Помещение свободного назначения</t>
        </is>
      </c>
      <c r="D509" s="21" t="inlineStr">
        <is>
          <t>Ростов-на-Дону</t>
        </is>
      </c>
      <c r="E509" s="22" t="n">
        <v>129</v>
      </c>
      <c r="F509" s="22" t="n">
        <v>120</v>
      </c>
      <c r="G509" s="22" t="n">
        <v>51</v>
      </c>
      <c r="H509" s="22" t="n">
        <v>15</v>
      </c>
      <c r="I509" s="21" t="inlineStr">
        <is>
          <t>Цена зависит от стоимости объекта</t>
        </is>
      </c>
      <c r="J509" s="23" t="inlineStr">
        <is>
          <t>2026-06-10</t>
        </is>
      </c>
    </row>
    <row r="510">
      <c r="A510" s="21" t="inlineStr">
        <is>
          <t>Аренда</t>
        </is>
      </c>
      <c r="B510" s="21" t="inlineStr">
        <is>
          <t>Коммерческая</t>
        </is>
      </c>
      <c r="C510" s="21" t="inlineStr">
        <is>
          <t>Помещение свободного назначения</t>
        </is>
      </c>
      <c r="D510" s="21" t="inlineStr">
        <is>
          <t>Омск</t>
        </is>
      </c>
      <c r="E510" s="22" t="n">
        <v>333</v>
      </c>
      <c r="F510" s="22" t="n">
        <v>183</v>
      </c>
      <c r="G510" s="22" t="n">
        <v>97</v>
      </c>
      <c r="H510" s="22" t="n">
        <v>31</v>
      </c>
      <c r="I510" s="21" t="inlineStr">
        <is>
          <t>Цена зависит от стоимости объекта</t>
        </is>
      </c>
      <c r="J510" s="23" t="inlineStr">
        <is>
          <t>2026-06-10</t>
        </is>
      </c>
    </row>
    <row r="511">
      <c r="A511" s="21" t="inlineStr">
        <is>
          <t>Аренда</t>
        </is>
      </c>
      <c r="B511" s="21" t="inlineStr">
        <is>
          <t>Коммерческая</t>
        </is>
      </c>
      <c r="C511" s="21" t="inlineStr">
        <is>
          <t>Помещение свободного назначения</t>
        </is>
      </c>
      <c r="D511" s="21" t="inlineStr">
        <is>
          <t>Воронеж</t>
        </is>
      </c>
      <c r="E511" s="22" t="n">
        <v>108</v>
      </c>
      <c r="F511" s="24" t="inlineStr">
        <is>
          <t>—</t>
        </is>
      </c>
      <c r="G511" s="24" t="inlineStr">
        <is>
          <t>—</t>
        </is>
      </c>
      <c r="H511" s="24" t="inlineStr">
        <is>
          <t>—</t>
        </is>
      </c>
      <c r="I511" s="21" t="inlineStr">
        <is>
          <t>Цена зависит от стоимости объекта</t>
        </is>
      </c>
      <c r="J511" s="23" t="inlineStr">
        <is>
          <t>2026-06-10</t>
        </is>
      </c>
    </row>
    <row r="512">
      <c r="A512" s="21" t="inlineStr">
        <is>
          <t>Аренда</t>
        </is>
      </c>
      <c r="B512" s="21" t="inlineStr">
        <is>
          <t>Коммерческая</t>
        </is>
      </c>
      <c r="C512" s="21" t="inlineStr">
        <is>
          <t>Помещение свободного назначения</t>
        </is>
      </c>
      <c r="D512" s="21" t="inlineStr">
        <is>
          <t>Пермь</t>
        </is>
      </c>
      <c r="E512" s="22" t="n">
        <v>33</v>
      </c>
      <c r="F512" s="24" t="inlineStr">
        <is>
          <t>—</t>
        </is>
      </c>
      <c r="G512" s="24" t="inlineStr">
        <is>
          <t>—</t>
        </is>
      </c>
      <c r="H512" s="24" t="inlineStr">
        <is>
          <t>—</t>
        </is>
      </c>
      <c r="I512" s="21" t="inlineStr">
        <is>
          <t>Цена зависит от стоимости объекта</t>
        </is>
      </c>
      <c r="J512" s="23" t="inlineStr">
        <is>
          <t>2026-06-10</t>
        </is>
      </c>
    </row>
    <row r="513">
      <c r="A513" s="21" t="inlineStr">
        <is>
          <t>Аренда</t>
        </is>
      </c>
      <c r="B513" s="21" t="inlineStr">
        <is>
          <t>Коммерческая</t>
        </is>
      </c>
      <c r="C513" s="21" t="inlineStr">
        <is>
          <t>Помещение свободного назначения</t>
        </is>
      </c>
      <c r="D513" s="21" t="inlineStr">
        <is>
          <t>Волгоград</t>
        </is>
      </c>
      <c r="E513" s="22" t="n">
        <v>123</v>
      </c>
      <c r="F513" s="24" t="inlineStr">
        <is>
          <t>—</t>
        </is>
      </c>
      <c r="G513" s="24" t="inlineStr">
        <is>
          <t>—</t>
        </is>
      </c>
      <c r="H513" s="24" t="inlineStr">
        <is>
          <t>—</t>
        </is>
      </c>
      <c r="I513" s="21" t="inlineStr">
        <is>
          <t>Цена зависит от стоимости объекта</t>
        </is>
      </c>
      <c r="J513" s="23" t="inlineStr">
        <is>
          <t>2026-06-10</t>
        </is>
      </c>
    </row>
    <row r="514">
      <c r="A514" s="21" t="inlineStr">
        <is>
          <t>Аренда</t>
        </is>
      </c>
      <c r="B514" s="21" t="inlineStr">
        <is>
          <t>Коммерческая</t>
        </is>
      </c>
      <c r="C514" s="21" t="inlineStr">
        <is>
          <t>Склад</t>
        </is>
      </c>
      <c r="D514" s="21" t="inlineStr">
        <is>
          <t>Москва</t>
        </is>
      </c>
      <c r="E514" s="22" t="n">
        <v>1413</v>
      </c>
      <c r="F514" s="22" t="n">
        <v>999</v>
      </c>
      <c r="G514" s="22" t="n">
        <v>410</v>
      </c>
      <c r="H514" s="22" t="n">
        <v>123</v>
      </c>
      <c r="I514" s="21" t="inlineStr">
        <is>
          <t>Цена зависит от стоимости объекта</t>
        </is>
      </c>
      <c r="J514" s="23" t="inlineStr">
        <is>
          <t>2026-06-10</t>
        </is>
      </c>
    </row>
    <row r="515">
      <c r="A515" s="21" t="inlineStr">
        <is>
          <t>Аренда</t>
        </is>
      </c>
      <c r="B515" s="21" t="inlineStr">
        <is>
          <t>Коммерческая</t>
        </is>
      </c>
      <c r="C515" s="21" t="inlineStr">
        <is>
          <t>Склад</t>
        </is>
      </c>
      <c r="D515" s="21" t="inlineStr">
        <is>
          <t>Санкт-Петербург</t>
        </is>
      </c>
      <c r="E515" s="22" t="n">
        <v>516</v>
      </c>
      <c r="F515" s="22" t="n">
        <v>752</v>
      </c>
      <c r="G515" s="22" t="n">
        <v>677</v>
      </c>
      <c r="H515" s="22" t="n">
        <v>618</v>
      </c>
      <c r="I515" s="21" t="inlineStr">
        <is>
          <t>Цена зависит от стоимости объекта</t>
        </is>
      </c>
      <c r="J515" s="23" t="inlineStr">
        <is>
          <t>2026-06-10</t>
        </is>
      </c>
    </row>
    <row r="516">
      <c r="A516" s="21" t="inlineStr">
        <is>
          <t>Аренда</t>
        </is>
      </c>
      <c r="B516" s="21" t="inlineStr">
        <is>
          <t>Коммерческая</t>
        </is>
      </c>
      <c r="C516" s="21" t="inlineStr">
        <is>
          <t>Склад</t>
        </is>
      </c>
      <c r="D516" s="21" t="inlineStr">
        <is>
          <t>Новосибирск</t>
        </is>
      </c>
      <c r="E516" s="22" t="n">
        <v>324</v>
      </c>
      <c r="F516" s="22" t="n">
        <v>314</v>
      </c>
      <c r="G516" s="22" t="n">
        <v>147</v>
      </c>
      <c r="H516" s="22" t="n">
        <v>43</v>
      </c>
      <c r="I516" s="21" t="inlineStr">
        <is>
          <t>Цена зависит от стоимости объекта</t>
        </is>
      </c>
      <c r="J516" s="23" t="inlineStr">
        <is>
          <t>2026-06-10</t>
        </is>
      </c>
    </row>
    <row r="517">
      <c r="A517" s="21" t="inlineStr">
        <is>
          <t>Аренда</t>
        </is>
      </c>
      <c r="B517" s="21" t="inlineStr">
        <is>
          <t>Коммерческая</t>
        </is>
      </c>
      <c r="C517" s="21" t="inlineStr">
        <is>
          <t>Склад</t>
        </is>
      </c>
      <c r="D517" s="21" t="inlineStr">
        <is>
          <t>Екатеринбург</t>
        </is>
      </c>
      <c r="E517" s="22" t="n">
        <v>318</v>
      </c>
      <c r="F517" s="22" t="n">
        <v>461</v>
      </c>
      <c r="G517" s="22" t="n">
        <v>227</v>
      </c>
      <c r="H517" s="22" t="n">
        <v>69</v>
      </c>
      <c r="I517" s="21" t="inlineStr">
        <is>
          <t>Цена зависит от стоимости объекта</t>
        </is>
      </c>
      <c r="J517" s="23" t="inlineStr">
        <is>
          <t>2026-06-10</t>
        </is>
      </c>
    </row>
    <row r="518">
      <c r="A518" s="21" t="inlineStr">
        <is>
          <t>Аренда</t>
        </is>
      </c>
      <c r="B518" s="21" t="inlineStr">
        <is>
          <t>Коммерческая</t>
        </is>
      </c>
      <c r="C518" s="21" t="inlineStr">
        <is>
          <t>Склад</t>
        </is>
      </c>
      <c r="D518" s="21" t="inlineStr">
        <is>
          <t>Казань</t>
        </is>
      </c>
      <c r="E518" s="22" t="n">
        <v>81</v>
      </c>
      <c r="F518" s="22" t="n">
        <v>161</v>
      </c>
      <c r="G518" s="22" t="n">
        <v>71</v>
      </c>
      <c r="H518" s="22" t="n">
        <v>23</v>
      </c>
      <c r="I518" s="21" t="inlineStr">
        <is>
          <t>Цена зависит от стоимости объекта</t>
        </is>
      </c>
      <c r="J518" s="23" t="inlineStr">
        <is>
          <t>2026-06-10</t>
        </is>
      </c>
    </row>
    <row r="519">
      <c r="A519" s="21" t="inlineStr">
        <is>
          <t>Аренда</t>
        </is>
      </c>
      <c r="B519" s="21" t="inlineStr">
        <is>
          <t>Коммерческая</t>
        </is>
      </c>
      <c r="C519" s="21" t="inlineStr">
        <is>
          <t>Склад</t>
        </is>
      </c>
      <c r="D519" s="21" t="inlineStr">
        <is>
          <t>Красноярск</t>
        </is>
      </c>
      <c r="E519" s="22" t="n">
        <v>270</v>
      </c>
      <c r="F519" s="24" t="inlineStr">
        <is>
          <t>—</t>
        </is>
      </c>
      <c r="G519" s="24" t="inlineStr">
        <is>
          <t>—</t>
        </is>
      </c>
      <c r="H519" s="24" t="inlineStr">
        <is>
          <t>—</t>
        </is>
      </c>
      <c r="I519" s="21" t="inlineStr">
        <is>
          <t>Цена зависит от стоимости объекта</t>
        </is>
      </c>
      <c r="J519" s="23" t="inlineStr">
        <is>
          <t>2026-06-10</t>
        </is>
      </c>
    </row>
    <row r="520">
      <c r="A520" s="21" t="inlineStr">
        <is>
          <t>Аренда</t>
        </is>
      </c>
      <c r="B520" s="21" t="inlineStr">
        <is>
          <t>Коммерческая</t>
        </is>
      </c>
      <c r="C520" s="21" t="inlineStr">
        <is>
          <t>Склад</t>
        </is>
      </c>
      <c r="D520" s="21" t="inlineStr">
        <is>
          <t>Нижний Новгород</t>
        </is>
      </c>
      <c r="E520" s="22" t="n">
        <v>303</v>
      </c>
      <c r="F520" s="22" t="n">
        <v>176</v>
      </c>
      <c r="G520" s="22" t="n">
        <v>74</v>
      </c>
      <c r="H520" s="22" t="n">
        <v>23</v>
      </c>
      <c r="I520" s="21" t="inlineStr">
        <is>
          <t>Цена зависит от стоимости объекта</t>
        </is>
      </c>
      <c r="J520" s="23" t="inlineStr">
        <is>
          <t>2026-06-10</t>
        </is>
      </c>
    </row>
    <row r="521">
      <c r="A521" s="21" t="inlineStr">
        <is>
          <t>Аренда</t>
        </is>
      </c>
      <c r="B521" s="21" t="inlineStr">
        <is>
          <t>Коммерческая</t>
        </is>
      </c>
      <c r="C521" s="21" t="inlineStr">
        <is>
          <t>Склад</t>
        </is>
      </c>
      <c r="D521" s="21" t="inlineStr">
        <is>
          <t>Челябинск</t>
        </is>
      </c>
      <c r="E521" s="22" t="n">
        <v>123</v>
      </c>
      <c r="F521" s="22" t="n">
        <v>265</v>
      </c>
      <c r="G521" s="22" t="n">
        <v>124</v>
      </c>
      <c r="H521" s="22" t="n">
        <v>39</v>
      </c>
      <c r="I521" s="21" t="inlineStr">
        <is>
          <t>Цена зависит от стоимости объекта</t>
        </is>
      </c>
      <c r="J521" s="23" t="inlineStr">
        <is>
          <t>2026-06-10</t>
        </is>
      </c>
    </row>
    <row r="522">
      <c r="A522" s="21" t="inlineStr">
        <is>
          <t>Аренда</t>
        </is>
      </c>
      <c r="B522" s="21" t="inlineStr">
        <is>
          <t>Коммерческая</t>
        </is>
      </c>
      <c r="C522" s="21" t="inlineStr">
        <is>
          <t>Склад</t>
        </is>
      </c>
      <c r="D522" s="21" t="inlineStr">
        <is>
          <t>Уфа</t>
        </is>
      </c>
      <c r="E522" s="22" t="n">
        <v>138</v>
      </c>
      <c r="F522" s="22" t="n">
        <v>120</v>
      </c>
      <c r="G522" s="22" t="n">
        <v>53</v>
      </c>
      <c r="H522" s="22" t="n">
        <v>17</v>
      </c>
      <c r="I522" s="21" t="inlineStr">
        <is>
          <t>Цена зависит от стоимости объекта</t>
        </is>
      </c>
      <c r="J522" s="23" t="inlineStr">
        <is>
          <t>2026-06-10</t>
        </is>
      </c>
    </row>
    <row r="523">
      <c r="A523" s="21" t="inlineStr">
        <is>
          <t>Аренда</t>
        </is>
      </c>
      <c r="B523" s="21" t="inlineStr">
        <is>
          <t>Коммерческая</t>
        </is>
      </c>
      <c r="C523" s="21" t="inlineStr">
        <is>
          <t>Склад</t>
        </is>
      </c>
      <c r="D523" s="21" t="inlineStr">
        <is>
          <t>Краснодар</t>
        </is>
      </c>
      <c r="E523" s="22" t="n">
        <v>120</v>
      </c>
      <c r="F523" s="22" t="n">
        <v>122</v>
      </c>
      <c r="G523" s="22" t="n">
        <v>54</v>
      </c>
      <c r="H523" s="22" t="n">
        <v>15</v>
      </c>
      <c r="I523" s="21" t="inlineStr">
        <is>
          <t>Цена зависит от стоимости объекта</t>
        </is>
      </c>
      <c r="J523" s="23" t="inlineStr">
        <is>
          <t>2026-06-10</t>
        </is>
      </c>
    </row>
    <row r="524">
      <c r="A524" s="21" t="inlineStr">
        <is>
          <t>Аренда</t>
        </is>
      </c>
      <c r="B524" s="21" t="inlineStr">
        <is>
          <t>Коммерческая</t>
        </is>
      </c>
      <c r="C524" s="21" t="inlineStr">
        <is>
          <t>Склад</t>
        </is>
      </c>
      <c r="D524" s="21" t="inlineStr">
        <is>
          <t>Самара</t>
        </is>
      </c>
      <c r="E524" s="22" t="n">
        <v>132</v>
      </c>
      <c r="F524" s="24" t="inlineStr">
        <is>
          <t>—</t>
        </is>
      </c>
      <c r="G524" s="24" t="inlineStr">
        <is>
          <t>—</t>
        </is>
      </c>
      <c r="H524" s="24" t="inlineStr">
        <is>
          <t>—</t>
        </is>
      </c>
      <c r="I524" s="21" t="inlineStr">
        <is>
          <t>Цена зависит от стоимости объекта</t>
        </is>
      </c>
      <c r="J524" s="23" t="inlineStr">
        <is>
          <t>2026-06-10</t>
        </is>
      </c>
    </row>
    <row r="525">
      <c r="A525" s="21" t="inlineStr">
        <is>
          <t>Аренда</t>
        </is>
      </c>
      <c r="B525" s="21" t="inlineStr">
        <is>
          <t>Коммерческая</t>
        </is>
      </c>
      <c r="C525" s="21" t="inlineStr">
        <is>
          <t>Склад</t>
        </is>
      </c>
      <c r="D525" s="21" t="inlineStr">
        <is>
          <t>Ростов-на-Дону</t>
        </is>
      </c>
      <c r="E525" s="22" t="n">
        <v>132</v>
      </c>
      <c r="F525" s="22" t="n">
        <v>150</v>
      </c>
      <c r="G525" s="22" t="n">
        <v>62</v>
      </c>
      <c r="H525" s="22" t="n">
        <v>20</v>
      </c>
      <c r="I525" s="21" t="inlineStr">
        <is>
          <t>Цена зависит от стоимости объекта</t>
        </is>
      </c>
      <c r="J525" s="23" t="inlineStr">
        <is>
          <t>2026-06-10</t>
        </is>
      </c>
    </row>
    <row r="526">
      <c r="A526" s="21" t="inlineStr">
        <is>
          <t>Аренда</t>
        </is>
      </c>
      <c r="B526" s="21" t="inlineStr">
        <is>
          <t>Коммерческая</t>
        </is>
      </c>
      <c r="C526" s="21" t="inlineStr">
        <is>
          <t>Склад</t>
        </is>
      </c>
      <c r="D526" s="21" t="inlineStr">
        <is>
          <t>Омск</t>
        </is>
      </c>
      <c r="E526" s="22" t="n">
        <v>333</v>
      </c>
      <c r="F526" s="22" t="n">
        <v>197</v>
      </c>
      <c r="G526" s="22" t="n">
        <v>108</v>
      </c>
      <c r="H526" s="22" t="n">
        <v>33</v>
      </c>
      <c r="I526" s="21" t="inlineStr">
        <is>
          <t>Цена зависит от стоимости объекта</t>
        </is>
      </c>
      <c r="J526" s="23" t="inlineStr">
        <is>
          <t>2026-06-10</t>
        </is>
      </c>
    </row>
    <row r="527">
      <c r="A527" s="21" t="inlineStr">
        <is>
          <t>Аренда</t>
        </is>
      </c>
      <c r="B527" s="21" t="inlineStr">
        <is>
          <t>Коммерческая</t>
        </is>
      </c>
      <c r="C527" s="21" t="inlineStr">
        <is>
          <t>Склад</t>
        </is>
      </c>
      <c r="D527" s="21" t="inlineStr">
        <is>
          <t>Воронеж</t>
        </is>
      </c>
      <c r="E527" s="22" t="n">
        <v>108</v>
      </c>
      <c r="F527" s="24" t="inlineStr">
        <is>
          <t>—</t>
        </is>
      </c>
      <c r="G527" s="24" t="inlineStr">
        <is>
          <t>—</t>
        </is>
      </c>
      <c r="H527" s="24" t="inlineStr">
        <is>
          <t>—</t>
        </is>
      </c>
      <c r="I527" s="21" t="inlineStr">
        <is>
          <t>Цена зависит от стоимости объекта</t>
        </is>
      </c>
      <c r="J527" s="23" t="inlineStr">
        <is>
          <t>2026-06-10</t>
        </is>
      </c>
    </row>
    <row r="528">
      <c r="A528" s="21" t="inlineStr">
        <is>
          <t>Аренда</t>
        </is>
      </c>
      <c r="B528" s="21" t="inlineStr">
        <is>
          <t>Коммерческая</t>
        </is>
      </c>
      <c r="C528" s="21" t="inlineStr">
        <is>
          <t>Склад</t>
        </is>
      </c>
      <c r="D528" s="21" t="inlineStr">
        <is>
          <t>Пермь</t>
        </is>
      </c>
      <c r="E528" s="22" t="n">
        <v>21</v>
      </c>
      <c r="F528" s="24" t="inlineStr">
        <is>
          <t>—</t>
        </is>
      </c>
      <c r="G528" s="24" t="inlineStr">
        <is>
          <t>—</t>
        </is>
      </c>
      <c r="H528" s="24" t="inlineStr">
        <is>
          <t>—</t>
        </is>
      </c>
      <c r="I528" s="21" t="inlineStr">
        <is>
          <t>Цена зависит от стоимости объекта</t>
        </is>
      </c>
      <c r="J528" s="23" t="inlineStr">
        <is>
          <t>2026-06-10</t>
        </is>
      </c>
    </row>
    <row r="529">
      <c r="A529" s="21" t="inlineStr">
        <is>
          <t>Аренда</t>
        </is>
      </c>
      <c r="B529" s="21" t="inlineStr">
        <is>
          <t>Коммерческая</t>
        </is>
      </c>
      <c r="C529" s="21" t="inlineStr">
        <is>
          <t>Склад</t>
        </is>
      </c>
      <c r="D529" s="21" t="inlineStr">
        <is>
          <t>Волгоград</t>
        </is>
      </c>
      <c r="E529" s="22" t="n">
        <v>168</v>
      </c>
      <c r="F529" s="24" t="inlineStr">
        <is>
          <t>—</t>
        </is>
      </c>
      <c r="G529" s="24" t="inlineStr">
        <is>
          <t>—</t>
        </is>
      </c>
      <c r="H529" s="24" t="inlineStr">
        <is>
          <t>—</t>
        </is>
      </c>
      <c r="I529" s="21" t="inlineStr">
        <is>
          <t>Цена зависит от стоимости объекта</t>
        </is>
      </c>
      <c r="J529" s="23" t="inlineStr">
        <is>
          <t>2026-06-10</t>
        </is>
      </c>
    </row>
    <row r="530">
      <c r="A530" s="21" t="inlineStr">
        <is>
          <t>Аренда</t>
        </is>
      </c>
      <c r="B530" s="21" t="inlineStr">
        <is>
          <t>Коммерческая</t>
        </is>
      </c>
      <c r="C530" s="21" t="inlineStr">
        <is>
          <t>Гараж</t>
        </is>
      </c>
      <c r="D530" s="21" t="inlineStr">
        <is>
          <t>Москва</t>
        </is>
      </c>
      <c r="E530" s="22" t="n">
        <v>108</v>
      </c>
      <c r="F530" s="22" t="n">
        <v>299</v>
      </c>
      <c r="G530" s="22" t="n">
        <v>123</v>
      </c>
      <c r="H530" s="22" t="n">
        <v>38</v>
      </c>
      <c r="I530" s="21" t="inlineStr">
        <is>
          <t>Цена зависит от стоимости объекта</t>
        </is>
      </c>
      <c r="J530" s="23" t="inlineStr">
        <is>
          <t>2026-06-10</t>
        </is>
      </c>
    </row>
    <row r="531">
      <c r="A531" s="21" t="inlineStr">
        <is>
          <t>Аренда</t>
        </is>
      </c>
      <c r="B531" s="21" t="inlineStr">
        <is>
          <t>Коммерческая</t>
        </is>
      </c>
      <c r="C531" s="21" t="inlineStr">
        <is>
          <t>Гараж</t>
        </is>
      </c>
      <c r="D531" s="21" t="inlineStr">
        <is>
          <t>Санкт-Петербург</t>
        </is>
      </c>
      <c r="E531" s="22" t="n">
        <v>102</v>
      </c>
      <c r="F531" s="22" t="n">
        <v>143</v>
      </c>
      <c r="G531" s="22" t="n">
        <v>63</v>
      </c>
      <c r="H531" s="22" t="n">
        <v>18</v>
      </c>
      <c r="I531" s="21" t="inlineStr">
        <is>
          <t>Цена зависит от стоимости объекта</t>
        </is>
      </c>
      <c r="J531" s="23" t="inlineStr">
        <is>
          <t>2026-06-10</t>
        </is>
      </c>
    </row>
    <row r="532">
      <c r="A532" s="21" t="inlineStr">
        <is>
          <t>Аренда</t>
        </is>
      </c>
      <c r="B532" s="21" t="inlineStr">
        <is>
          <t>Коммерческая</t>
        </is>
      </c>
      <c r="C532" s="21" t="inlineStr">
        <is>
          <t>Гараж</t>
        </is>
      </c>
      <c r="D532" s="21" t="inlineStr">
        <is>
          <t>Новосибирск</t>
        </is>
      </c>
      <c r="E532" s="22" t="n">
        <v>102</v>
      </c>
      <c r="F532" s="22" t="n">
        <v>346</v>
      </c>
      <c r="G532" s="22" t="n">
        <v>159</v>
      </c>
      <c r="H532" s="22" t="n">
        <v>48</v>
      </c>
      <c r="I532" s="21" t="inlineStr">
        <is>
          <t>Цена зависит от стоимости объекта</t>
        </is>
      </c>
      <c r="J532" s="23" t="inlineStr">
        <is>
          <t>2026-06-10</t>
        </is>
      </c>
    </row>
    <row r="533">
      <c r="A533" s="21" t="inlineStr">
        <is>
          <t>Аренда</t>
        </is>
      </c>
      <c r="B533" s="21" t="inlineStr">
        <is>
          <t>Коммерческая</t>
        </is>
      </c>
      <c r="C533" s="21" t="inlineStr">
        <is>
          <t>Гараж</t>
        </is>
      </c>
      <c r="D533" s="21" t="inlineStr">
        <is>
          <t>Екатеринбург</t>
        </is>
      </c>
      <c r="E533" s="22" t="n">
        <v>102</v>
      </c>
      <c r="F533" s="22" t="n">
        <v>346</v>
      </c>
      <c r="G533" s="22" t="n">
        <v>175</v>
      </c>
      <c r="H533" s="22" t="n">
        <v>53</v>
      </c>
      <c r="I533" s="21" t="inlineStr">
        <is>
          <t>Цена зависит от стоимости объекта</t>
        </is>
      </c>
      <c r="J533" s="23" t="inlineStr">
        <is>
          <t>2026-06-10</t>
        </is>
      </c>
    </row>
    <row r="534">
      <c r="A534" s="21" t="inlineStr">
        <is>
          <t>Аренда</t>
        </is>
      </c>
      <c r="B534" s="21" t="inlineStr">
        <is>
          <t>Коммерческая</t>
        </is>
      </c>
      <c r="C534" s="21" t="inlineStr">
        <is>
          <t>Гараж</t>
        </is>
      </c>
      <c r="D534" s="21" t="inlineStr">
        <is>
          <t>Казань</t>
        </is>
      </c>
      <c r="E534" s="22" t="n">
        <v>108</v>
      </c>
      <c r="F534" s="22" t="n">
        <v>98</v>
      </c>
      <c r="G534" s="22" t="n">
        <v>42</v>
      </c>
      <c r="H534" s="22" t="n">
        <v>14</v>
      </c>
      <c r="I534" s="21" t="inlineStr">
        <is>
          <t>Цена зависит от стоимости объекта</t>
        </is>
      </c>
      <c r="J534" s="23" t="inlineStr">
        <is>
          <t>2026-06-10</t>
        </is>
      </c>
    </row>
    <row r="535">
      <c r="A535" s="21" t="inlineStr">
        <is>
          <t>Аренда</t>
        </is>
      </c>
      <c r="B535" s="21" t="inlineStr">
        <is>
          <t>Коммерческая</t>
        </is>
      </c>
      <c r="C535" s="21" t="inlineStr">
        <is>
          <t>Гараж</t>
        </is>
      </c>
      <c r="D535" s="21" t="inlineStr">
        <is>
          <t>Красноярск</t>
        </is>
      </c>
      <c r="E535" s="22" t="n">
        <v>108</v>
      </c>
      <c r="F535" s="24" t="inlineStr">
        <is>
          <t>—</t>
        </is>
      </c>
      <c r="G535" s="24" t="inlineStr">
        <is>
          <t>—</t>
        </is>
      </c>
      <c r="H535" s="24" t="inlineStr">
        <is>
          <t>—</t>
        </is>
      </c>
      <c r="I535" s="21" t="inlineStr">
        <is>
          <t>Цена зависит от стоимости объекта</t>
        </is>
      </c>
      <c r="J535" s="23" t="inlineStr">
        <is>
          <t>2026-06-10</t>
        </is>
      </c>
    </row>
    <row r="536">
      <c r="A536" s="21" t="inlineStr">
        <is>
          <t>Аренда</t>
        </is>
      </c>
      <c r="B536" s="21" t="inlineStr">
        <is>
          <t>Коммерческая</t>
        </is>
      </c>
      <c r="C536" s="21" t="inlineStr">
        <is>
          <t>Гараж</t>
        </is>
      </c>
      <c r="D536" s="21" t="inlineStr">
        <is>
          <t>Нижний Новгород</t>
        </is>
      </c>
      <c r="E536" s="22" t="n">
        <v>108</v>
      </c>
      <c r="F536" s="22" t="n">
        <v>98</v>
      </c>
      <c r="G536" s="22" t="n">
        <v>42</v>
      </c>
      <c r="H536" s="22" t="n">
        <v>14</v>
      </c>
      <c r="I536" s="21" t="inlineStr">
        <is>
          <t>Цена зависит от стоимости объекта</t>
        </is>
      </c>
      <c r="J536" s="23" t="inlineStr">
        <is>
          <t>2026-06-10</t>
        </is>
      </c>
    </row>
    <row r="537">
      <c r="A537" s="21" t="inlineStr">
        <is>
          <t>Аренда</t>
        </is>
      </c>
      <c r="B537" s="21" t="inlineStr">
        <is>
          <t>Коммерческая</t>
        </is>
      </c>
      <c r="C537" s="21" t="inlineStr">
        <is>
          <t>Гараж</t>
        </is>
      </c>
      <c r="D537" s="21" t="inlineStr">
        <is>
          <t>Челябинск</t>
        </is>
      </c>
      <c r="E537" s="22" t="n">
        <v>108</v>
      </c>
      <c r="F537" s="22" t="n">
        <v>220</v>
      </c>
      <c r="G537" s="22" t="n">
        <v>101</v>
      </c>
      <c r="H537" s="22" t="n">
        <v>30</v>
      </c>
      <c r="I537" s="21" t="inlineStr">
        <is>
          <t>Цена зависит от стоимости объекта</t>
        </is>
      </c>
      <c r="J537" s="23" t="inlineStr">
        <is>
          <t>2026-06-10</t>
        </is>
      </c>
    </row>
    <row r="538">
      <c r="A538" s="21" t="inlineStr">
        <is>
          <t>Аренда</t>
        </is>
      </c>
      <c r="B538" s="21" t="inlineStr">
        <is>
          <t>Коммерческая</t>
        </is>
      </c>
      <c r="C538" s="21" t="inlineStr">
        <is>
          <t>Гараж</t>
        </is>
      </c>
      <c r="D538" s="21" t="inlineStr">
        <is>
          <t>Уфа</t>
        </is>
      </c>
      <c r="E538" s="22" t="n">
        <v>108</v>
      </c>
      <c r="F538" s="22" t="n">
        <v>98</v>
      </c>
      <c r="G538" s="22" t="n">
        <v>42</v>
      </c>
      <c r="H538" s="22" t="n">
        <v>14</v>
      </c>
      <c r="I538" s="21" t="inlineStr">
        <is>
          <t>Цена зависит от стоимости объекта</t>
        </is>
      </c>
      <c r="J538" s="23" t="inlineStr">
        <is>
          <t>2026-06-10</t>
        </is>
      </c>
    </row>
    <row r="539">
      <c r="A539" s="21" t="inlineStr">
        <is>
          <t>Аренда</t>
        </is>
      </c>
      <c r="B539" s="21" t="inlineStr">
        <is>
          <t>Коммерческая</t>
        </is>
      </c>
      <c r="C539" s="21" t="inlineStr">
        <is>
          <t>Гараж</t>
        </is>
      </c>
      <c r="D539" s="21" t="inlineStr">
        <is>
          <t>Краснодар</t>
        </is>
      </c>
      <c r="E539" s="22" t="n">
        <v>3</v>
      </c>
      <c r="F539" s="22" t="n">
        <v>101</v>
      </c>
      <c r="G539" s="22" t="n">
        <v>44</v>
      </c>
      <c r="H539" s="22" t="n">
        <v>15</v>
      </c>
      <c r="I539" s="21" t="inlineStr">
        <is>
          <t>Цена зависит от стоимости объекта</t>
        </is>
      </c>
      <c r="J539" s="23" t="inlineStr">
        <is>
          <t>2026-06-10</t>
        </is>
      </c>
    </row>
    <row r="540">
      <c r="A540" s="21" t="inlineStr">
        <is>
          <t>Аренда</t>
        </is>
      </c>
      <c r="B540" s="21" t="inlineStr">
        <is>
          <t>Коммерческая</t>
        </is>
      </c>
      <c r="C540" s="21" t="inlineStr">
        <is>
          <t>Гараж</t>
        </is>
      </c>
      <c r="D540" s="21" t="inlineStr">
        <is>
          <t>Самара</t>
        </is>
      </c>
      <c r="E540" s="22" t="n">
        <v>108</v>
      </c>
      <c r="F540" s="24" t="inlineStr">
        <is>
          <t>—</t>
        </is>
      </c>
      <c r="G540" s="24" t="inlineStr">
        <is>
          <t>—</t>
        </is>
      </c>
      <c r="H540" s="24" t="inlineStr">
        <is>
          <t>—</t>
        </is>
      </c>
      <c r="I540" s="21" t="inlineStr">
        <is>
          <t>Цена зависит от стоимости объекта</t>
        </is>
      </c>
      <c r="J540" s="23" t="inlineStr">
        <is>
          <t>2026-06-10</t>
        </is>
      </c>
    </row>
    <row r="541">
      <c r="A541" s="21" t="inlineStr">
        <is>
          <t>Аренда</t>
        </is>
      </c>
      <c r="B541" s="21" t="inlineStr">
        <is>
          <t>Коммерческая</t>
        </is>
      </c>
      <c r="C541" s="21" t="inlineStr">
        <is>
          <t>Гараж</t>
        </is>
      </c>
      <c r="D541" s="21" t="inlineStr">
        <is>
          <t>Ростов-на-Дону</t>
        </is>
      </c>
      <c r="E541" s="22" t="n">
        <v>36</v>
      </c>
      <c r="F541" s="22" t="n">
        <v>102</v>
      </c>
      <c r="G541" s="22" t="n">
        <v>46</v>
      </c>
      <c r="H541" s="22" t="n">
        <v>16</v>
      </c>
      <c r="I541" s="21" t="inlineStr">
        <is>
          <t>Цена зависит от стоимости объекта</t>
        </is>
      </c>
      <c r="J541" s="23" t="inlineStr">
        <is>
          <t>2026-06-10</t>
        </is>
      </c>
    </row>
    <row r="542">
      <c r="A542" s="21" t="inlineStr">
        <is>
          <t>Аренда</t>
        </is>
      </c>
      <c r="B542" s="21" t="inlineStr">
        <is>
          <t>Коммерческая</t>
        </is>
      </c>
      <c r="C542" s="21" t="inlineStr">
        <is>
          <t>Гараж</t>
        </is>
      </c>
      <c r="D542" s="21" t="inlineStr">
        <is>
          <t>Омск</t>
        </is>
      </c>
      <c r="E542" s="22" t="n">
        <v>9</v>
      </c>
      <c r="F542" s="22" t="n">
        <v>171</v>
      </c>
      <c r="G542" s="22" t="n">
        <v>94</v>
      </c>
      <c r="H542" s="22" t="n">
        <v>29</v>
      </c>
      <c r="I542" s="21" t="inlineStr">
        <is>
          <t>Цена зависит от стоимости объекта</t>
        </is>
      </c>
      <c r="J542" s="23" t="inlineStr">
        <is>
          <t>2026-06-10</t>
        </is>
      </c>
    </row>
    <row r="543">
      <c r="A543" s="21" t="inlineStr">
        <is>
          <t>Аренда</t>
        </is>
      </c>
      <c r="B543" s="21" t="inlineStr">
        <is>
          <t>Коммерческая</t>
        </is>
      </c>
      <c r="C543" s="21" t="inlineStr">
        <is>
          <t>Гараж</t>
        </is>
      </c>
      <c r="D543" s="21" t="inlineStr">
        <is>
          <t>Воронеж</t>
        </is>
      </c>
      <c r="E543" s="22" t="n">
        <v>108</v>
      </c>
      <c r="F543" s="24" t="inlineStr">
        <is>
          <t>—</t>
        </is>
      </c>
      <c r="G543" s="24" t="inlineStr">
        <is>
          <t>—</t>
        </is>
      </c>
      <c r="H543" s="24" t="inlineStr">
        <is>
          <t>—</t>
        </is>
      </c>
      <c r="I543" s="21" t="inlineStr">
        <is>
          <t>Цена зависит от стоимости объекта</t>
        </is>
      </c>
      <c r="J543" s="23" t="inlineStr">
        <is>
          <t>2026-06-10</t>
        </is>
      </c>
    </row>
    <row r="544">
      <c r="A544" s="21" t="inlineStr">
        <is>
          <t>Аренда</t>
        </is>
      </c>
      <c r="B544" s="21" t="inlineStr">
        <is>
          <t>Коммерческая</t>
        </is>
      </c>
      <c r="C544" s="21" t="inlineStr">
        <is>
          <t>Гараж</t>
        </is>
      </c>
      <c r="D544" s="21" t="inlineStr">
        <is>
          <t>Пермь</t>
        </is>
      </c>
      <c r="E544" s="22" t="n">
        <v>108</v>
      </c>
      <c r="F544" s="24" t="inlineStr">
        <is>
          <t>—</t>
        </is>
      </c>
      <c r="G544" s="24" t="inlineStr">
        <is>
          <t>—</t>
        </is>
      </c>
      <c r="H544" s="24" t="inlineStr">
        <is>
          <t>—</t>
        </is>
      </c>
      <c r="I544" s="21" t="inlineStr">
        <is>
          <t>Цена зависит от стоимости объекта</t>
        </is>
      </c>
      <c r="J544" s="23" t="inlineStr">
        <is>
          <t>2026-06-10</t>
        </is>
      </c>
    </row>
    <row r="545">
      <c r="A545" s="21" t="inlineStr">
        <is>
          <t>Аренда</t>
        </is>
      </c>
      <c r="B545" s="21" t="inlineStr">
        <is>
          <t>Коммерческая</t>
        </is>
      </c>
      <c r="C545" s="21" t="inlineStr">
        <is>
          <t>Гараж</t>
        </is>
      </c>
      <c r="D545" s="21" t="inlineStr">
        <is>
          <t>Волгоград</t>
        </is>
      </c>
      <c r="E545" s="22" t="n">
        <v>108</v>
      </c>
      <c r="F545" s="24" t="inlineStr">
        <is>
          <t>—</t>
        </is>
      </c>
      <c r="G545" s="24" t="inlineStr">
        <is>
          <t>—</t>
        </is>
      </c>
      <c r="H545" s="24" t="inlineStr">
        <is>
          <t>—</t>
        </is>
      </c>
      <c r="I545" s="21" t="inlineStr">
        <is>
          <t>Цена зависит от стоимости объекта</t>
        </is>
      </c>
      <c r="J545" s="23" t="inlineStr">
        <is>
          <t>2026-06-10</t>
        </is>
      </c>
    </row>
    <row r="546">
      <c r="A546" s="21" t="inlineStr">
        <is>
          <t>Аренда</t>
        </is>
      </c>
      <c r="B546" s="21" t="inlineStr">
        <is>
          <t>Коммерческая</t>
        </is>
      </c>
      <c r="C546" s="21" t="inlineStr">
        <is>
          <t>Бизнес</t>
        </is>
      </c>
      <c r="D546" s="21" t="inlineStr">
        <is>
          <t>Москва</t>
        </is>
      </c>
      <c r="E546" s="22" t="n">
        <v>3570</v>
      </c>
      <c r="F546" s="22" t="n">
        <v>1090</v>
      </c>
      <c r="G546" s="22" t="n">
        <v>588</v>
      </c>
      <c r="H546" s="22" t="n">
        <v>271</v>
      </c>
      <c r="I546" s="21" t="inlineStr">
        <is>
          <t>Цена зависит от стоимости объекта</t>
        </is>
      </c>
      <c r="J546" s="23" t="inlineStr">
        <is>
          <t>2026-06-10</t>
        </is>
      </c>
    </row>
    <row r="547">
      <c r="A547" s="21" t="inlineStr">
        <is>
          <t>Аренда</t>
        </is>
      </c>
      <c r="B547" s="21" t="inlineStr">
        <is>
          <t>Коммерческая</t>
        </is>
      </c>
      <c r="C547" s="21" t="inlineStr">
        <is>
          <t>Бизнес</t>
        </is>
      </c>
      <c r="D547" s="21" t="inlineStr">
        <is>
          <t>Санкт-Петербург</t>
        </is>
      </c>
      <c r="E547" s="22" t="n">
        <v>1476</v>
      </c>
      <c r="F547" s="22" t="n">
        <v>752</v>
      </c>
      <c r="G547" s="22" t="n">
        <v>677</v>
      </c>
      <c r="H547" s="22" t="n">
        <v>618</v>
      </c>
      <c r="I547" s="21" t="inlineStr">
        <is>
          <t>Цена зависит от стоимости объекта</t>
        </is>
      </c>
      <c r="J547" s="23" t="inlineStr">
        <is>
          <t>2026-06-10</t>
        </is>
      </c>
    </row>
    <row r="548">
      <c r="A548" s="21" t="inlineStr">
        <is>
          <t>Аренда</t>
        </is>
      </c>
      <c r="B548" s="21" t="inlineStr">
        <is>
          <t>Коммерческая</t>
        </is>
      </c>
      <c r="C548" s="21" t="inlineStr">
        <is>
          <t>Бизнес</t>
        </is>
      </c>
      <c r="D548" s="21" t="inlineStr">
        <is>
          <t>Новосибирск</t>
        </is>
      </c>
      <c r="E548" s="22" t="n">
        <v>1500</v>
      </c>
      <c r="F548" s="22" t="n">
        <v>419</v>
      </c>
      <c r="G548" s="22" t="n">
        <v>190</v>
      </c>
      <c r="H548" s="22" t="n">
        <v>56</v>
      </c>
      <c r="I548" s="21" t="inlineStr">
        <is>
          <t>Цена зависит от стоимости объекта</t>
        </is>
      </c>
      <c r="J548" s="23" t="inlineStr">
        <is>
          <t>2026-06-10</t>
        </is>
      </c>
    </row>
    <row r="549">
      <c r="A549" s="21" t="inlineStr">
        <is>
          <t>Аренда</t>
        </is>
      </c>
      <c r="B549" s="21" t="inlineStr">
        <is>
          <t>Коммерческая</t>
        </is>
      </c>
      <c r="C549" s="21" t="inlineStr">
        <is>
          <t>Бизнес</t>
        </is>
      </c>
      <c r="D549" s="21" t="inlineStr">
        <is>
          <t>Екатеринбург</t>
        </is>
      </c>
      <c r="E549" s="22" t="n">
        <v>1470</v>
      </c>
      <c r="F549" s="22" t="n">
        <v>542</v>
      </c>
      <c r="G549" s="22" t="n">
        <v>267</v>
      </c>
      <c r="H549" s="22" t="n">
        <v>105</v>
      </c>
      <c r="I549" s="21" t="inlineStr">
        <is>
          <t>Цена зависит от стоимости объекта</t>
        </is>
      </c>
      <c r="J549" s="23" t="inlineStr">
        <is>
          <t>2026-06-10</t>
        </is>
      </c>
    </row>
    <row r="550">
      <c r="A550" s="21" t="inlineStr">
        <is>
          <t>Аренда</t>
        </is>
      </c>
      <c r="B550" s="21" t="inlineStr">
        <is>
          <t>Коммерческая</t>
        </is>
      </c>
      <c r="C550" s="21" t="inlineStr">
        <is>
          <t>Бизнес</t>
        </is>
      </c>
      <c r="D550" s="21" t="inlineStr">
        <is>
          <t>Казань</t>
        </is>
      </c>
      <c r="E550" s="22" t="n">
        <v>642</v>
      </c>
      <c r="F550" s="22" t="n">
        <v>162</v>
      </c>
      <c r="G550" s="22" t="n">
        <v>71</v>
      </c>
      <c r="H550" s="22" t="n">
        <v>23</v>
      </c>
      <c r="I550" s="21" t="inlineStr">
        <is>
          <t>Цена зависит от стоимости объекта</t>
        </is>
      </c>
      <c r="J550" s="23" t="inlineStr">
        <is>
          <t>2026-06-10</t>
        </is>
      </c>
    </row>
    <row r="551">
      <c r="A551" s="21" t="inlineStr">
        <is>
          <t>Аренда</t>
        </is>
      </c>
      <c r="B551" s="21" t="inlineStr">
        <is>
          <t>Коммерческая</t>
        </is>
      </c>
      <c r="C551" s="21" t="inlineStr">
        <is>
          <t>Бизнес</t>
        </is>
      </c>
      <c r="D551" s="21" t="inlineStr">
        <is>
          <t>Красноярск</t>
        </is>
      </c>
      <c r="E551" s="22" t="n">
        <v>741</v>
      </c>
      <c r="F551" s="24" t="inlineStr">
        <is>
          <t>—</t>
        </is>
      </c>
      <c r="G551" s="24" t="inlineStr">
        <is>
          <t>—</t>
        </is>
      </c>
      <c r="H551" s="24" t="inlineStr">
        <is>
          <t>—</t>
        </is>
      </c>
      <c r="I551" s="21" t="inlineStr">
        <is>
          <t>Цена зависит от стоимости объекта</t>
        </is>
      </c>
      <c r="J551" s="23" t="inlineStr">
        <is>
          <t>2026-06-10</t>
        </is>
      </c>
    </row>
    <row r="552">
      <c r="A552" s="21" t="inlineStr">
        <is>
          <t>Аренда</t>
        </is>
      </c>
      <c r="B552" s="21" t="inlineStr">
        <is>
          <t>Коммерческая</t>
        </is>
      </c>
      <c r="C552" s="21" t="inlineStr">
        <is>
          <t>Бизнес</t>
        </is>
      </c>
      <c r="D552" s="21" t="inlineStr">
        <is>
          <t>Нижний Новгород</t>
        </is>
      </c>
      <c r="E552" s="22" t="n">
        <v>330</v>
      </c>
      <c r="F552" s="22" t="n">
        <v>176</v>
      </c>
      <c r="G552" s="22" t="n">
        <v>74</v>
      </c>
      <c r="H552" s="22" t="n">
        <v>23</v>
      </c>
      <c r="I552" s="21" t="inlineStr">
        <is>
          <t>Цена зависит от стоимости объекта</t>
        </is>
      </c>
      <c r="J552" s="23" t="inlineStr">
        <is>
          <t>2026-06-10</t>
        </is>
      </c>
    </row>
    <row r="553">
      <c r="A553" s="21" t="inlineStr">
        <is>
          <t>Аренда</t>
        </is>
      </c>
      <c r="B553" s="21" t="inlineStr">
        <is>
          <t>Коммерческая</t>
        </is>
      </c>
      <c r="C553" s="21" t="inlineStr">
        <is>
          <t>Бизнес</t>
        </is>
      </c>
      <c r="D553" s="21" t="inlineStr">
        <is>
          <t>Челябинск</t>
        </is>
      </c>
      <c r="E553" s="22" t="n">
        <v>585</v>
      </c>
      <c r="F553" s="22" t="n">
        <v>302</v>
      </c>
      <c r="G553" s="22" t="n">
        <v>137</v>
      </c>
      <c r="H553" s="22" t="n">
        <v>41</v>
      </c>
      <c r="I553" s="21" t="inlineStr">
        <is>
          <t>Цена зависит от стоимости объекта</t>
        </is>
      </c>
      <c r="J553" s="23" t="inlineStr">
        <is>
          <t>2026-06-10</t>
        </is>
      </c>
    </row>
    <row r="554">
      <c r="A554" s="21" t="inlineStr">
        <is>
          <t>Аренда</t>
        </is>
      </c>
      <c r="B554" s="21" t="inlineStr">
        <is>
          <t>Коммерческая</t>
        </is>
      </c>
      <c r="C554" s="21" t="inlineStr">
        <is>
          <t>Бизнес</t>
        </is>
      </c>
      <c r="D554" s="21" t="inlineStr">
        <is>
          <t>Уфа</t>
        </is>
      </c>
      <c r="E554" s="22" t="n">
        <v>648</v>
      </c>
      <c r="F554" s="22" t="n">
        <v>133</v>
      </c>
      <c r="G554" s="22" t="n">
        <v>58</v>
      </c>
      <c r="H554" s="22" t="n">
        <v>18</v>
      </c>
      <c r="I554" s="21" t="inlineStr">
        <is>
          <t>Цена зависит от стоимости объекта</t>
        </is>
      </c>
      <c r="J554" s="23" t="inlineStr">
        <is>
          <t>2026-06-10</t>
        </is>
      </c>
    </row>
    <row r="555">
      <c r="A555" s="21" t="inlineStr">
        <is>
          <t>Аренда</t>
        </is>
      </c>
      <c r="B555" s="21" t="inlineStr">
        <is>
          <t>Коммерческая</t>
        </is>
      </c>
      <c r="C555" s="21" t="inlineStr">
        <is>
          <t>Бизнес</t>
        </is>
      </c>
      <c r="D555" s="21" t="inlineStr">
        <is>
          <t>Краснодар</t>
        </is>
      </c>
      <c r="E555" s="22" t="n">
        <v>570</v>
      </c>
      <c r="F555" s="22" t="n">
        <v>169</v>
      </c>
      <c r="G555" s="22" t="n">
        <v>70</v>
      </c>
      <c r="H555" s="22" t="n">
        <v>40</v>
      </c>
      <c r="I555" s="21" t="inlineStr">
        <is>
          <t>Цена зависит от стоимости объекта</t>
        </is>
      </c>
      <c r="J555" s="23" t="inlineStr">
        <is>
          <t>2026-06-10</t>
        </is>
      </c>
    </row>
    <row r="556">
      <c r="A556" s="21" t="inlineStr">
        <is>
          <t>Аренда</t>
        </is>
      </c>
      <c r="B556" s="21" t="inlineStr">
        <is>
          <t>Коммерческая</t>
        </is>
      </c>
      <c r="C556" s="21" t="inlineStr">
        <is>
          <t>Бизнес</t>
        </is>
      </c>
      <c r="D556" s="21" t="inlineStr">
        <is>
          <t>Самара</t>
        </is>
      </c>
      <c r="E556" s="22" t="n">
        <v>372</v>
      </c>
      <c r="F556" s="24" t="inlineStr">
        <is>
          <t>—</t>
        </is>
      </c>
      <c r="G556" s="24" t="inlineStr">
        <is>
          <t>—</t>
        </is>
      </c>
      <c r="H556" s="24" t="inlineStr">
        <is>
          <t>—</t>
        </is>
      </c>
      <c r="I556" s="21" t="inlineStr">
        <is>
          <t>Цена зависит от стоимости объекта</t>
        </is>
      </c>
      <c r="J556" s="23" t="inlineStr">
        <is>
          <t>2026-06-10</t>
        </is>
      </c>
    </row>
    <row r="557">
      <c r="A557" s="21" t="inlineStr">
        <is>
          <t>Аренда</t>
        </is>
      </c>
      <c r="B557" s="21" t="inlineStr">
        <is>
          <t>Коммерческая</t>
        </is>
      </c>
      <c r="C557" s="21" t="inlineStr">
        <is>
          <t>Бизнес</t>
        </is>
      </c>
      <c r="D557" s="21" t="inlineStr">
        <is>
          <t>Ростов-на-Дону</t>
        </is>
      </c>
      <c r="E557" s="22" t="n">
        <v>513</v>
      </c>
      <c r="F557" s="22" t="n">
        <v>150</v>
      </c>
      <c r="G557" s="22" t="n">
        <v>62</v>
      </c>
      <c r="H557" s="22" t="n">
        <v>20</v>
      </c>
      <c r="I557" s="21" t="inlineStr">
        <is>
          <t>Цена зависит от стоимости объекта</t>
        </is>
      </c>
      <c r="J557" s="23" t="inlineStr">
        <is>
          <t>2026-06-10</t>
        </is>
      </c>
    </row>
    <row r="558">
      <c r="A558" s="21" t="inlineStr">
        <is>
          <t>Аренда</t>
        </is>
      </c>
      <c r="B558" s="21" t="inlineStr">
        <is>
          <t>Коммерческая</t>
        </is>
      </c>
      <c r="C558" s="21" t="inlineStr">
        <is>
          <t>Бизнес</t>
        </is>
      </c>
      <c r="D558" s="21" t="inlineStr">
        <is>
          <t>Омск</t>
        </is>
      </c>
      <c r="E558" s="22" t="n">
        <v>642</v>
      </c>
      <c r="F558" s="22" t="n">
        <v>223</v>
      </c>
      <c r="G558" s="22" t="n">
        <v>120</v>
      </c>
      <c r="H558" s="22" t="n">
        <v>38</v>
      </c>
      <c r="I558" s="21" t="inlineStr">
        <is>
          <t>Цена зависит от стоимости объекта</t>
        </is>
      </c>
      <c r="J558" s="23" t="inlineStr">
        <is>
          <t>2026-06-10</t>
        </is>
      </c>
    </row>
    <row r="559">
      <c r="A559" s="21" t="inlineStr">
        <is>
          <t>Аренда</t>
        </is>
      </c>
      <c r="B559" s="21" t="inlineStr">
        <is>
          <t>Коммерческая</t>
        </is>
      </c>
      <c r="C559" s="21" t="inlineStr">
        <is>
          <t>Бизнес</t>
        </is>
      </c>
      <c r="D559" s="21" t="inlineStr">
        <is>
          <t>Воронеж</t>
        </is>
      </c>
      <c r="E559" s="22" t="n">
        <v>174</v>
      </c>
      <c r="F559" s="24" t="inlineStr">
        <is>
          <t>—</t>
        </is>
      </c>
      <c r="G559" s="24" t="inlineStr">
        <is>
          <t>—</t>
        </is>
      </c>
      <c r="H559" s="24" t="inlineStr">
        <is>
          <t>—</t>
        </is>
      </c>
      <c r="I559" s="21" t="inlineStr">
        <is>
          <t>Цена зависит от стоимости объекта</t>
        </is>
      </c>
      <c r="J559" s="23" t="inlineStr">
        <is>
          <t>2026-06-10</t>
        </is>
      </c>
    </row>
    <row r="560">
      <c r="A560" s="21" t="inlineStr">
        <is>
          <t>Аренда</t>
        </is>
      </c>
      <c r="B560" s="21" t="inlineStr">
        <is>
          <t>Коммерческая</t>
        </is>
      </c>
      <c r="C560" s="21" t="inlineStr">
        <is>
          <t>Бизнес</t>
        </is>
      </c>
      <c r="D560" s="21" t="inlineStr">
        <is>
          <t>Пермь</t>
        </is>
      </c>
      <c r="E560" s="22" t="n">
        <v>108</v>
      </c>
      <c r="F560" s="24" t="inlineStr">
        <is>
          <t>—</t>
        </is>
      </c>
      <c r="G560" s="24" t="inlineStr">
        <is>
          <t>—</t>
        </is>
      </c>
      <c r="H560" s="24" t="inlineStr">
        <is>
          <t>—</t>
        </is>
      </c>
      <c r="I560" s="21" t="inlineStr">
        <is>
          <t>Цена зависит от стоимости объекта</t>
        </is>
      </c>
      <c r="J560" s="23" t="inlineStr">
        <is>
          <t>2026-06-10</t>
        </is>
      </c>
    </row>
    <row r="561">
      <c r="A561" s="21" t="inlineStr">
        <is>
          <t>Аренда</t>
        </is>
      </c>
      <c r="B561" s="21" t="inlineStr">
        <is>
          <t>Коммерческая</t>
        </is>
      </c>
      <c r="C561" s="21" t="inlineStr">
        <is>
          <t>Бизнес</t>
        </is>
      </c>
      <c r="D561" s="21" t="inlineStr">
        <is>
          <t>Волгоград</t>
        </is>
      </c>
      <c r="E561" s="22" t="n">
        <v>234</v>
      </c>
      <c r="F561" s="24" t="inlineStr">
        <is>
          <t>—</t>
        </is>
      </c>
      <c r="G561" s="24" t="inlineStr">
        <is>
          <t>—</t>
        </is>
      </c>
      <c r="H561" s="24" t="inlineStr">
        <is>
          <t>—</t>
        </is>
      </c>
      <c r="I561" s="21" t="inlineStr">
        <is>
          <t>Цена зависит от стоимости объекта</t>
        </is>
      </c>
      <c r="J561" s="23" t="inlineStr">
        <is>
          <t>2026-06-10</t>
        </is>
      </c>
    </row>
    <row r="562">
      <c r="A562" s="21" t="inlineStr">
        <is>
          <t>Аренда</t>
        </is>
      </c>
      <c r="B562" s="21" t="inlineStr">
        <is>
          <t>Коммерческая</t>
        </is>
      </c>
      <c r="C562" s="21" t="inlineStr">
        <is>
          <t>Коммерческая земля</t>
        </is>
      </c>
      <c r="D562" s="21" t="inlineStr">
        <is>
          <t>Москва</t>
        </is>
      </c>
      <c r="E562" s="22" t="n">
        <v>1413</v>
      </c>
      <c r="F562" s="22" t="n">
        <v>889</v>
      </c>
      <c r="G562" s="22" t="n">
        <v>351</v>
      </c>
      <c r="H562" s="22" t="n">
        <v>105</v>
      </c>
      <c r="I562" s="21" t="inlineStr">
        <is>
          <t>Цена зависит от стоимости объекта</t>
        </is>
      </c>
      <c r="J562" s="23" t="inlineStr">
        <is>
          <t>2026-06-10</t>
        </is>
      </c>
    </row>
    <row r="563">
      <c r="A563" s="21" t="inlineStr">
        <is>
          <t>Аренда</t>
        </is>
      </c>
      <c r="B563" s="21" t="inlineStr">
        <is>
          <t>Коммерческая</t>
        </is>
      </c>
      <c r="C563" s="21" t="inlineStr">
        <is>
          <t>Коммерческая земля</t>
        </is>
      </c>
      <c r="D563" s="21" t="inlineStr">
        <is>
          <t>Санкт-Петербург</t>
        </is>
      </c>
      <c r="E563" s="22" t="n">
        <v>255</v>
      </c>
      <c r="F563" s="22" t="n">
        <v>635</v>
      </c>
      <c r="G563" s="22" t="n">
        <v>281</v>
      </c>
      <c r="H563" s="22" t="n">
        <v>86</v>
      </c>
      <c r="I563" s="21" t="inlineStr">
        <is>
          <t>Цена зависит от стоимости объекта</t>
        </is>
      </c>
      <c r="J563" s="23" t="inlineStr">
        <is>
          <t>2026-06-10</t>
        </is>
      </c>
    </row>
    <row r="564">
      <c r="A564" s="21" t="inlineStr">
        <is>
          <t>Аренда</t>
        </is>
      </c>
      <c r="B564" s="21" t="inlineStr">
        <is>
          <t>Коммерческая</t>
        </is>
      </c>
      <c r="C564" s="21" t="inlineStr">
        <is>
          <t>Коммерческая земля</t>
        </is>
      </c>
      <c r="D564" s="21" t="inlineStr">
        <is>
          <t>Новосибирск</t>
        </is>
      </c>
      <c r="E564" s="22" t="n">
        <v>324</v>
      </c>
      <c r="F564" s="22" t="n">
        <v>319</v>
      </c>
      <c r="G564" s="22" t="n">
        <v>150</v>
      </c>
      <c r="H564" s="22" t="n">
        <v>45</v>
      </c>
      <c r="I564" s="21" t="inlineStr">
        <is>
          <t>Цена зависит от стоимости объекта</t>
        </is>
      </c>
      <c r="J564" s="23" t="inlineStr">
        <is>
          <t>2026-06-10</t>
        </is>
      </c>
    </row>
    <row r="565">
      <c r="A565" s="21" t="inlineStr">
        <is>
          <t>Аренда</t>
        </is>
      </c>
      <c r="B565" s="21" t="inlineStr">
        <is>
          <t>Коммерческая</t>
        </is>
      </c>
      <c r="C565" s="21" t="inlineStr">
        <is>
          <t>Коммерческая земля</t>
        </is>
      </c>
      <c r="D565" s="21" t="inlineStr">
        <is>
          <t>Екатеринбург</t>
        </is>
      </c>
      <c r="E565" s="22" t="n">
        <v>204</v>
      </c>
      <c r="F565" s="22" t="n">
        <v>437</v>
      </c>
      <c r="G565" s="22" t="n">
        <v>233</v>
      </c>
      <c r="H565" s="22" t="n">
        <v>72</v>
      </c>
      <c r="I565" s="21" t="inlineStr">
        <is>
          <t>Цена зависит от стоимости объекта</t>
        </is>
      </c>
      <c r="J565" s="23" t="inlineStr">
        <is>
          <t>2026-06-10</t>
        </is>
      </c>
    </row>
    <row r="566">
      <c r="A566" s="21" t="inlineStr">
        <is>
          <t>Аренда</t>
        </is>
      </c>
      <c r="B566" s="21" t="inlineStr">
        <is>
          <t>Коммерческая</t>
        </is>
      </c>
      <c r="C566" s="21" t="inlineStr">
        <is>
          <t>Коммерческая земля</t>
        </is>
      </c>
      <c r="D566" s="21" t="inlineStr">
        <is>
          <t>Казань</t>
        </is>
      </c>
      <c r="E566" s="22" t="n">
        <v>81</v>
      </c>
      <c r="F566" s="22" t="n">
        <v>134</v>
      </c>
      <c r="G566" s="22" t="n">
        <v>58</v>
      </c>
      <c r="H566" s="22" t="n">
        <v>18</v>
      </c>
      <c r="I566" s="21" t="inlineStr">
        <is>
          <t>Цена зависит от стоимости объекта</t>
        </is>
      </c>
      <c r="J566" s="23" t="inlineStr">
        <is>
          <t>2026-06-10</t>
        </is>
      </c>
    </row>
    <row r="567">
      <c r="A567" s="21" t="inlineStr">
        <is>
          <t>Аренда</t>
        </is>
      </c>
      <c r="B567" s="21" t="inlineStr">
        <is>
          <t>Коммерческая</t>
        </is>
      </c>
      <c r="C567" s="21" t="inlineStr">
        <is>
          <t>Коммерческая земля</t>
        </is>
      </c>
      <c r="D567" s="21" t="inlineStr">
        <is>
          <t>Красноярск</t>
        </is>
      </c>
      <c r="E567" s="22" t="n">
        <v>108</v>
      </c>
      <c r="F567" s="24" t="inlineStr">
        <is>
          <t>—</t>
        </is>
      </c>
      <c r="G567" s="24" t="inlineStr">
        <is>
          <t>—</t>
        </is>
      </c>
      <c r="H567" s="24" t="inlineStr">
        <is>
          <t>—</t>
        </is>
      </c>
      <c r="I567" s="21" t="inlineStr">
        <is>
          <t>Цена зависит от стоимости объекта</t>
        </is>
      </c>
      <c r="J567" s="23" t="inlineStr">
        <is>
          <t>2026-06-10</t>
        </is>
      </c>
    </row>
    <row r="568">
      <c r="A568" s="21" t="inlineStr">
        <is>
          <t>Аренда</t>
        </is>
      </c>
      <c r="B568" s="21" t="inlineStr">
        <is>
          <t>Коммерческая</t>
        </is>
      </c>
      <c r="C568" s="21" t="inlineStr">
        <is>
          <t>Коммерческая земля</t>
        </is>
      </c>
      <c r="D568" s="21" t="inlineStr">
        <is>
          <t>Нижний Новгород</t>
        </is>
      </c>
      <c r="E568" s="22" t="n">
        <v>90</v>
      </c>
      <c r="F568" s="22" t="n">
        <v>142</v>
      </c>
      <c r="G568" s="22" t="n">
        <v>65</v>
      </c>
      <c r="H568" s="22" t="n">
        <v>20</v>
      </c>
      <c r="I568" s="21" t="inlineStr">
        <is>
          <t>Цена зависит от стоимости объекта</t>
        </is>
      </c>
      <c r="J568" s="23" t="inlineStr">
        <is>
          <t>2026-06-10</t>
        </is>
      </c>
    </row>
    <row r="569">
      <c r="A569" s="21" t="inlineStr">
        <is>
          <t>Аренда</t>
        </is>
      </c>
      <c r="B569" s="21" t="inlineStr">
        <is>
          <t>Коммерческая</t>
        </is>
      </c>
      <c r="C569" s="21" t="inlineStr">
        <is>
          <t>Коммерческая земля</t>
        </is>
      </c>
      <c r="D569" s="21" t="inlineStr">
        <is>
          <t>Челябинск</t>
        </is>
      </c>
      <c r="E569" s="22" t="n">
        <v>81</v>
      </c>
      <c r="F569" s="22" t="n">
        <v>220</v>
      </c>
      <c r="G569" s="22" t="n">
        <v>108</v>
      </c>
      <c r="H569" s="22" t="n">
        <v>32</v>
      </c>
      <c r="I569" s="21" t="inlineStr">
        <is>
          <t>Цена зависит от стоимости объекта</t>
        </is>
      </c>
      <c r="J569" s="23" t="inlineStr">
        <is>
          <t>2026-06-10</t>
        </is>
      </c>
    </row>
    <row r="570">
      <c r="A570" s="21" t="inlineStr">
        <is>
          <t>Аренда</t>
        </is>
      </c>
      <c r="B570" s="21" t="inlineStr">
        <is>
          <t>Коммерческая</t>
        </is>
      </c>
      <c r="C570" s="21" t="inlineStr">
        <is>
          <t>Коммерческая земля</t>
        </is>
      </c>
      <c r="D570" s="21" t="inlineStr">
        <is>
          <t>Уфа</t>
        </is>
      </c>
      <c r="E570" s="22" t="n">
        <v>90</v>
      </c>
      <c r="F570" s="22" t="n">
        <v>109</v>
      </c>
      <c r="G570" s="22" t="n">
        <v>48</v>
      </c>
      <c r="H570" s="22" t="n">
        <v>15</v>
      </c>
      <c r="I570" s="21" t="inlineStr">
        <is>
          <t>Цена зависит от стоимости объекта</t>
        </is>
      </c>
      <c r="J570" s="23" t="inlineStr">
        <is>
          <t>2026-06-10</t>
        </is>
      </c>
    </row>
    <row r="571">
      <c r="A571" s="21" t="inlineStr">
        <is>
          <t>Аренда</t>
        </is>
      </c>
      <c r="B571" s="21" t="inlineStr">
        <is>
          <t>Коммерческая</t>
        </is>
      </c>
      <c r="C571" s="21" t="inlineStr">
        <is>
          <t>Коммерческая земля</t>
        </is>
      </c>
      <c r="D571" s="21" t="inlineStr">
        <is>
          <t>Краснодар</t>
        </is>
      </c>
      <c r="E571" s="22" t="n">
        <v>27</v>
      </c>
      <c r="F571" s="22" t="n">
        <v>129</v>
      </c>
      <c r="G571" s="22" t="n">
        <v>58</v>
      </c>
      <c r="H571" s="22" t="n">
        <v>18</v>
      </c>
      <c r="I571" s="21" t="inlineStr">
        <is>
          <t>Цена зависит от стоимости объекта</t>
        </is>
      </c>
      <c r="J571" s="23" t="inlineStr">
        <is>
          <t>2026-06-10</t>
        </is>
      </c>
    </row>
    <row r="572">
      <c r="A572" s="21" t="inlineStr">
        <is>
          <t>Аренда</t>
        </is>
      </c>
      <c r="B572" s="21" t="inlineStr">
        <is>
          <t>Коммерческая</t>
        </is>
      </c>
      <c r="C572" s="21" t="inlineStr">
        <is>
          <t>Коммерческая земля</t>
        </is>
      </c>
      <c r="D572" s="21" t="inlineStr">
        <is>
          <t>Самара</t>
        </is>
      </c>
      <c r="E572" s="22" t="n">
        <v>174</v>
      </c>
      <c r="F572" s="24" t="inlineStr">
        <is>
          <t>—</t>
        </is>
      </c>
      <c r="G572" s="24" t="inlineStr">
        <is>
          <t>—</t>
        </is>
      </c>
      <c r="H572" s="24" t="inlineStr">
        <is>
          <t>—</t>
        </is>
      </c>
      <c r="I572" s="21" t="inlineStr">
        <is>
          <t>Цена зависит от стоимости объекта</t>
        </is>
      </c>
      <c r="J572" s="23" t="inlineStr">
        <is>
          <t>2026-06-10</t>
        </is>
      </c>
    </row>
    <row r="573">
      <c r="A573" s="21" t="inlineStr">
        <is>
          <t>Аренда</t>
        </is>
      </c>
      <c r="B573" s="21" t="inlineStr">
        <is>
          <t>Коммерческая</t>
        </is>
      </c>
      <c r="C573" s="21" t="inlineStr">
        <is>
          <t>Коммерческая земля</t>
        </is>
      </c>
      <c r="D573" s="21" t="inlineStr">
        <is>
          <t>Ростов-на-Дону</t>
        </is>
      </c>
      <c r="E573" s="22" t="n">
        <v>81</v>
      </c>
      <c r="F573" s="22" t="n">
        <v>119</v>
      </c>
      <c r="G573" s="22" t="n">
        <v>51</v>
      </c>
      <c r="H573" s="22" t="n">
        <v>16</v>
      </c>
      <c r="I573" s="21" t="inlineStr">
        <is>
          <t>Цена зависит от стоимости объекта</t>
        </is>
      </c>
      <c r="J573" s="23" t="inlineStr">
        <is>
          <t>2026-06-10</t>
        </is>
      </c>
    </row>
    <row r="574">
      <c r="A574" s="21" t="inlineStr">
        <is>
          <t>Аренда</t>
        </is>
      </c>
      <c r="B574" s="21" t="inlineStr">
        <is>
          <t>Коммерческая</t>
        </is>
      </c>
      <c r="C574" s="21" t="inlineStr">
        <is>
          <t>Коммерческая земля</t>
        </is>
      </c>
      <c r="D574" s="21" t="inlineStr">
        <is>
          <t>Омск</t>
        </is>
      </c>
      <c r="E574" s="22" t="n">
        <v>186</v>
      </c>
      <c r="F574" s="22" t="n">
        <v>187</v>
      </c>
      <c r="G574" s="22" t="n">
        <v>103</v>
      </c>
      <c r="H574" s="22" t="n">
        <v>32</v>
      </c>
      <c r="I574" s="21" t="inlineStr">
        <is>
          <t>Цена зависит от стоимости объекта</t>
        </is>
      </c>
      <c r="J574" s="23" t="inlineStr">
        <is>
          <t>2026-06-10</t>
        </is>
      </c>
    </row>
    <row r="575">
      <c r="A575" s="21" t="inlineStr">
        <is>
          <t>Аренда</t>
        </is>
      </c>
      <c r="B575" s="21" t="inlineStr">
        <is>
          <t>Коммерческая</t>
        </is>
      </c>
      <c r="C575" s="21" t="inlineStr">
        <is>
          <t>Коммерческая земля</t>
        </is>
      </c>
      <c r="D575" s="21" t="inlineStr">
        <is>
          <t>Воронеж</t>
        </is>
      </c>
      <c r="E575" s="22" t="n">
        <v>108</v>
      </c>
      <c r="F575" s="24" t="inlineStr">
        <is>
          <t>—</t>
        </is>
      </c>
      <c r="G575" s="24" t="inlineStr">
        <is>
          <t>—</t>
        </is>
      </c>
      <c r="H575" s="24" t="inlineStr">
        <is>
          <t>—</t>
        </is>
      </c>
      <c r="I575" s="21" t="inlineStr">
        <is>
          <t>Цена зависит от стоимости объекта</t>
        </is>
      </c>
      <c r="J575" s="23" t="inlineStr">
        <is>
          <t>2026-06-10</t>
        </is>
      </c>
    </row>
    <row r="576">
      <c r="A576" s="21" t="inlineStr">
        <is>
          <t>Аренда</t>
        </is>
      </c>
      <c r="B576" s="21" t="inlineStr">
        <is>
          <t>Коммерческая</t>
        </is>
      </c>
      <c r="C576" s="21" t="inlineStr">
        <is>
          <t>Коммерческая земля</t>
        </is>
      </c>
      <c r="D576" s="21" t="inlineStr">
        <is>
          <t>Пермь</t>
        </is>
      </c>
      <c r="E576" s="22" t="n">
        <v>108</v>
      </c>
      <c r="F576" s="24" t="inlineStr">
        <is>
          <t>—</t>
        </is>
      </c>
      <c r="G576" s="24" t="inlineStr">
        <is>
          <t>—</t>
        </is>
      </c>
      <c r="H576" s="24" t="inlineStr">
        <is>
          <t>—</t>
        </is>
      </c>
      <c r="I576" s="21" t="inlineStr">
        <is>
          <t>Цена зависит от стоимости объекта</t>
        </is>
      </c>
      <c r="J576" s="23" t="inlineStr">
        <is>
          <t>2026-06-10</t>
        </is>
      </c>
    </row>
    <row r="577">
      <c r="A577" s="21" t="inlineStr">
        <is>
          <t>Аренда</t>
        </is>
      </c>
      <c r="B577" s="21" t="inlineStr">
        <is>
          <t>Коммерческая</t>
        </is>
      </c>
      <c r="C577" s="21" t="inlineStr">
        <is>
          <t>Коммерческая земля</t>
        </is>
      </c>
      <c r="D577" s="21" t="inlineStr">
        <is>
          <t>Волгоград</t>
        </is>
      </c>
      <c r="E577" s="22" t="n">
        <v>108</v>
      </c>
      <c r="F577" s="24" t="inlineStr">
        <is>
          <t>—</t>
        </is>
      </c>
      <c r="G577" s="24" t="inlineStr">
        <is>
          <t>—</t>
        </is>
      </c>
      <c r="H577" s="24" t="inlineStr">
        <is>
          <t>—</t>
        </is>
      </c>
      <c r="I577" s="21" t="inlineStr">
        <is>
          <t>Цена зависит от стоимости объекта</t>
        </is>
      </c>
      <c r="J577" s="23" t="inlineStr">
        <is>
          <t>2026-06-10</t>
        </is>
      </c>
    </row>
    <row r="578">
      <c r="A578" s="17" t="inlineStr">
        <is>
          <t>Посуточная аренда</t>
        </is>
      </c>
      <c r="B578" s="17" t="inlineStr">
        <is>
          <t>Городская</t>
        </is>
      </c>
      <c r="C578" s="18" t="inlineStr">
        <is>
          <t>Посуточная квартира</t>
        </is>
      </c>
      <c r="D578" s="18" t="inlineStr">
        <is>
          <t>Москва</t>
        </is>
      </c>
      <c r="E578" s="19" t="n">
        <v>2460</v>
      </c>
      <c r="F578" s="19" t="n">
        <v>947</v>
      </c>
      <c r="G578" s="19" t="n">
        <v>432</v>
      </c>
      <c r="H578" s="19" t="n">
        <v>128</v>
      </c>
      <c r="I578" s="18" t="n"/>
      <c r="J578" s="20" t="inlineStr">
        <is>
          <t>2026-06-10</t>
        </is>
      </c>
    </row>
    <row r="579">
      <c r="A579" s="21" t="inlineStr">
        <is>
          <t>Посуточная аренда</t>
        </is>
      </c>
      <c r="B579" s="21" t="inlineStr">
        <is>
          <t>Городская</t>
        </is>
      </c>
      <c r="C579" s="21" t="inlineStr">
        <is>
          <t>Посуточная квартира</t>
        </is>
      </c>
      <c r="D579" s="21" t="inlineStr">
        <is>
          <t>Санкт-Петербург</t>
        </is>
      </c>
      <c r="E579" s="22" t="n">
        <v>1173</v>
      </c>
      <c r="F579" s="22" t="n">
        <v>478</v>
      </c>
      <c r="G579" s="22" t="n">
        <v>239</v>
      </c>
      <c r="H579" s="22" t="n">
        <v>71</v>
      </c>
      <c r="I579" s="21" t="n"/>
      <c r="J579" s="23" t="inlineStr">
        <is>
          <t>2026-06-10</t>
        </is>
      </c>
    </row>
    <row r="580">
      <c r="A580" s="21" t="inlineStr">
        <is>
          <t>Посуточная аренда</t>
        </is>
      </c>
      <c r="B580" s="21" t="inlineStr">
        <is>
          <t>Городская</t>
        </is>
      </c>
      <c r="C580" s="21" t="inlineStr">
        <is>
          <t>Посуточная квартира</t>
        </is>
      </c>
      <c r="D580" s="21" t="inlineStr">
        <is>
          <t>Новосибирск</t>
        </is>
      </c>
      <c r="E580" s="22" t="n">
        <v>1530</v>
      </c>
      <c r="F580" s="22" t="n">
        <v>354</v>
      </c>
      <c r="G580" s="22" t="n">
        <v>186</v>
      </c>
      <c r="H580" s="22" t="n">
        <v>55</v>
      </c>
      <c r="I580" s="21" t="n"/>
      <c r="J580" s="23" t="inlineStr">
        <is>
          <t>2026-06-10</t>
        </is>
      </c>
    </row>
    <row r="581">
      <c r="A581" s="21" t="inlineStr">
        <is>
          <t>Посуточная аренда</t>
        </is>
      </c>
      <c r="B581" s="21" t="inlineStr">
        <is>
          <t>Городская</t>
        </is>
      </c>
      <c r="C581" s="21" t="inlineStr">
        <is>
          <t>Посуточная квартира</t>
        </is>
      </c>
      <c r="D581" s="21" t="inlineStr">
        <is>
          <t>Екатеринбург</t>
        </is>
      </c>
      <c r="E581" s="22" t="n">
        <v>1155</v>
      </c>
      <c r="F581" s="22" t="n">
        <v>333</v>
      </c>
      <c r="G581" s="22" t="n">
        <v>185</v>
      </c>
      <c r="H581" s="22" t="n">
        <v>55</v>
      </c>
      <c r="I581" s="21" t="n"/>
      <c r="J581" s="23" t="inlineStr">
        <is>
          <t>2026-06-10</t>
        </is>
      </c>
    </row>
    <row r="582">
      <c r="A582" s="21" t="inlineStr">
        <is>
          <t>Посуточная аренда</t>
        </is>
      </c>
      <c r="B582" s="21" t="inlineStr">
        <is>
          <t>Городская</t>
        </is>
      </c>
      <c r="C582" s="21" t="inlineStr">
        <is>
          <t>Посуточная квартира</t>
        </is>
      </c>
      <c r="D582" s="21" t="inlineStr">
        <is>
          <t>Казань</t>
        </is>
      </c>
      <c r="E582" s="22" t="n">
        <v>426</v>
      </c>
      <c r="F582" s="22" t="n">
        <v>204</v>
      </c>
      <c r="G582" s="22" t="n">
        <v>97</v>
      </c>
      <c r="H582" s="22" t="n">
        <v>28</v>
      </c>
      <c r="I582" s="21" t="n"/>
      <c r="J582" s="23" t="inlineStr">
        <is>
          <t>2026-06-10</t>
        </is>
      </c>
    </row>
    <row r="583">
      <c r="A583" s="21" t="inlineStr">
        <is>
          <t>Посуточная аренда</t>
        </is>
      </c>
      <c r="B583" s="21" t="inlineStr">
        <is>
          <t>Городская</t>
        </is>
      </c>
      <c r="C583" s="21" t="inlineStr">
        <is>
          <t>Посуточная квартира</t>
        </is>
      </c>
      <c r="D583" s="21" t="inlineStr">
        <is>
          <t>Красноярск</t>
        </is>
      </c>
      <c r="E583" s="22" t="n">
        <v>420</v>
      </c>
      <c r="F583" s="22" t="n">
        <v>193</v>
      </c>
      <c r="G583" s="22" t="n">
        <v>93</v>
      </c>
      <c r="H583" s="22" t="n">
        <v>28</v>
      </c>
      <c r="I583" s="21" t="n"/>
      <c r="J583" s="23" t="inlineStr">
        <is>
          <t>2026-06-10</t>
        </is>
      </c>
    </row>
    <row r="584">
      <c r="A584" s="21" t="inlineStr">
        <is>
          <t>Посуточная аренда</t>
        </is>
      </c>
      <c r="B584" s="21" t="inlineStr">
        <is>
          <t>Городская</t>
        </is>
      </c>
      <c r="C584" s="21" t="inlineStr">
        <is>
          <t>Посуточная квартира</t>
        </is>
      </c>
      <c r="D584" s="21" t="inlineStr">
        <is>
          <t>Нижний Новгород</t>
        </is>
      </c>
      <c r="E584" s="22" t="n">
        <v>420</v>
      </c>
      <c r="F584" s="22" t="n">
        <v>183</v>
      </c>
      <c r="G584" s="22" t="n">
        <v>88</v>
      </c>
      <c r="H584" s="22" t="n">
        <v>25</v>
      </c>
      <c r="I584" s="21" t="n"/>
      <c r="J584" s="23" t="inlineStr">
        <is>
          <t>2026-06-10</t>
        </is>
      </c>
    </row>
    <row r="585">
      <c r="A585" s="21" t="inlineStr">
        <is>
          <t>Посуточная аренда</t>
        </is>
      </c>
      <c r="B585" s="21" t="inlineStr">
        <is>
          <t>Городская</t>
        </is>
      </c>
      <c r="C585" s="21" t="inlineStr">
        <is>
          <t>Посуточная квартира</t>
        </is>
      </c>
      <c r="D585" s="21" t="inlineStr">
        <is>
          <t>Челябинск</t>
        </is>
      </c>
      <c r="E585" s="22" t="n">
        <v>780</v>
      </c>
      <c r="F585" s="22" t="n">
        <v>267</v>
      </c>
      <c r="G585" s="22" t="n">
        <v>127</v>
      </c>
      <c r="H585" s="22" t="n">
        <v>37</v>
      </c>
      <c r="I585" s="21" t="n"/>
      <c r="J585" s="23" t="inlineStr">
        <is>
          <t>2026-06-10</t>
        </is>
      </c>
    </row>
    <row r="586">
      <c r="A586" s="21" t="inlineStr">
        <is>
          <t>Посуточная аренда</t>
        </is>
      </c>
      <c r="B586" s="21" t="inlineStr">
        <is>
          <t>Городская</t>
        </is>
      </c>
      <c r="C586" s="21" t="inlineStr">
        <is>
          <t>Посуточная квартира</t>
        </is>
      </c>
      <c r="D586" s="21" t="inlineStr">
        <is>
          <t>Уфа</t>
        </is>
      </c>
      <c r="E586" s="22" t="n">
        <v>318</v>
      </c>
      <c r="F586" s="22" t="n">
        <v>158</v>
      </c>
      <c r="G586" s="22" t="n">
        <v>76</v>
      </c>
      <c r="H586" s="22" t="n">
        <v>20</v>
      </c>
      <c r="I586" s="21" t="n"/>
      <c r="J586" s="23" t="inlineStr">
        <is>
          <t>2026-06-10</t>
        </is>
      </c>
    </row>
    <row r="587">
      <c r="A587" s="21" t="inlineStr">
        <is>
          <t>Посуточная аренда</t>
        </is>
      </c>
      <c r="B587" s="21" t="inlineStr">
        <is>
          <t>Городская</t>
        </is>
      </c>
      <c r="C587" s="21" t="inlineStr">
        <is>
          <t>Посуточная квартира</t>
        </is>
      </c>
      <c r="D587" s="21" t="inlineStr">
        <is>
          <t>Краснодар</t>
        </is>
      </c>
      <c r="E587" s="22" t="n">
        <v>420</v>
      </c>
      <c r="F587" s="22" t="n">
        <v>258</v>
      </c>
      <c r="G587" s="22" t="n">
        <v>116</v>
      </c>
      <c r="H587" s="22" t="n">
        <v>34</v>
      </c>
      <c r="I587" s="21" t="n"/>
      <c r="J587" s="23" t="inlineStr">
        <is>
          <t>2026-06-10</t>
        </is>
      </c>
    </row>
    <row r="588">
      <c r="A588" s="21" t="inlineStr">
        <is>
          <t>Посуточная аренда</t>
        </is>
      </c>
      <c r="B588" s="21" t="inlineStr">
        <is>
          <t>Городская</t>
        </is>
      </c>
      <c r="C588" s="21" t="inlineStr">
        <is>
          <t>Посуточная квартира</t>
        </is>
      </c>
      <c r="D588" s="21" t="inlineStr">
        <is>
          <t>Самара</t>
        </is>
      </c>
      <c r="E588" s="22" t="n">
        <v>570</v>
      </c>
      <c r="F588" s="22" t="n">
        <v>181</v>
      </c>
      <c r="G588" s="22" t="n">
        <v>79</v>
      </c>
      <c r="H588" s="22" t="n">
        <v>24</v>
      </c>
      <c r="I588" s="21" t="n"/>
      <c r="J588" s="23" t="inlineStr">
        <is>
          <t>2026-06-10</t>
        </is>
      </c>
    </row>
    <row r="589">
      <c r="A589" s="21" t="inlineStr">
        <is>
          <t>Посуточная аренда</t>
        </is>
      </c>
      <c r="B589" s="21" t="inlineStr">
        <is>
          <t>Городская</t>
        </is>
      </c>
      <c r="C589" s="21" t="inlineStr">
        <is>
          <t>Посуточная квартира</t>
        </is>
      </c>
      <c r="D589" s="21" t="inlineStr">
        <is>
          <t>Ростов-на-Дону</t>
        </is>
      </c>
      <c r="E589" s="22" t="n">
        <v>369</v>
      </c>
      <c r="F589" s="22" t="n">
        <v>190</v>
      </c>
      <c r="G589" s="22" t="n">
        <v>90</v>
      </c>
      <c r="H589" s="22" t="n">
        <v>26</v>
      </c>
      <c r="I589" s="21" t="n"/>
      <c r="J589" s="23" t="inlineStr">
        <is>
          <t>2026-06-10</t>
        </is>
      </c>
    </row>
    <row r="590">
      <c r="A590" s="21" t="inlineStr">
        <is>
          <t>Посуточная аренда</t>
        </is>
      </c>
      <c r="B590" s="21" t="inlineStr">
        <is>
          <t>Городская</t>
        </is>
      </c>
      <c r="C590" s="21" t="inlineStr">
        <is>
          <t>Посуточная квартира</t>
        </is>
      </c>
      <c r="D590" s="21" t="inlineStr">
        <is>
          <t>Омск</t>
        </is>
      </c>
      <c r="E590" s="22" t="n">
        <v>780</v>
      </c>
      <c r="F590" s="22" t="n">
        <v>198</v>
      </c>
      <c r="G590" s="22" t="n">
        <v>121</v>
      </c>
      <c r="H590" s="22" t="n">
        <v>40</v>
      </c>
      <c r="I590" s="21" t="n"/>
      <c r="J590" s="23" t="inlineStr">
        <is>
          <t>2026-06-10</t>
        </is>
      </c>
    </row>
    <row r="591">
      <c r="A591" s="21" t="inlineStr">
        <is>
          <t>Посуточная аренда</t>
        </is>
      </c>
      <c r="B591" s="21" t="inlineStr">
        <is>
          <t>Городская</t>
        </is>
      </c>
      <c r="C591" s="21" t="inlineStr">
        <is>
          <t>Посуточная квартира</t>
        </is>
      </c>
      <c r="D591" s="21" t="inlineStr">
        <is>
          <t>Воронеж</t>
        </is>
      </c>
      <c r="E591" s="22" t="n">
        <v>318</v>
      </c>
      <c r="F591" s="22" t="n">
        <v>92</v>
      </c>
      <c r="G591" s="22" t="n">
        <v>28</v>
      </c>
      <c r="H591" s="22" t="n">
        <v>8</v>
      </c>
      <c r="I591" s="21" t="n"/>
      <c r="J591" s="23" t="inlineStr">
        <is>
          <t>2026-06-10</t>
        </is>
      </c>
    </row>
    <row r="592">
      <c r="A592" s="21" t="inlineStr">
        <is>
          <t>Посуточная аренда</t>
        </is>
      </c>
      <c r="B592" s="21" t="inlineStr">
        <is>
          <t>Городская</t>
        </is>
      </c>
      <c r="C592" s="21" t="inlineStr">
        <is>
          <t>Посуточная квартира</t>
        </is>
      </c>
      <c r="D592" s="21" t="inlineStr">
        <is>
          <t>Пермь</t>
        </is>
      </c>
      <c r="E592" s="22" t="n">
        <v>207</v>
      </c>
      <c r="F592" s="22" t="n">
        <v>119</v>
      </c>
      <c r="G592" s="22" t="n">
        <v>87</v>
      </c>
      <c r="H592" s="22" t="n">
        <v>27</v>
      </c>
      <c r="I592" s="21" t="n"/>
      <c r="J592" s="23" t="inlineStr">
        <is>
          <t>2026-06-10</t>
        </is>
      </c>
    </row>
    <row r="593">
      <c r="A593" s="21" t="inlineStr">
        <is>
          <t>Посуточная аренда</t>
        </is>
      </c>
      <c r="B593" s="21" t="inlineStr">
        <is>
          <t>Городская</t>
        </is>
      </c>
      <c r="C593" s="21" t="inlineStr">
        <is>
          <t>Посуточная квартира</t>
        </is>
      </c>
      <c r="D593" s="21" t="inlineStr">
        <is>
          <t>Волгоград</t>
        </is>
      </c>
      <c r="E593" s="22" t="n">
        <v>342</v>
      </c>
      <c r="F593" s="22" t="n">
        <v>92</v>
      </c>
      <c r="G593" s="22" t="n">
        <v>28</v>
      </c>
      <c r="H593" s="22" t="n">
        <v>8</v>
      </c>
      <c r="I593" s="21" t="n"/>
      <c r="J593" s="23" t="inlineStr">
        <is>
          <t>2026-06-10</t>
        </is>
      </c>
    </row>
    <row r="594">
      <c r="A594" s="21" t="inlineStr">
        <is>
          <t>Посуточная аренда</t>
        </is>
      </c>
      <c r="B594" s="21" t="inlineStr">
        <is>
          <t>Городская</t>
        </is>
      </c>
      <c r="C594" s="21" t="inlineStr">
        <is>
          <t>Посуточная комната</t>
        </is>
      </c>
      <c r="D594" s="21" t="inlineStr">
        <is>
          <t>Москва</t>
        </is>
      </c>
      <c r="E594" s="22" t="n">
        <v>2460</v>
      </c>
      <c r="F594" s="22" t="n">
        <v>909</v>
      </c>
      <c r="G594" s="22" t="n">
        <v>415</v>
      </c>
      <c r="H594" s="22" t="n">
        <v>122</v>
      </c>
      <c r="I594" s="21" t="n"/>
      <c r="J594" s="23" t="inlineStr">
        <is>
          <t>2026-06-10</t>
        </is>
      </c>
    </row>
    <row r="595">
      <c r="A595" s="21" t="inlineStr">
        <is>
          <t>Посуточная аренда</t>
        </is>
      </c>
      <c r="B595" s="21" t="inlineStr">
        <is>
          <t>Городская</t>
        </is>
      </c>
      <c r="C595" s="21" t="inlineStr">
        <is>
          <t>Посуточная комната</t>
        </is>
      </c>
      <c r="D595" s="21" t="inlineStr">
        <is>
          <t>Санкт-Петербург</t>
        </is>
      </c>
      <c r="E595" s="22" t="n">
        <v>1173</v>
      </c>
      <c r="F595" s="22" t="n">
        <v>478</v>
      </c>
      <c r="G595" s="22" t="n">
        <v>230</v>
      </c>
      <c r="H595" s="22" t="n">
        <v>68</v>
      </c>
      <c r="I595" s="21" t="n"/>
      <c r="J595" s="23" t="inlineStr">
        <is>
          <t>2026-06-10</t>
        </is>
      </c>
    </row>
    <row r="596">
      <c r="A596" s="21" t="inlineStr">
        <is>
          <t>Посуточная аренда</t>
        </is>
      </c>
      <c r="B596" s="21" t="inlineStr">
        <is>
          <t>Городская</t>
        </is>
      </c>
      <c r="C596" s="21" t="inlineStr">
        <is>
          <t>Посуточная комната</t>
        </is>
      </c>
      <c r="D596" s="21" t="inlineStr">
        <is>
          <t>Новосибирск</t>
        </is>
      </c>
      <c r="E596" s="22" t="n">
        <v>1530</v>
      </c>
      <c r="F596" s="22" t="n">
        <v>276</v>
      </c>
      <c r="G596" s="22" t="n">
        <v>143</v>
      </c>
      <c r="H596" s="22" t="n">
        <v>41</v>
      </c>
      <c r="I596" s="21" t="n"/>
      <c r="J596" s="23" t="inlineStr">
        <is>
          <t>2026-06-10</t>
        </is>
      </c>
    </row>
    <row r="597">
      <c r="A597" s="21" t="inlineStr">
        <is>
          <t>Посуточная аренда</t>
        </is>
      </c>
      <c r="B597" s="21" t="inlineStr">
        <is>
          <t>Городская</t>
        </is>
      </c>
      <c r="C597" s="21" t="inlineStr">
        <is>
          <t>Посуточная комната</t>
        </is>
      </c>
      <c r="D597" s="21" t="inlineStr">
        <is>
          <t>Екатеринбург</t>
        </is>
      </c>
      <c r="E597" s="22" t="n">
        <v>1155</v>
      </c>
      <c r="F597" s="22" t="n">
        <v>289</v>
      </c>
      <c r="G597" s="22" t="n">
        <v>161</v>
      </c>
      <c r="H597" s="22" t="n">
        <v>47</v>
      </c>
      <c r="I597" s="21" t="n"/>
      <c r="J597" s="23" t="inlineStr">
        <is>
          <t>2026-06-10</t>
        </is>
      </c>
    </row>
    <row r="598">
      <c r="A598" s="21" t="inlineStr">
        <is>
          <t>Посуточная аренда</t>
        </is>
      </c>
      <c r="B598" s="21" t="inlineStr">
        <is>
          <t>Городская</t>
        </is>
      </c>
      <c r="C598" s="21" t="inlineStr">
        <is>
          <t>Посуточная комната</t>
        </is>
      </c>
      <c r="D598" s="21" t="inlineStr">
        <is>
          <t>Казань</t>
        </is>
      </c>
      <c r="E598" s="22" t="n">
        <v>426</v>
      </c>
      <c r="F598" s="22" t="n">
        <v>167</v>
      </c>
      <c r="G598" s="22" t="n">
        <v>76</v>
      </c>
      <c r="H598" s="22" t="n">
        <v>23</v>
      </c>
      <c r="I598" s="21" t="n"/>
      <c r="J598" s="23" t="inlineStr">
        <is>
          <t>2026-06-10</t>
        </is>
      </c>
    </row>
    <row r="599">
      <c r="A599" s="21" t="inlineStr">
        <is>
          <t>Посуточная аренда</t>
        </is>
      </c>
      <c r="B599" s="21" t="inlineStr">
        <is>
          <t>Городская</t>
        </is>
      </c>
      <c r="C599" s="21" t="inlineStr">
        <is>
          <t>Посуточная комната</t>
        </is>
      </c>
      <c r="D599" s="21" t="inlineStr">
        <is>
          <t>Красноярск</t>
        </is>
      </c>
      <c r="E599" s="22" t="n">
        <v>420</v>
      </c>
      <c r="F599" s="22" t="n">
        <v>161</v>
      </c>
      <c r="G599" s="22" t="n">
        <v>79</v>
      </c>
      <c r="H599" s="22" t="n">
        <v>23</v>
      </c>
      <c r="I599" s="21" t="n"/>
      <c r="J599" s="23" t="inlineStr">
        <is>
          <t>2026-06-10</t>
        </is>
      </c>
    </row>
    <row r="600">
      <c r="A600" s="21" t="inlineStr">
        <is>
          <t>Посуточная аренда</t>
        </is>
      </c>
      <c r="B600" s="21" t="inlineStr">
        <is>
          <t>Городская</t>
        </is>
      </c>
      <c r="C600" s="21" t="inlineStr">
        <is>
          <t>Посуточная комната</t>
        </is>
      </c>
      <c r="D600" s="21" t="inlineStr">
        <is>
          <t>Нижний Новгород</t>
        </is>
      </c>
      <c r="E600" s="22" t="n">
        <v>420</v>
      </c>
      <c r="F600" s="22" t="n">
        <v>176</v>
      </c>
      <c r="G600" s="22" t="n">
        <v>85</v>
      </c>
      <c r="H600" s="22" t="n">
        <v>24</v>
      </c>
      <c r="I600" s="21" t="n"/>
      <c r="J600" s="23" t="inlineStr">
        <is>
          <t>2026-06-10</t>
        </is>
      </c>
    </row>
    <row r="601">
      <c r="A601" s="21" t="inlineStr">
        <is>
          <t>Посуточная аренда</t>
        </is>
      </c>
      <c r="B601" s="21" t="inlineStr">
        <is>
          <t>Городская</t>
        </is>
      </c>
      <c r="C601" s="21" t="inlineStr">
        <is>
          <t>Посуточная комната</t>
        </is>
      </c>
      <c r="D601" s="21" t="inlineStr">
        <is>
          <t>Челябинск</t>
        </is>
      </c>
      <c r="E601" s="22" t="n">
        <v>0</v>
      </c>
      <c r="F601" s="22" t="n">
        <v>233</v>
      </c>
      <c r="G601" s="22" t="n">
        <v>111</v>
      </c>
      <c r="H601" s="22" t="n">
        <v>32</v>
      </c>
      <c r="I601" s="21" t="n"/>
      <c r="J601" s="23" t="inlineStr">
        <is>
          <t>2026-06-10</t>
        </is>
      </c>
    </row>
    <row r="602">
      <c r="A602" s="21" t="inlineStr">
        <is>
          <t>Посуточная аренда</t>
        </is>
      </c>
      <c r="B602" s="21" t="inlineStr">
        <is>
          <t>Городская</t>
        </is>
      </c>
      <c r="C602" s="21" t="inlineStr">
        <is>
          <t>Посуточная комната</t>
        </is>
      </c>
      <c r="D602" s="21" t="inlineStr">
        <is>
          <t>Уфа</t>
        </is>
      </c>
      <c r="E602" s="22" t="n">
        <v>318</v>
      </c>
      <c r="F602" s="22" t="n">
        <v>128</v>
      </c>
      <c r="G602" s="22" t="n">
        <v>62</v>
      </c>
      <c r="H602" s="22" t="n">
        <v>18</v>
      </c>
      <c r="I602" s="21" t="n"/>
      <c r="J602" s="23" t="inlineStr">
        <is>
          <t>2026-06-10</t>
        </is>
      </c>
    </row>
    <row r="603">
      <c r="A603" s="21" t="inlineStr">
        <is>
          <t>Посуточная аренда</t>
        </is>
      </c>
      <c r="B603" s="21" t="inlineStr">
        <is>
          <t>Городская</t>
        </is>
      </c>
      <c r="C603" s="21" t="inlineStr">
        <is>
          <t>Посуточная комната</t>
        </is>
      </c>
      <c r="D603" s="21" t="inlineStr">
        <is>
          <t>Краснодар</t>
        </is>
      </c>
      <c r="E603" s="22" t="n">
        <v>420</v>
      </c>
      <c r="F603" s="22" t="n">
        <v>225</v>
      </c>
      <c r="G603" s="22" t="n">
        <v>101</v>
      </c>
      <c r="H603" s="22" t="n">
        <v>29</v>
      </c>
      <c r="I603" s="21" t="n"/>
      <c r="J603" s="23" t="inlineStr">
        <is>
          <t>2026-06-10</t>
        </is>
      </c>
    </row>
    <row r="604">
      <c r="A604" s="21" t="inlineStr">
        <is>
          <t>Посуточная аренда</t>
        </is>
      </c>
      <c r="B604" s="21" t="inlineStr">
        <is>
          <t>Городская</t>
        </is>
      </c>
      <c r="C604" s="21" t="inlineStr">
        <is>
          <t>Посуточная комната</t>
        </is>
      </c>
      <c r="D604" s="21" t="inlineStr">
        <is>
          <t>Самара</t>
        </is>
      </c>
      <c r="E604" s="22" t="n">
        <v>570</v>
      </c>
      <c r="F604" s="22" t="n">
        <v>159</v>
      </c>
      <c r="G604" s="22" t="n">
        <v>72</v>
      </c>
      <c r="H604" s="22" t="n">
        <v>21</v>
      </c>
      <c r="I604" s="21" t="n"/>
      <c r="J604" s="23" t="inlineStr">
        <is>
          <t>2026-06-10</t>
        </is>
      </c>
    </row>
    <row r="605">
      <c r="A605" s="21" t="inlineStr">
        <is>
          <t>Посуточная аренда</t>
        </is>
      </c>
      <c r="B605" s="21" t="inlineStr">
        <is>
          <t>Городская</t>
        </is>
      </c>
      <c r="C605" s="21" t="inlineStr">
        <is>
          <t>Посуточная комната</t>
        </is>
      </c>
      <c r="D605" s="21" t="inlineStr">
        <is>
          <t>Ростов-на-Дону</t>
        </is>
      </c>
      <c r="E605" s="22" t="n">
        <v>369</v>
      </c>
      <c r="F605" s="22" t="n">
        <v>167</v>
      </c>
      <c r="G605" s="22" t="n">
        <v>80</v>
      </c>
      <c r="H605" s="22" t="n">
        <v>23</v>
      </c>
      <c r="I605" s="21" t="n"/>
      <c r="J605" s="23" t="inlineStr">
        <is>
          <t>2026-06-10</t>
        </is>
      </c>
    </row>
    <row r="606">
      <c r="A606" s="21" t="inlineStr">
        <is>
          <t>Посуточная аренда</t>
        </is>
      </c>
      <c r="B606" s="21" t="inlineStr">
        <is>
          <t>Городская</t>
        </is>
      </c>
      <c r="C606" s="21" t="inlineStr">
        <is>
          <t>Посуточная комната</t>
        </is>
      </c>
      <c r="D606" s="21" t="inlineStr">
        <is>
          <t>Омск</t>
        </is>
      </c>
      <c r="E606" s="22" t="n">
        <v>780</v>
      </c>
      <c r="F606" s="22" t="n">
        <v>173</v>
      </c>
      <c r="G606" s="22" t="n">
        <v>111</v>
      </c>
      <c r="H606" s="22" t="n">
        <v>36</v>
      </c>
      <c r="I606" s="21" t="n"/>
      <c r="J606" s="23" t="inlineStr">
        <is>
          <t>2026-06-10</t>
        </is>
      </c>
    </row>
    <row r="607">
      <c r="A607" s="21" t="inlineStr">
        <is>
          <t>Посуточная аренда</t>
        </is>
      </c>
      <c r="B607" s="21" t="inlineStr">
        <is>
          <t>Городская</t>
        </is>
      </c>
      <c r="C607" s="21" t="inlineStr">
        <is>
          <t>Посуточная комната</t>
        </is>
      </c>
      <c r="D607" s="21" t="inlineStr">
        <is>
          <t>Воронеж</t>
        </is>
      </c>
      <c r="E607" s="22" t="n">
        <v>318</v>
      </c>
      <c r="F607" s="22" t="n">
        <v>67</v>
      </c>
      <c r="G607" s="22" t="n">
        <v>21</v>
      </c>
      <c r="H607" s="22" t="n">
        <v>6</v>
      </c>
      <c r="I607" s="21" t="n"/>
      <c r="J607" s="23" t="inlineStr">
        <is>
          <t>2026-06-10</t>
        </is>
      </c>
    </row>
    <row r="608">
      <c r="A608" s="21" t="inlineStr">
        <is>
          <t>Посуточная аренда</t>
        </is>
      </c>
      <c r="B608" s="21" t="inlineStr">
        <is>
          <t>Городская</t>
        </is>
      </c>
      <c r="C608" s="21" t="inlineStr">
        <is>
          <t>Посуточная комната</t>
        </is>
      </c>
      <c r="D608" s="21" t="inlineStr">
        <is>
          <t>Пермь</t>
        </is>
      </c>
      <c r="E608" s="22" t="n">
        <v>207</v>
      </c>
      <c r="F608" s="22" t="n">
        <v>96</v>
      </c>
      <c r="G608" s="22" t="n">
        <v>71</v>
      </c>
      <c r="H608" s="22" t="n">
        <v>21</v>
      </c>
      <c r="I608" s="21" t="n"/>
      <c r="J608" s="23" t="inlineStr">
        <is>
          <t>2026-06-10</t>
        </is>
      </c>
    </row>
    <row r="609">
      <c r="A609" s="21" t="inlineStr">
        <is>
          <t>Посуточная аренда</t>
        </is>
      </c>
      <c r="B609" s="21" t="inlineStr">
        <is>
          <t>Городская</t>
        </is>
      </c>
      <c r="C609" s="21" t="inlineStr">
        <is>
          <t>Посуточная комната</t>
        </is>
      </c>
      <c r="D609" s="21" t="inlineStr">
        <is>
          <t>Волгоград</t>
        </is>
      </c>
      <c r="E609" s="22" t="n">
        <v>342</v>
      </c>
      <c r="F609" s="22" t="n">
        <v>67</v>
      </c>
      <c r="G609" s="22" t="n">
        <v>21</v>
      </c>
      <c r="H609" s="22" t="n">
        <v>6</v>
      </c>
      <c r="I609" s="21" t="n"/>
      <c r="J609" s="23" t="inlineStr">
        <is>
          <t>2026-06-10</t>
        </is>
      </c>
    </row>
    <row r="610">
      <c r="A610" s="21" t="inlineStr">
        <is>
          <t>Посуточная аренда</t>
        </is>
      </c>
      <c r="B610" s="21" t="inlineStr">
        <is>
          <t>Городская</t>
        </is>
      </c>
      <c r="C610" s="21" t="inlineStr">
        <is>
          <t>Посуточное койко-место</t>
        </is>
      </c>
      <c r="D610" s="21" t="inlineStr">
        <is>
          <t>Москва</t>
        </is>
      </c>
      <c r="E610" s="22" t="n">
        <v>2343</v>
      </c>
      <c r="F610" s="22" t="n">
        <v>947</v>
      </c>
      <c r="G610" s="22" t="n">
        <v>415</v>
      </c>
      <c r="H610" s="22" t="n">
        <v>122</v>
      </c>
      <c r="I610" s="21" t="n"/>
      <c r="J610" s="23" t="inlineStr">
        <is>
          <t>2026-06-10</t>
        </is>
      </c>
    </row>
    <row r="611">
      <c r="A611" s="21" t="inlineStr">
        <is>
          <t>Посуточная аренда</t>
        </is>
      </c>
      <c r="B611" s="21" t="inlineStr">
        <is>
          <t>Городская</t>
        </is>
      </c>
      <c r="C611" s="21" t="inlineStr">
        <is>
          <t>Посуточное койко-место</t>
        </is>
      </c>
      <c r="D611" s="21" t="inlineStr">
        <is>
          <t>Санкт-Петербург</t>
        </is>
      </c>
      <c r="E611" s="22" t="n">
        <v>1032</v>
      </c>
      <c r="F611" s="22" t="n">
        <v>421</v>
      </c>
      <c r="G611" s="22" t="n">
        <v>202</v>
      </c>
      <c r="H611" s="22" t="n">
        <v>60</v>
      </c>
      <c r="I611" s="21" t="n"/>
      <c r="J611" s="23" t="inlineStr">
        <is>
          <t>2026-06-10</t>
        </is>
      </c>
    </row>
    <row r="612">
      <c r="A612" s="21" t="inlineStr">
        <is>
          <t>Посуточная аренда</t>
        </is>
      </c>
      <c r="B612" s="21" t="inlineStr">
        <is>
          <t>Городская</t>
        </is>
      </c>
      <c r="C612" s="21" t="inlineStr">
        <is>
          <t>Посуточное койко-место</t>
        </is>
      </c>
      <c r="D612" s="21" t="inlineStr">
        <is>
          <t>Новосибирск</t>
        </is>
      </c>
      <c r="E612" s="22" t="n">
        <v>1530</v>
      </c>
      <c r="F612" s="22" t="n">
        <v>276</v>
      </c>
      <c r="G612" s="22" t="n">
        <v>143</v>
      </c>
      <c r="H612" s="22" t="n">
        <v>41</v>
      </c>
      <c r="I612" s="21" t="n"/>
      <c r="J612" s="23" t="inlineStr">
        <is>
          <t>2026-06-10</t>
        </is>
      </c>
    </row>
    <row r="613">
      <c r="A613" s="21" t="inlineStr">
        <is>
          <t>Посуточная аренда</t>
        </is>
      </c>
      <c r="B613" s="21" t="inlineStr">
        <is>
          <t>Городская</t>
        </is>
      </c>
      <c r="C613" s="21" t="inlineStr">
        <is>
          <t>Посуточное койко-место</t>
        </is>
      </c>
      <c r="D613" s="21" t="inlineStr">
        <is>
          <t>Екатеринбург</t>
        </is>
      </c>
      <c r="E613" s="22" t="n">
        <v>1155</v>
      </c>
      <c r="F613" s="22" t="n">
        <v>289</v>
      </c>
      <c r="G613" s="22" t="n">
        <v>161</v>
      </c>
      <c r="H613" s="22" t="n">
        <v>47</v>
      </c>
      <c r="I613" s="21" t="n"/>
      <c r="J613" s="23" t="inlineStr">
        <is>
          <t>2026-06-10</t>
        </is>
      </c>
    </row>
    <row r="614">
      <c r="A614" s="21" t="inlineStr">
        <is>
          <t>Посуточная аренда</t>
        </is>
      </c>
      <c r="B614" s="21" t="inlineStr">
        <is>
          <t>Городская</t>
        </is>
      </c>
      <c r="C614" s="21" t="inlineStr">
        <is>
          <t>Посуточное койко-место</t>
        </is>
      </c>
      <c r="D614" s="21" t="inlineStr">
        <is>
          <t>Казань</t>
        </is>
      </c>
      <c r="E614" s="22" t="n">
        <v>0</v>
      </c>
      <c r="F614" s="22" t="n">
        <v>199</v>
      </c>
      <c r="G614" s="22" t="n">
        <v>96</v>
      </c>
      <c r="H614" s="22" t="n">
        <v>28</v>
      </c>
      <c r="I614" s="21" t="n"/>
      <c r="J614" s="23" t="inlineStr">
        <is>
          <t>2026-06-10</t>
        </is>
      </c>
    </row>
    <row r="615">
      <c r="A615" s="21" t="inlineStr">
        <is>
          <t>Посуточная аренда</t>
        </is>
      </c>
      <c r="B615" s="21" t="inlineStr">
        <is>
          <t>Городская</t>
        </is>
      </c>
      <c r="C615" s="21" t="inlineStr">
        <is>
          <t>Посуточное койко-место</t>
        </is>
      </c>
      <c r="D615" s="21" t="inlineStr">
        <is>
          <t>Красноярск</t>
        </is>
      </c>
      <c r="E615" s="22" t="n">
        <v>420</v>
      </c>
      <c r="F615" s="22" t="n">
        <v>161</v>
      </c>
      <c r="G615" s="22" t="n">
        <v>79</v>
      </c>
      <c r="H615" s="22" t="n">
        <v>23</v>
      </c>
      <c r="I615" s="21" t="n"/>
      <c r="J615" s="23" t="inlineStr">
        <is>
          <t>2026-06-10</t>
        </is>
      </c>
    </row>
    <row r="616">
      <c r="A616" s="21" t="inlineStr">
        <is>
          <t>Посуточная аренда</t>
        </is>
      </c>
      <c r="B616" s="21" t="inlineStr">
        <is>
          <t>Городская</t>
        </is>
      </c>
      <c r="C616" s="21" t="inlineStr">
        <is>
          <t>Посуточное койко-место</t>
        </is>
      </c>
      <c r="D616" s="21" t="inlineStr">
        <is>
          <t>Нижний Новгород</t>
        </is>
      </c>
      <c r="E616" s="22" t="n">
        <v>420</v>
      </c>
      <c r="F616" s="22" t="n">
        <v>191</v>
      </c>
      <c r="G616" s="22" t="n">
        <v>93</v>
      </c>
      <c r="H616" s="22" t="n">
        <v>25</v>
      </c>
      <c r="I616" s="21" t="n"/>
      <c r="J616" s="23" t="inlineStr">
        <is>
          <t>2026-06-10</t>
        </is>
      </c>
    </row>
    <row r="617">
      <c r="A617" s="21" t="inlineStr">
        <is>
          <t>Посуточная аренда</t>
        </is>
      </c>
      <c r="B617" s="21" t="inlineStr">
        <is>
          <t>Городская</t>
        </is>
      </c>
      <c r="C617" s="21" t="inlineStr">
        <is>
          <t>Посуточное койко-место</t>
        </is>
      </c>
      <c r="D617" s="21" t="inlineStr">
        <is>
          <t>Челябинск</t>
        </is>
      </c>
      <c r="E617" s="22" t="n">
        <v>0</v>
      </c>
      <c r="F617" s="22" t="n">
        <v>233</v>
      </c>
      <c r="G617" s="22" t="n">
        <v>111</v>
      </c>
      <c r="H617" s="22" t="n">
        <v>32</v>
      </c>
      <c r="I617" s="21" t="n"/>
      <c r="J617" s="23" t="inlineStr">
        <is>
          <t>2026-06-10</t>
        </is>
      </c>
    </row>
    <row r="618">
      <c r="A618" s="21" t="inlineStr">
        <is>
          <t>Посуточная аренда</t>
        </is>
      </c>
      <c r="B618" s="21" t="inlineStr">
        <is>
          <t>Городская</t>
        </is>
      </c>
      <c r="C618" s="21" t="inlineStr">
        <is>
          <t>Посуточное койко-место</t>
        </is>
      </c>
      <c r="D618" s="21" t="inlineStr">
        <is>
          <t>Уфа</t>
        </is>
      </c>
      <c r="E618" s="22" t="n">
        <v>0</v>
      </c>
      <c r="F618" s="22" t="n">
        <v>128</v>
      </c>
      <c r="G618" s="22" t="n">
        <v>62</v>
      </c>
      <c r="H618" s="22" t="n">
        <v>18</v>
      </c>
      <c r="I618" s="21" t="n"/>
      <c r="J618" s="23" t="inlineStr">
        <is>
          <t>2026-06-10</t>
        </is>
      </c>
    </row>
    <row r="619">
      <c r="A619" s="21" t="inlineStr">
        <is>
          <t>Посуточная аренда</t>
        </is>
      </c>
      <c r="B619" s="21" t="inlineStr">
        <is>
          <t>Городская</t>
        </is>
      </c>
      <c r="C619" s="21" t="inlineStr">
        <is>
          <t>Посуточное койко-место</t>
        </is>
      </c>
      <c r="D619" s="21" t="inlineStr">
        <is>
          <t>Краснодар</t>
        </is>
      </c>
      <c r="E619" s="22" t="n">
        <v>420</v>
      </c>
      <c r="F619" s="22" t="n">
        <v>225</v>
      </c>
      <c r="G619" s="22" t="n">
        <v>101</v>
      </c>
      <c r="H619" s="22" t="n">
        <v>29</v>
      </c>
      <c r="I619" s="21" t="n"/>
      <c r="J619" s="23" t="inlineStr">
        <is>
          <t>2026-06-10</t>
        </is>
      </c>
    </row>
    <row r="620">
      <c r="A620" s="21" t="inlineStr">
        <is>
          <t>Посуточная аренда</t>
        </is>
      </c>
      <c r="B620" s="21" t="inlineStr">
        <is>
          <t>Городская</t>
        </is>
      </c>
      <c r="C620" s="21" t="inlineStr">
        <is>
          <t>Посуточное койко-место</t>
        </is>
      </c>
      <c r="D620" s="21" t="inlineStr">
        <is>
          <t>Самара</t>
        </is>
      </c>
      <c r="E620" s="22" t="n">
        <v>0</v>
      </c>
      <c r="F620" s="22" t="n">
        <v>159</v>
      </c>
      <c r="G620" s="22" t="n">
        <v>72</v>
      </c>
      <c r="H620" s="22" t="n">
        <v>21</v>
      </c>
      <c r="I620" s="21" t="n"/>
      <c r="J620" s="23" t="inlineStr">
        <is>
          <t>2026-06-10</t>
        </is>
      </c>
    </row>
    <row r="621">
      <c r="A621" s="21" t="inlineStr">
        <is>
          <t>Посуточная аренда</t>
        </is>
      </c>
      <c r="B621" s="21" t="inlineStr">
        <is>
          <t>Городская</t>
        </is>
      </c>
      <c r="C621" s="21" t="inlineStr">
        <is>
          <t>Посуточное койко-место</t>
        </is>
      </c>
      <c r="D621" s="21" t="inlineStr">
        <is>
          <t>Ростов-на-Дону</t>
        </is>
      </c>
      <c r="E621" s="22" t="n">
        <v>369</v>
      </c>
      <c r="F621" s="22" t="n">
        <v>167</v>
      </c>
      <c r="G621" s="22" t="n">
        <v>80</v>
      </c>
      <c r="H621" s="22" t="n">
        <v>23</v>
      </c>
      <c r="I621" s="21" t="n"/>
      <c r="J621" s="23" t="inlineStr">
        <is>
          <t>2026-06-10</t>
        </is>
      </c>
    </row>
    <row r="622">
      <c r="A622" s="21" t="inlineStr">
        <is>
          <t>Посуточная аренда</t>
        </is>
      </c>
      <c r="B622" s="21" t="inlineStr">
        <is>
          <t>Городская</t>
        </is>
      </c>
      <c r="C622" s="21" t="inlineStr">
        <is>
          <t>Посуточное койко-место</t>
        </is>
      </c>
      <c r="D622" s="21" t="inlineStr">
        <is>
          <t>Омск</t>
        </is>
      </c>
      <c r="E622" s="22" t="n">
        <v>0</v>
      </c>
      <c r="F622" s="22" t="n">
        <v>173</v>
      </c>
      <c r="G622" s="22" t="n">
        <v>111</v>
      </c>
      <c r="H622" s="22" t="n">
        <v>36</v>
      </c>
      <c r="I622" s="21" t="n"/>
      <c r="J622" s="23" t="inlineStr">
        <is>
          <t>2026-06-10</t>
        </is>
      </c>
    </row>
    <row r="623">
      <c r="A623" s="21" t="inlineStr">
        <is>
          <t>Посуточная аренда</t>
        </is>
      </c>
      <c r="B623" s="21" t="inlineStr">
        <is>
          <t>Городская</t>
        </is>
      </c>
      <c r="C623" s="21" t="inlineStr">
        <is>
          <t>Посуточное койко-место</t>
        </is>
      </c>
      <c r="D623" s="21" t="inlineStr">
        <is>
          <t>Воронеж</t>
        </is>
      </c>
      <c r="E623" s="22" t="n">
        <v>0</v>
      </c>
      <c r="F623" s="22" t="n">
        <v>67</v>
      </c>
      <c r="G623" s="22" t="n">
        <v>21</v>
      </c>
      <c r="H623" s="22" t="n">
        <v>6</v>
      </c>
      <c r="I623" s="21" t="n"/>
      <c r="J623" s="23" t="inlineStr">
        <is>
          <t>2026-06-10</t>
        </is>
      </c>
    </row>
    <row r="624">
      <c r="A624" s="21" t="inlineStr">
        <is>
          <t>Посуточная аренда</t>
        </is>
      </c>
      <c r="B624" s="21" t="inlineStr">
        <is>
          <t>Городская</t>
        </is>
      </c>
      <c r="C624" s="21" t="inlineStr">
        <is>
          <t>Посуточное койко-место</t>
        </is>
      </c>
      <c r="D624" s="21" t="inlineStr">
        <is>
          <t>Пермь</t>
        </is>
      </c>
      <c r="E624" s="22" t="n">
        <v>0</v>
      </c>
      <c r="F624" s="22" t="n">
        <v>96</v>
      </c>
      <c r="G624" s="22" t="n">
        <v>68</v>
      </c>
      <c r="H624" s="22" t="n">
        <v>20</v>
      </c>
      <c r="I624" s="21" t="n"/>
      <c r="J624" s="23" t="inlineStr">
        <is>
          <t>2026-06-10</t>
        </is>
      </c>
    </row>
    <row r="625">
      <c r="A625" s="21" t="inlineStr">
        <is>
          <t>Посуточная аренда</t>
        </is>
      </c>
      <c r="B625" s="21" t="inlineStr">
        <is>
          <t>Городская</t>
        </is>
      </c>
      <c r="C625" s="21" t="inlineStr">
        <is>
          <t>Посуточное койко-место</t>
        </is>
      </c>
      <c r="D625" s="21" t="inlineStr">
        <is>
          <t>Волгоград</t>
        </is>
      </c>
      <c r="E625" s="22" t="n">
        <v>0</v>
      </c>
      <c r="F625" s="22" t="n">
        <v>80</v>
      </c>
      <c r="G625" s="22" t="n">
        <v>25</v>
      </c>
      <c r="H625" s="22" t="n">
        <v>8</v>
      </c>
      <c r="I625" s="21" t="n"/>
      <c r="J625" s="23" t="inlineStr">
        <is>
          <t>2026-06-10</t>
        </is>
      </c>
    </row>
    <row r="626">
      <c r="A626" s="17" t="inlineStr">
        <is>
          <t>Посуточная аренда</t>
        </is>
      </c>
      <c r="B626" s="17" t="inlineStr">
        <is>
          <t>Загородная</t>
        </is>
      </c>
      <c r="C626" s="18" t="inlineStr">
        <is>
          <t>Посуточный дом/дача</t>
        </is>
      </c>
      <c r="D626" s="18" t="inlineStr">
        <is>
          <t>Москва</t>
        </is>
      </c>
      <c r="E626" s="19" t="n">
        <v>1770</v>
      </c>
      <c r="F626" s="19" t="n">
        <v>854</v>
      </c>
      <c r="G626" s="19" t="n">
        <v>362</v>
      </c>
      <c r="H626" s="19" t="n">
        <v>107</v>
      </c>
      <c r="I626" s="18" t="n"/>
      <c r="J626" s="20" t="inlineStr">
        <is>
          <t>2026-06-10</t>
        </is>
      </c>
    </row>
    <row r="627">
      <c r="A627" s="21" t="inlineStr">
        <is>
          <t>Посуточная аренда</t>
        </is>
      </c>
      <c r="B627" s="21" t="inlineStr">
        <is>
          <t>Загородная</t>
        </is>
      </c>
      <c r="C627" s="21" t="inlineStr">
        <is>
          <t>Посуточный дом/дача</t>
        </is>
      </c>
      <c r="D627" s="21" t="inlineStr">
        <is>
          <t>Санкт-Петербург</t>
        </is>
      </c>
      <c r="E627" s="22" t="n">
        <v>765</v>
      </c>
      <c r="F627" s="22" t="n">
        <v>342</v>
      </c>
      <c r="G627" s="22" t="n">
        <v>153</v>
      </c>
      <c r="H627" s="22" t="n">
        <v>47</v>
      </c>
      <c r="I627" s="21" t="n"/>
      <c r="J627" s="23" t="inlineStr">
        <is>
          <t>2026-06-10</t>
        </is>
      </c>
    </row>
    <row r="628">
      <c r="A628" s="21" t="inlineStr">
        <is>
          <t>Посуточная аренда</t>
        </is>
      </c>
      <c r="B628" s="21" t="inlineStr">
        <is>
          <t>Загородная</t>
        </is>
      </c>
      <c r="C628" s="21" t="inlineStr">
        <is>
          <t>Посуточный дом/дача</t>
        </is>
      </c>
      <c r="D628" s="21" t="inlineStr">
        <is>
          <t>Новосибирск</t>
        </is>
      </c>
      <c r="E628" s="22" t="n">
        <v>1455</v>
      </c>
      <c r="F628" s="22" t="n">
        <v>344</v>
      </c>
      <c r="G628" s="22" t="n">
        <v>169</v>
      </c>
      <c r="H628" s="22" t="n">
        <v>47</v>
      </c>
      <c r="I628" s="21" t="n"/>
      <c r="J628" s="23" t="inlineStr">
        <is>
          <t>2026-06-10</t>
        </is>
      </c>
    </row>
    <row r="629">
      <c r="A629" s="21" t="inlineStr">
        <is>
          <t>Посуточная аренда</t>
        </is>
      </c>
      <c r="B629" s="21" t="inlineStr">
        <is>
          <t>Загородная</t>
        </is>
      </c>
      <c r="C629" s="21" t="inlineStr">
        <is>
          <t>Посуточный дом/дача</t>
        </is>
      </c>
      <c r="D629" s="21" t="inlineStr">
        <is>
          <t>Екатеринбург</t>
        </is>
      </c>
      <c r="E629" s="22" t="n">
        <v>1110</v>
      </c>
      <c r="F629" s="22" t="n">
        <v>392</v>
      </c>
      <c r="G629" s="22" t="n">
        <v>203</v>
      </c>
      <c r="H629" s="22" t="n">
        <v>60</v>
      </c>
      <c r="I629" s="21" t="n"/>
      <c r="J629" s="23" t="inlineStr">
        <is>
          <t>2026-06-10</t>
        </is>
      </c>
    </row>
    <row r="630">
      <c r="A630" s="21" t="inlineStr">
        <is>
          <t>Посуточная аренда</t>
        </is>
      </c>
      <c r="B630" s="21" t="inlineStr">
        <is>
          <t>Загородная</t>
        </is>
      </c>
      <c r="C630" s="21" t="inlineStr">
        <is>
          <t>Посуточный дом/дача</t>
        </is>
      </c>
      <c r="D630" s="21" t="inlineStr">
        <is>
          <t>Казань</t>
        </is>
      </c>
      <c r="E630" s="22" t="n">
        <v>426</v>
      </c>
      <c r="F630" s="22" t="n">
        <v>189</v>
      </c>
      <c r="G630" s="22" t="n">
        <v>85</v>
      </c>
      <c r="H630" s="22" t="n">
        <v>26</v>
      </c>
      <c r="I630" s="21" t="n"/>
      <c r="J630" s="23" t="inlineStr">
        <is>
          <t>2026-06-10</t>
        </is>
      </c>
    </row>
    <row r="631">
      <c r="A631" s="21" t="inlineStr">
        <is>
          <t>Посуточная аренда</t>
        </is>
      </c>
      <c r="B631" s="21" t="inlineStr">
        <is>
          <t>Загородная</t>
        </is>
      </c>
      <c r="C631" s="21" t="inlineStr">
        <is>
          <t>Посуточный дом/дача</t>
        </is>
      </c>
      <c r="D631" s="21" t="inlineStr">
        <is>
          <t>Красноярск</t>
        </is>
      </c>
      <c r="E631" s="22" t="n">
        <v>420</v>
      </c>
      <c r="F631" s="22" t="n">
        <v>200</v>
      </c>
      <c r="G631" s="22" t="n">
        <v>93</v>
      </c>
      <c r="H631" s="22" t="n">
        <v>28</v>
      </c>
      <c r="I631" s="21" t="n"/>
      <c r="J631" s="23" t="inlineStr">
        <is>
          <t>2026-06-10</t>
        </is>
      </c>
    </row>
    <row r="632">
      <c r="A632" s="21" t="inlineStr">
        <is>
          <t>Посуточная аренда</t>
        </is>
      </c>
      <c r="B632" s="21" t="inlineStr">
        <is>
          <t>Загородная</t>
        </is>
      </c>
      <c r="C632" s="21" t="inlineStr">
        <is>
          <t>Посуточный дом/дача</t>
        </is>
      </c>
      <c r="D632" s="21" t="inlineStr">
        <is>
          <t>Нижний Новгород</t>
        </is>
      </c>
      <c r="E632" s="22" t="n">
        <v>420</v>
      </c>
      <c r="F632" s="22" t="n">
        <v>167</v>
      </c>
      <c r="G632" s="22" t="n">
        <v>75</v>
      </c>
      <c r="H632" s="22" t="n">
        <v>23</v>
      </c>
      <c r="I632" s="21" t="n"/>
      <c r="J632" s="23" t="inlineStr">
        <is>
          <t>2026-06-10</t>
        </is>
      </c>
    </row>
    <row r="633">
      <c r="A633" s="21" t="inlineStr">
        <is>
          <t>Посуточная аренда</t>
        </is>
      </c>
      <c r="B633" s="21" t="inlineStr">
        <is>
          <t>Загородная</t>
        </is>
      </c>
      <c r="C633" s="21" t="inlineStr">
        <is>
          <t>Посуточный дом/дача</t>
        </is>
      </c>
      <c r="D633" s="21" t="inlineStr">
        <is>
          <t>Челябинск</t>
        </is>
      </c>
      <c r="E633" s="22" t="n">
        <v>750</v>
      </c>
      <c r="F633" s="22" t="n">
        <v>292</v>
      </c>
      <c r="G633" s="22" t="n">
        <v>130</v>
      </c>
      <c r="H633" s="22" t="n">
        <v>39</v>
      </c>
      <c r="I633" s="21" t="n"/>
      <c r="J633" s="23" t="inlineStr">
        <is>
          <t>2026-06-10</t>
        </is>
      </c>
    </row>
    <row r="634">
      <c r="A634" s="21" t="inlineStr">
        <is>
          <t>Посуточная аренда</t>
        </is>
      </c>
      <c r="B634" s="21" t="inlineStr">
        <is>
          <t>Загородная</t>
        </is>
      </c>
      <c r="C634" s="21" t="inlineStr">
        <is>
          <t>Посуточный дом/дача</t>
        </is>
      </c>
      <c r="D634" s="21" t="inlineStr">
        <is>
          <t>Уфа</t>
        </is>
      </c>
      <c r="E634" s="22" t="n">
        <v>318</v>
      </c>
      <c r="F634" s="22" t="n">
        <v>155</v>
      </c>
      <c r="G634" s="22" t="n">
        <v>71</v>
      </c>
      <c r="H634" s="22" t="n">
        <v>23</v>
      </c>
      <c r="I634" s="21" t="n"/>
      <c r="J634" s="23" t="inlineStr">
        <is>
          <t>2026-06-10</t>
        </is>
      </c>
    </row>
    <row r="635">
      <c r="A635" s="21" t="inlineStr">
        <is>
          <t>Посуточная аренда</t>
        </is>
      </c>
      <c r="B635" s="21" t="inlineStr">
        <is>
          <t>Загородная</t>
        </is>
      </c>
      <c r="C635" s="21" t="inlineStr">
        <is>
          <t>Посуточный дом/дача</t>
        </is>
      </c>
      <c r="D635" s="21" t="inlineStr">
        <is>
          <t>Краснодар</t>
        </is>
      </c>
      <c r="E635" s="22" t="n">
        <v>420</v>
      </c>
      <c r="F635" s="22" t="n">
        <v>207</v>
      </c>
      <c r="G635" s="22" t="n">
        <v>84</v>
      </c>
      <c r="H635" s="22" t="n">
        <v>25</v>
      </c>
      <c r="I635" s="21" t="n"/>
      <c r="J635" s="23" t="inlineStr">
        <is>
          <t>2026-06-10</t>
        </is>
      </c>
    </row>
    <row r="636">
      <c r="A636" s="21" t="inlineStr">
        <is>
          <t>Посуточная аренда</t>
        </is>
      </c>
      <c r="B636" s="21" t="inlineStr">
        <is>
          <t>Загородная</t>
        </is>
      </c>
      <c r="C636" s="21" t="inlineStr">
        <is>
          <t>Посуточный дом/дача</t>
        </is>
      </c>
      <c r="D636" s="21" t="inlineStr">
        <is>
          <t>Самара</t>
        </is>
      </c>
      <c r="E636" s="22" t="n">
        <v>570</v>
      </c>
      <c r="F636" s="22" t="n">
        <v>179</v>
      </c>
      <c r="G636" s="22" t="n">
        <v>86</v>
      </c>
      <c r="H636" s="22" t="n">
        <v>26</v>
      </c>
      <c r="I636" s="21" t="n"/>
      <c r="J636" s="23" t="inlineStr">
        <is>
          <t>2026-06-10</t>
        </is>
      </c>
    </row>
    <row r="637">
      <c r="A637" s="21" t="inlineStr">
        <is>
          <t>Посуточная аренда</t>
        </is>
      </c>
      <c r="B637" s="21" t="inlineStr">
        <is>
          <t>Загородная</t>
        </is>
      </c>
      <c r="C637" s="21" t="inlineStr">
        <is>
          <t>Посуточный дом/дача</t>
        </is>
      </c>
      <c r="D637" s="21" t="inlineStr">
        <is>
          <t>Ростов-на-Дону</t>
        </is>
      </c>
      <c r="E637" s="22" t="n">
        <v>369</v>
      </c>
      <c r="F637" s="22" t="n">
        <v>191</v>
      </c>
      <c r="G637" s="22" t="n">
        <v>83</v>
      </c>
      <c r="H637" s="22" t="n">
        <v>24</v>
      </c>
      <c r="I637" s="21" t="n"/>
      <c r="J637" s="23" t="inlineStr">
        <is>
          <t>2026-06-10</t>
        </is>
      </c>
    </row>
    <row r="638">
      <c r="A638" s="21" t="inlineStr">
        <is>
          <t>Посуточная аренда</t>
        </is>
      </c>
      <c r="B638" s="21" t="inlineStr">
        <is>
          <t>Загородная</t>
        </is>
      </c>
      <c r="C638" s="21" t="inlineStr">
        <is>
          <t>Посуточный дом/дача</t>
        </is>
      </c>
      <c r="D638" s="21" t="inlineStr">
        <is>
          <t>Омск</t>
        </is>
      </c>
      <c r="E638" s="22" t="n">
        <v>750</v>
      </c>
      <c r="F638" s="22" t="n">
        <v>190</v>
      </c>
      <c r="G638" s="22" t="n">
        <v>115</v>
      </c>
      <c r="H638" s="22" t="n">
        <v>37</v>
      </c>
      <c r="I638" s="21" t="n"/>
      <c r="J638" s="23" t="inlineStr">
        <is>
          <t>2026-06-10</t>
        </is>
      </c>
    </row>
    <row r="639">
      <c r="A639" s="21" t="inlineStr">
        <is>
          <t>Посуточная аренда</t>
        </is>
      </c>
      <c r="B639" s="21" t="inlineStr">
        <is>
          <t>Загородная</t>
        </is>
      </c>
      <c r="C639" s="21" t="inlineStr">
        <is>
          <t>Посуточный дом/дача</t>
        </is>
      </c>
      <c r="D639" s="21" t="inlineStr">
        <is>
          <t>Воронеж</t>
        </is>
      </c>
      <c r="E639" s="22" t="n">
        <v>318</v>
      </c>
      <c r="F639" s="22" t="n">
        <v>77</v>
      </c>
      <c r="G639" s="22" t="n">
        <v>23</v>
      </c>
      <c r="H639" s="22" t="n">
        <v>8</v>
      </c>
      <c r="I639" s="21" t="n"/>
      <c r="J639" s="23" t="inlineStr">
        <is>
          <t>2026-06-10</t>
        </is>
      </c>
    </row>
    <row r="640">
      <c r="A640" s="21" t="inlineStr">
        <is>
          <t>Посуточная аренда</t>
        </is>
      </c>
      <c r="B640" s="21" t="inlineStr">
        <is>
          <t>Загородная</t>
        </is>
      </c>
      <c r="C640" s="21" t="inlineStr">
        <is>
          <t>Посуточный дом/дача</t>
        </is>
      </c>
      <c r="D640" s="21" t="inlineStr">
        <is>
          <t>Пермь</t>
        </is>
      </c>
      <c r="E640" s="22" t="n">
        <v>207</v>
      </c>
      <c r="F640" s="22" t="n">
        <v>115</v>
      </c>
      <c r="G640" s="22" t="n">
        <v>79</v>
      </c>
      <c r="H640" s="22" t="n">
        <v>23</v>
      </c>
      <c r="I640" s="21" t="n"/>
      <c r="J640" s="23" t="inlineStr">
        <is>
          <t>2026-06-10</t>
        </is>
      </c>
    </row>
    <row r="641">
      <c r="A641" s="21" t="inlineStr">
        <is>
          <t>Посуточная аренда</t>
        </is>
      </c>
      <c r="B641" s="21" t="inlineStr">
        <is>
          <t>Загородная</t>
        </is>
      </c>
      <c r="C641" s="21" t="inlineStr">
        <is>
          <t>Посуточный дом/дача</t>
        </is>
      </c>
      <c r="D641" s="21" t="inlineStr">
        <is>
          <t>Волгоград</t>
        </is>
      </c>
      <c r="E641" s="22" t="n">
        <v>342</v>
      </c>
      <c r="F641" s="22" t="n">
        <v>67</v>
      </c>
      <c r="G641" s="22" t="n">
        <v>20</v>
      </c>
      <c r="H641" s="22" t="n">
        <v>8</v>
      </c>
      <c r="I641" s="21" t="n"/>
      <c r="J641" s="23" t="inlineStr">
        <is>
          <t>2026-06-10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5"/>
  <cols>
    <col width="26" customWidth="1" min="1" max="1"/>
    <col width="30" customWidth="1" min="2" max="2"/>
    <col width="22" customWidth="1" min="3" max="3"/>
    <col width="12" customWidth="1" min="4" max="4"/>
  </cols>
  <sheetData>
    <row r="1">
      <c r="A1" s="25" t="inlineStr">
        <is>
          <t>Группа</t>
        </is>
      </c>
      <c r="B1" s="25" t="inlineStr">
        <is>
          <t>Категория</t>
        </is>
      </c>
      <c r="C1" s="25" t="inlineStr">
        <is>
          <t>Город</t>
        </is>
      </c>
      <c r="D1" s="26" t="inlineStr">
        <is>
          <t>2026-06-11</t>
        </is>
      </c>
    </row>
    <row r="2">
      <c r="A2" s="33" t="inlineStr">
        <is>
          <t>Купить</t>
        </is>
      </c>
      <c r="B2" s="34" t="inlineStr">
        <is>
          <t>Квартира</t>
        </is>
      </c>
      <c r="C2" s="33" t="inlineStr">
        <is>
          <t>🇷🇺 Вся Россия</t>
        </is>
      </c>
      <c r="D2" s="35" t="n">
        <v>925191</v>
      </c>
    </row>
    <row r="3">
      <c r="A3" s="21" t="inlineStr">
        <is>
          <t>Купить</t>
        </is>
      </c>
      <c r="B3" s="21" t="inlineStr">
        <is>
          <t>Квартира</t>
        </is>
      </c>
      <c r="C3" s="21" t="inlineStr">
        <is>
          <t>Москва</t>
        </is>
      </c>
      <c r="D3" s="22" t="n">
        <v>69187</v>
      </c>
    </row>
    <row r="4">
      <c r="A4" s="21" t="inlineStr">
        <is>
          <t>Купить</t>
        </is>
      </c>
      <c r="B4" s="21" t="inlineStr">
        <is>
          <t>Квартира</t>
        </is>
      </c>
      <c r="C4" s="21" t="inlineStr">
        <is>
          <t>Санкт-Петербург</t>
        </is>
      </c>
      <c r="D4" s="22" t="n">
        <v>39444</v>
      </c>
    </row>
    <row r="5">
      <c r="A5" s="21" t="inlineStr">
        <is>
          <t>Купить</t>
        </is>
      </c>
      <c r="B5" s="21" t="inlineStr">
        <is>
          <t>Квартира</t>
        </is>
      </c>
      <c r="C5" s="21" t="inlineStr">
        <is>
          <t>Новосибирск</t>
        </is>
      </c>
      <c r="D5" s="22" t="n">
        <v>31864</v>
      </c>
    </row>
    <row r="6">
      <c r="A6" s="21" t="inlineStr">
        <is>
          <t>Купить</t>
        </is>
      </c>
      <c r="B6" s="21" t="inlineStr">
        <is>
          <t>Квартира</t>
        </is>
      </c>
      <c r="C6" s="21" t="inlineStr">
        <is>
          <t>Екатеринбург</t>
        </is>
      </c>
      <c r="D6" s="22" t="n">
        <v>38343</v>
      </c>
    </row>
    <row r="7">
      <c r="A7" s="21" t="inlineStr">
        <is>
          <t>Купить</t>
        </is>
      </c>
      <c r="B7" s="21" t="inlineStr">
        <is>
          <t>Квартира</t>
        </is>
      </c>
      <c r="C7" s="21" t="inlineStr">
        <is>
          <t>Казань</t>
        </is>
      </c>
      <c r="D7" s="22" t="n">
        <v>18334</v>
      </c>
    </row>
    <row r="8">
      <c r="A8" s="21" t="inlineStr">
        <is>
          <t>Купить</t>
        </is>
      </c>
      <c r="B8" s="21" t="inlineStr">
        <is>
          <t>Квартира</t>
        </is>
      </c>
      <c r="C8" s="21" t="inlineStr">
        <is>
          <t>Красноярск</t>
        </is>
      </c>
      <c r="D8" s="24" t="inlineStr">
        <is>
          <t>—</t>
        </is>
      </c>
    </row>
    <row r="9">
      <c r="A9" s="21" t="inlineStr">
        <is>
          <t>Купить</t>
        </is>
      </c>
      <c r="B9" s="21" t="inlineStr">
        <is>
          <t>Квартира</t>
        </is>
      </c>
      <c r="C9" s="21" t="inlineStr">
        <is>
          <t>Нижний Новгород</t>
        </is>
      </c>
      <c r="D9" s="22" t="n">
        <v>10203</v>
      </c>
    </row>
    <row r="10">
      <c r="A10" s="21" t="inlineStr">
        <is>
          <t>Купить</t>
        </is>
      </c>
      <c r="B10" s="21" t="inlineStr">
        <is>
          <t>Квартира</t>
        </is>
      </c>
      <c r="C10" s="21" t="inlineStr">
        <is>
          <t>Челябинск</t>
        </is>
      </c>
      <c r="D10" s="22" t="n">
        <v>6426</v>
      </c>
    </row>
    <row r="11">
      <c r="A11" s="21" t="inlineStr">
        <is>
          <t>Купить</t>
        </is>
      </c>
      <c r="B11" s="21" t="inlineStr">
        <is>
          <t>Квартира</t>
        </is>
      </c>
      <c r="C11" s="21" t="inlineStr">
        <is>
          <t>Уфа</t>
        </is>
      </c>
      <c r="D11" s="22" t="n">
        <v>18896</v>
      </c>
    </row>
    <row r="12">
      <c r="A12" s="21" t="inlineStr">
        <is>
          <t>Купить</t>
        </is>
      </c>
      <c r="B12" s="21" t="inlineStr">
        <is>
          <t>Квартира</t>
        </is>
      </c>
      <c r="C12" s="21" t="inlineStr">
        <is>
          <t>Краснодар</t>
        </is>
      </c>
      <c r="D12" s="22" t="n">
        <v>68429</v>
      </c>
    </row>
    <row r="13">
      <c r="A13" s="21" t="inlineStr">
        <is>
          <t>Купить</t>
        </is>
      </c>
      <c r="B13" s="21" t="inlineStr">
        <is>
          <t>Квартира</t>
        </is>
      </c>
      <c r="C13" s="21" t="inlineStr">
        <is>
          <t>Самара</t>
        </is>
      </c>
      <c r="D13" s="22" t="n">
        <v>6124</v>
      </c>
    </row>
    <row r="14">
      <c r="A14" s="21" t="inlineStr">
        <is>
          <t>Купить</t>
        </is>
      </c>
      <c r="B14" s="21" t="inlineStr">
        <is>
          <t>Квартира</t>
        </is>
      </c>
      <c r="C14" s="21" t="inlineStr">
        <is>
          <t>Ростов-на-Дону</t>
        </is>
      </c>
      <c r="D14" s="22" t="n">
        <v>46684</v>
      </c>
    </row>
    <row r="15">
      <c r="A15" s="21" t="inlineStr">
        <is>
          <t>Купить</t>
        </is>
      </c>
      <c r="B15" s="21" t="inlineStr">
        <is>
          <t>Квартира</t>
        </is>
      </c>
      <c r="C15" s="21" t="inlineStr">
        <is>
          <t>Омск</t>
        </is>
      </c>
      <c r="D15" s="22" t="n">
        <v>5009</v>
      </c>
    </row>
    <row r="16">
      <c r="A16" s="21" t="inlineStr">
        <is>
          <t>Купить</t>
        </is>
      </c>
      <c r="B16" s="21" t="inlineStr">
        <is>
          <t>Квартира</t>
        </is>
      </c>
      <c r="C16" s="21" t="inlineStr">
        <is>
          <t>Воронеж</t>
        </is>
      </c>
      <c r="D16" s="22" t="n">
        <v>13990</v>
      </c>
    </row>
    <row r="17">
      <c r="A17" s="21" t="inlineStr">
        <is>
          <t>Купить</t>
        </is>
      </c>
      <c r="B17" s="21" t="inlineStr">
        <is>
          <t>Квартира</t>
        </is>
      </c>
      <c r="C17" s="21" t="inlineStr">
        <is>
          <t>Пермь</t>
        </is>
      </c>
      <c r="D17" s="22" t="n">
        <v>14018</v>
      </c>
    </row>
    <row r="18">
      <c r="A18" s="21" t="inlineStr">
        <is>
          <t>Купить</t>
        </is>
      </c>
      <c r="B18" s="21" t="inlineStr">
        <is>
          <t>Квартира</t>
        </is>
      </c>
      <c r="C18" s="21" t="inlineStr">
        <is>
          <t>Волгоград</t>
        </is>
      </c>
      <c r="D18" s="22" t="n">
        <v>8860</v>
      </c>
    </row>
    <row r="19">
      <c r="A19" s="33" t="inlineStr">
        <is>
          <t>Купить</t>
        </is>
      </c>
      <c r="B19" s="34" t="inlineStr">
        <is>
          <t>Квартира в новостройке</t>
        </is>
      </c>
      <c r="C19" s="33" t="inlineStr">
        <is>
          <t>🇷🇺 Вся Россия</t>
        </is>
      </c>
      <c r="D19" s="35" t="n">
        <v>547731</v>
      </c>
    </row>
    <row r="20">
      <c r="A20" s="21" t="inlineStr">
        <is>
          <t>Купить</t>
        </is>
      </c>
      <c r="B20" s="21" t="inlineStr">
        <is>
          <t>Квартира в новостройке</t>
        </is>
      </c>
      <c r="C20" s="21" t="inlineStr">
        <is>
          <t>Москва</t>
        </is>
      </c>
      <c r="D20" s="22" t="n">
        <v>48774</v>
      </c>
    </row>
    <row r="21">
      <c r="A21" s="21" t="inlineStr">
        <is>
          <t>Купить</t>
        </is>
      </c>
      <c r="B21" s="21" t="inlineStr">
        <is>
          <t>Квартира в новостройке</t>
        </is>
      </c>
      <c r="C21" s="21" t="inlineStr">
        <is>
          <t>Санкт-Петербург</t>
        </is>
      </c>
      <c r="D21" s="22" t="n">
        <v>26590</v>
      </c>
    </row>
    <row r="22">
      <c r="A22" s="21" t="inlineStr">
        <is>
          <t>Купить</t>
        </is>
      </c>
      <c r="B22" s="21" t="inlineStr">
        <is>
          <t>Квартира в новостройке</t>
        </is>
      </c>
      <c r="C22" s="21" t="inlineStr">
        <is>
          <t>Новосибирск</t>
        </is>
      </c>
      <c r="D22" s="22" t="n">
        <v>21315</v>
      </c>
    </row>
    <row r="23">
      <c r="A23" s="21" t="inlineStr">
        <is>
          <t>Купить</t>
        </is>
      </c>
      <c r="B23" s="21" t="inlineStr">
        <is>
          <t>Квартира в новостройке</t>
        </is>
      </c>
      <c r="C23" s="21" t="inlineStr">
        <is>
          <t>Екатеринбург</t>
        </is>
      </c>
      <c r="D23" s="22" t="n">
        <v>33695</v>
      </c>
    </row>
    <row r="24">
      <c r="A24" s="21" t="inlineStr">
        <is>
          <t>Купить</t>
        </is>
      </c>
      <c r="B24" s="21" t="inlineStr">
        <is>
          <t>Квартира в новостройке</t>
        </is>
      </c>
      <c r="C24" s="21" t="inlineStr">
        <is>
          <t>Казань</t>
        </is>
      </c>
      <c r="D24" s="22" t="n">
        <v>15570</v>
      </c>
    </row>
    <row r="25">
      <c r="A25" s="21" t="inlineStr">
        <is>
          <t>Купить</t>
        </is>
      </c>
      <c r="B25" s="21" t="inlineStr">
        <is>
          <t>Квартира в новостройке</t>
        </is>
      </c>
      <c r="C25" s="21" t="inlineStr">
        <is>
          <t>Красноярск</t>
        </is>
      </c>
      <c r="D25" s="22" t="n">
        <v>6885</v>
      </c>
    </row>
    <row r="26">
      <c r="A26" s="21" t="inlineStr">
        <is>
          <t>Купить</t>
        </is>
      </c>
      <c r="B26" s="21" t="inlineStr">
        <is>
          <t>Квартира в новостройке</t>
        </is>
      </c>
      <c r="C26" s="21" t="inlineStr">
        <is>
          <t>Нижний Новгород</t>
        </is>
      </c>
      <c r="D26" s="22" t="n">
        <v>6453</v>
      </c>
    </row>
    <row r="27">
      <c r="A27" s="21" t="inlineStr">
        <is>
          <t>Купить</t>
        </is>
      </c>
      <c r="B27" s="21" t="inlineStr">
        <is>
          <t>Квартира в новостройке</t>
        </is>
      </c>
      <c r="C27" s="21" t="inlineStr">
        <is>
          <t>Челябинск</t>
        </is>
      </c>
      <c r="D27" s="22" t="n">
        <v>3905</v>
      </c>
    </row>
    <row r="28">
      <c r="A28" s="21" t="inlineStr">
        <is>
          <t>Купить</t>
        </is>
      </c>
      <c r="B28" s="21" t="inlineStr">
        <is>
          <t>Квартира в новостройке</t>
        </is>
      </c>
      <c r="C28" s="21" t="inlineStr">
        <is>
          <t>Уфа</t>
        </is>
      </c>
      <c r="D28" s="22" t="n">
        <v>16575</v>
      </c>
    </row>
    <row r="29">
      <c r="A29" s="21" t="inlineStr">
        <is>
          <t>Купить</t>
        </is>
      </c>
      <c r="B29" s="21" t="inlineStr">
        <is>
          <t>Квартира в новостройке</t>
        </is>
      </c>
      <c r="C29" s="21" t="inlineStr">
        <is>
          <t>Краснодар</t>
        </is>
      </c>
      <c r="D29" s="22" t="n">
        <v>44717</v>
      </c>
    </row>
    <row r="30">
      <c r="A30" s="21" t="inlineStr">
        <is>
          <t>Купить</t>
        </is>
      </c>
      <c r="B30" s="21" t="inlineStr">
        <is>
          <t>Квартира в новостройке</t>
        </is>
      </c>
      <c r="C30" s="21" t="inlineStr">
        <is>
          <t>Самара</t>
        </is>
      </c>
      <c r="D30" s="22" t="n">
        <v>3636</v>
      </c>
    </row>
    <row r="31">
      <c r="A31" s="21" t="inlineStr">
        <is>
          <t>Купить</t>
        </is>
      </c>
      <c r="B31" s="21" t="inlineStr">
        <is>
          <t>Квартира в новостройке</t>
        </is>
      </c>
      <c r="C31" s="21" t="inlineStr">
        <is>
          <t>Ростов-на-Дону</t>
        </is>
      </c>
      <c r="D31" s="22" t="n">
        <v>34640</v>
      </c>
    </row>
    <row r="32">
      <c r="A32" s="21" t="inlineStr">
        <is>
          <t>Купить</t>
        </is>
      </c>
      <c r="B32" s="21" t="inlineStr">
        <is>
          <t>Квартира в новостройке</t>
        </is>
      </c>
      <c r="C32" s="21" t="inlineStr">
        <is>
          <t>Омск</t>
        </is>
      </c>
      <c r="D32" s="22" t="n">
        <v>1131</v>
      </c>
    </row>
    <row r="33">
      <c r="A33" s="21" t="inlineStr">
        <is>
          <t>Купить</t>
        </is>
      </c>
      <c r="B33" s="21" t="inlineStr">
        <is>
          <t>Квартира в новостройке</t>
        </is>
      </c>
      <c r="C33" s="21" t="inlineStr">
        <is>
          <t>Воронеж</t>
        </is>
      </c>
      <c r="D33" s="22" t="n">
        <v>9258</v>
      </c>
    </row>
    <row r="34">
      <c r="A34" s="21" t="inlineStr">
        <is>
          <t>Купить</t>
        </is>
      </c>
      <c r="B34" s="21" t="inlineStr">
        <is>
          <t>Квартира в новостройке</t>
        </is>
      </c>
      <c r="C34" s="21" t="inlineStr">
        <is>
          <t>Пермь</t>
        </is>
      </c>
      <c r="D34" s="22" t="n">
        <v>12334</v>
      </c>
    </row>
    <row r="35">
      <c r="A35" s="21" t="inlineStr">
        <is>
          <t>Купить</t>
        </is>
      </c>
      <c r="B35" s="21" t="inlineStr">
        <is>
          <t>Квартира в новостройке</t>
        </is>
      </c>
      <c r="C35" s="21" t="inlineStr">
        <is>
          <t>Волгоград</t>
        </is>
      </c>
      <c r="D35" s="22" t="n">
        <v>4567</v>
      </c>
    </row>
    <row r="36">
      <c r="A36" s="33" t="inlineStr">
        <is>
          <t>Купить</t>
        </is>
      </c>
      <c r="B36" s="34" t="inlineStr">
        <is>
          <t>Квартира во вторичке</t>
        </is>
      </c>
      <c r="C36" s="33" t="inlineStr">
        <is>
          <t>🇷🇺 Вся Россия</t>
        </is>
      </c>
      <c r="D36" s="35" t="n">
        <v>377460</v>
      </c>
    </row>
    <row r="37">
      <c r="A37" s="21" t="inlineStr">
        <is>
          <t>Купить</t>
        </is>
      </c>
      <c r="B37" s="21" t="inlineStr">
        <is>
          <t>Квартира во вторичке</t>
        </is>
      </c>
      <c r="C37" s="21" t="inlineStr">
        <is>
          <t>Москва</t>
        </is>
      </c>
      <c r="D37" s="22" t="n">
        <v>20414</v>
      </c>
    </row>
    <row r="38">
      <c r="A38" s="21" t="inlineStr">
        <is>
          <t>Купить</t>
        </is>
      </c>
      <c r="B38" s="21" t="inlineStr">
        <is>
          <t>Квартира во вторичке</t>
        </is>
      </c>
      <c r="C38" s="21" t="inlineStr">
        <is>
          <t>Санкт-Петербург</t>
        </is>
      </c>
      <c r="D38" s="22" t="n">
        <v>12854</v>
      </c>
    </row>
    <row r="39">
      <c r="A39" s="21" t="inlineStr">
        <is>
          <t>Купить</t>
        </is>
      </c>
      <c r="B39" s="21" t="inlineStr">
        <is>
          <t>Квартира во вторичке</t>
        </is>
      </c>
      <c r="C39" s="21" t="inlineStr">
        <is>
          <t>Новосибирск</t>
        </is>
      </c>
      <c r="D39" s="22" t="n">
        <v>10549</v>
      </c>
    </row>
    <row r="40">
      <c r="A40" s="21" t="inlineStr">
        <is>
          <t>Купить</t>
        </is>
      </c>
      <c r="B40" s="21" t="inlineStr">
        <is>
          <t>Квартира во вторичке</t>
        </is>
      </c>
      <c r="C40" s="21" t="inlineStr">
        <is>
          <t>Екатеринбург</t>
        </is>
      </c>
      <c r="D40" s="22" t="n">
        <v>4648</v>
      </c>
    </row>
    <row r="41">
      <c r="A41" s="21" t="inlineStr">
        <is>
          <t>Купить</t>
        </is>
      </c>
      <c r="B41" s="21" t="inlineStr">
        <is>
          <t>Квартира во вторичке</t>
        </is>
      </c>
      <c r="C41" s="21" t="inlineStr">
        <is>
          <t>Казань</t>
        </is>
      </c>
      <c r="D41" s="22" t="n">
        <v>2764</v>
      </c>
    </row>
    <row r="42">
      <c r="A42" s="21" t="inlineStr">
        <is>
          <t>Купить</t>
        </is>
      </c>
      <c r="B42" s="21" t="inlineStr">
        <is>
          <t>Квартира во вторичке</t>
        </is>
      </c>
      <c r="C42" s="21" t="inlineStr">
        <is>
          <t>Красноярск</t>
        </is>
      </c>
      <c r="D42" s="22" t="n">
        <v>4519</v>
      </c>
    </row>
    <row r="43">
      <c r="A43" s="21" t="inlineStr">
        <is>
          <t>Купить</t>
        </is>
      </c>
      <c r="B43" s="21" t="inlineStr">
        <is>
          <t>Квартира во вторичке</t>
        </is>
      </c>
      <c r="C43" s="21" t="inlineStr">
        <is>
          <t>Нижний Новгород</t>
        </is>
      </c>
      <c r="D43" s="22" t="n">
        <v>3750</v>
      </c>
    </row>
    <row r="44">
      <c r="A44" s="21" t="inlineStr">
        <is>
          <t>Купить</t>
        </is>
      </c>
      <c r="B44" s="21" t="inlineStr">
        <is>
          <t>Квартира во вторичке</t>
        </is>
      </c>
      <c r="C44" s="21" t="inlineStr">
        <is>
          <t>Челябинск</t>
        </is>
      </c>
      <c r="D44" s="22" t="n">
        <v>2521</v>
      </c>
    </row>
    <row r="45">
      <c r="A45" s="21" t="inlineStr">
        <is>
          <t>Купить</t>
        </is>
      </c>
      <c r="B45" s="21" t="inlineStr">
        <is>
          <t>Квартира во вторичке</t>
        </is>
      </c>
      <c r="C45" s="21" t="inlineStr">
        <is>
          <t>Уфа</t>
        </is>
      </c>
      <c r="D45" s="22" t="n">
        <v>2321</v>
      </c>
    </row>
    <row r="46">
      <c r="A46" s="21" t="inlineStr">
        <is>
          <t>Купить</t>
        </is>
      </c>
      <c r="B46" s="21" t="inlineStr">
        <is>
          <t>Квартира во вторичке</t>
        </is>
      </c>
      <c r="C46" s="21" t="inlineStr">
        <is>
          <t>Краснодар</t>
        </is>
      </c>
      <c r="D46" s="22" t="n">
        <v>23711</v>
      </c>
    </row>
    <row r="47">
      <c r="A47" s="21" t="inlineStr">
        <is>
          <t>Купить</t>
        </is>
      </c>
      <c r="B47" s="21" t="inlineStr">
        <is>
          <t>Квартира во вторичке</t>
        </is>
      </c>
      <c r="C47" s="21" t="inlineStr">
        <is>
          <t>Самара</t>
        </is>
      </c>
      <c r="D47" s="22" t="n">
        <v>2488</v>
      </c>
    </row>
    <row r="48">
      <c r="A48" s="21" t="inlineStr">
        <is>
          <t>Купить</t>
        </is>
      </c>
      <c r="B48" s="21" t="inlineStr">
        <is>
          <t>Квартира во вторичке</t>
        </is>
      </c>
      <c r="C48" s="21" t="inlineStr">
        <is>
          <t>Ростов-на-Дону</t>
        </is>
      </c>
      <c r="D48" s="22" t="n">
        <v>12044</v>
      </c>
    </row>
    <row r="49">
      <c r="A49" s="21" t="inlineStr">
        <is>
          <t>Купить</t>
        </is>
      </c>
      <c r="B49" s="21" t="inlineStr">
        <is>
          <t>Квартира во вторичке</t>
        </is>
      </c>
      <c r="C49" s="21" t="inlineStr">
        <is>
          <t>Омск</t>
        </is>
      </c>
      <c r="D49" s="22" t="n">
        <v>3878</v>
      </c>
    </row>
    <row r="50">
      <c r="A50" s="21" t="inlineStr">
        <is>
          <t>Купить</t>
        </is>
      </c>
      <c r="B50" s="21" t="inlineStr">
        <is>
          <t>Квартира во вторичке</t>
        </is>
      </c>
      <c r="C50" s="21" t="inlineStr">
        <is>
          <t>Воронеж</t>
        </is>
      </c>
      <c r="D50" s="22" t="n">
        <v>4732</v>
      </c>
    </row>
    <row r="51">
      <c r="A51" s="21" t="inlineStr">
        <is>
          <t>Купить</t>
        </is>
      </c>
      <c r="B51" s="21" t="inlineStr">
        <is>
          <t>Квартира во вторичке</t>
        </is>
      </c>
      <c r="C51" s="21" t="inlineStr">
        <is>
          <t>Пермь</t>
        </is>
      </c>
      <c r="D51" s="22" t="n">
        <v>1684</v>
      </c>
    </row>
    <row r="52">
      <c r="A52" s="21" t="inlineStr">
        <is>
          <t>Купить</t>
        </is>
      </c>
      <c r="B52" s="21" t="inlineStr">
        <is>
          <t>Квартира во вторичке</t>
        </is>
      </c>
      <c r="C52" s="21" t="inlineStr">
        <is>
          <t>Волгоград</t>
        </is>
      </c>
      <c r="D52" s="22" t="n">
        <v>4293</v>
      </c>
    </row>
    <row r="53">
      <c r="A53" s="33" t="inlineStr">
        <is>
          <t>Купить</t>
        </is>
      </c>
      <c r="B53" s="34" t="inlineStr">
        <is>
          <t>Комната</t>
        </is>
      </c>
      <c r="C53" s="33" t="inlineStr">
        <is>
          <t>🇷🇺 Вся Россия</t>
        </is>
      </c>
      <c r="D53" s="35" t="n">
        <v>12738</v>
      </c>
    </row>
    <row r="54">
      <c r="A54" s="21" t="inlineStr">
        <is>
          <t>Купить</t>
        </is>
      </c>
      <c r="B54" s="21" t="inlineStr">
        <is>
          <t>Комната</t>
        </is>
      </c>
      <c r="C54" s="21" t="inlineStr">
        <is>
          <t>Москва</t>
        </is>
      </c>
      <c r="D54" s="22" t="n">
        <v>348</v>
      </c>
    </row>
    <row r="55">
      <c r="A55" s="21" t="inlineStr">
        <is>
          <t>Купить</t>
        </is>
      </c>
      <c r="B55" s="21" t="inlineStr">
        <is>
          <t>Комната</t>
        </is>
      </c>
      <c r="C55" s="21" t="inlineStr">
        <is>
          <t>Санкт-Петербург</t>
        </is>
      </c>
      <c r="D55" s="22" t="n">
        <v>1102</v>
      </c>
    </row>
    <row r="56">
      <c r="A56" s="21" t="inlineStr">
        <is>
          <t>Купить</t>
        </is>
      </c>
      <c r="B56" s="21" t="inlineStr">
        <is>
          <t>Комната</t>
        </is>
      </c>
      <c r="C56" s="21" t="inlineStr">
        <is>
          <t>Новосибирск</t>
        </is>
      </c>
      <c r="D56" s="22" t="n">
        <v>478</v>
      </c>
    </row>
    <row r="57">
      <c r="A57" s="21" t="inlineStr">
        <is>
          <t>Купить</t>
        </is>
      </c>
      <c r="B57" s="21" t="inlineStr">
        <is>
          <t>Комната</t>
        </is>
      </c>
      <c r="C57" s="21" t="inlineStr">
        <is>
          <t>Екатеринбург</t>
        </is>
      </c>
      <c r="D57" s="22" t="n">
        <v>320</v>
      </c>
    </row>
    <row r="58">
      <c r="A58" s="21" t="inlineStr">
        <is>
          <t>Купить</t>
        </is>
      </c>
      <c r="B58" s="21" t="inlineStr">
        <is>
          <t>Комната</t>
        </is>
      </c>
      <c r="C58" s="21" t="inlineStr">
        <is>
          <t>Казань</t>
        </is>
      </c>
      <c r="D58" s="22" t="n">
        <v>93</v>
      </c>
    </row>
    <row r="59">
      <c r="A59" s="21" t="inlineStr">
        <is>
          <t>Купить</t>
        </is>
      </c>
      <c r="B59" s="21" t="inlineStr">
        <is>
          <t>Комната</t>
        </is>
      </c>
      <c r="C59" s="21" t="inlineStr">
        <is>
          <t>Красноярск</t>
        </is>
      </c>
      <c r="D59" s="22" t="n">
        <v>203</v>
      </c>
    </row>
    <row r="60">
      <c r="A60" s="21" t="inlineStr">
        <is>
          <t>Купить</t>
        </is>
      </c>
      <c r="B60" s="21" t="inlineStr">
        <is>
          <t>Комната</t>
        </is>
      </c>
      <c r="C60" s="21" t="inlineStr">
        <is>
          <t>Нижний Новгород</t>
        </is>
      </c>
      <c r="D60" s="22" t="n">
        <v>217</v>
      </c>
    </row>
    <row r="61">
      <c r="A61" s="21" t="inlineStr">
        <is>
          <t>Купить</t>
        </is>
      </c>
      <c r="B61" s="21" t="inlineStr">
        <is>
          <t>Комната</t>
        </is>
      </c>
      <c r="C61" s="21" t="inlineStr">
        <is>
          <t>Челябинск</t>
        </is>
      </c>
      <c r="D61" s="22" t="n">
        <v>94</v>
      </c>
    </row>
    <row r="62">
      <c r="A62" s="21" t="inlineStr">
        <is>
          <t>Купить</t>
        </is>
      </c>
      <c r="B62" s="21" t="inlineStr">
        <is>
          <t>Комната</t>
        </is>
      </c>
      <c r="C62" s="21" t="inlineStr">
        <is>
          <t>Уфа</t>
        </is>
      </c>
      <c r="D62" s="22" t="n">
        <v>201</v>
      </c>
    </row>
    <row r="63">
      <c r="A63" s="21" t="inlineStr">
        <is>
          <t>Купить</t>
        </is>
      </c>
      <c r="B63" s="21" t="inlineStr">
        <is>
          <t>Комната</t>
        </is>
      </c>
      <c r="C63" s="21" t="inlineStr">
        <is>
          <t>Краснодар</t>
        </is>
      </c>
      <c r="D63" s="22" t="n">
        <v>98</v>
      </c>
    </row>
    <row r="64">
      <c r="A64" s="21" t="inlineStr">
        <is>
          <t>Купить</t>
        </is>
      </c>
      <c r="B64" s="21" t="inlineStr">
        <is>
          <t>Комната</t>
        </is>
      </c>
      <c r="C64" s="21" t="inlineStr">
        <is>
          <t>Самара</t>
        </is>
      </c>
      <c r="D64" s="22" t="n">
        <v>91</v>
      </c>
    </row>
    <row r="65">
      <c r="A65" s="21" t="inlineStr">
        <is>
          <t>Купить</t>
        </is>
      </c>
      <c r="B65" s="21" t="inlineStr">
        <is>
          <t>Комната</t>
        </is>
      </c>
      <c r="C65" s="21" t="inlineStr">
        <is>
          <t>Ростов-на-Дону</t>
        </is>
      </c>
      <c r="D65" s="22" t="n">
        <v>185</v>
      </c>
    </row>
    <row r="66">
      <c r="A66" s="21" t="inlineStr">
        <is>
          <t>Купить</t>
        </is>
      </c>
      <c r="B66" s="21" t="inlineStr">
        <is>
          <t>Комната</t>
        </is>
      </c>
      <c r="C66" s="21" t="inlineStr">
        <is>
          <t>Омск</t>
        </is>
      </c>
      <c r="D66" s="22" t="n">
        <v>194</v>
      </c>
    </row>
    <row r="67">
      <c r="A67" s="21" t="inlineStr">
        <is>
          <t>Купить</t>
        </is>
      </c>
      <c r="B67" s="21" t="inlineStr">
        <is>
          <t>Комната</t>
        </is>
      </c>
      <c r="C67" s="21" t="inlineStr">
        <is>
          <t>Воронеж</t>
        </is>
      </c>
      <c r="D67" s="22" t="n">
        <v>203</v>
      </c>
    </row>
    <row r="68">
      <c r="A68" s="21" t="inlineStr">
        <is>
          <t>Купить</t>
        </is>
      </c>
      <c r="B68" s="21" t="inlineStr">
        <is>
          <t>Комната</t>
        </is>
      </c>
      <c r="C68" s="21" t="inlineStr">
        <is>
          <t>Пермь</t>
        </is>
      </c>
      <c r="D68" s="22" t="n">
        <v>140</v>
      </c>
    </row>
    <row r="69">
      <c r="A69" s="21" t="inlineStr">
        <is>
          <t>Купить</t>
        </is>
      </c>
      <c r="B69" s="21" t="inlineStr">
        <is>
          <t>Комната</t>
        </is>
      </c>
      <c r="C69" s="21" t="inlineStr">
        <is>
          <t>Волгоград</t>
        </is>
      </c>
      <c r="D69" s="22" t="n">
        <v>261</v>
      </c>
    </row>
    <row r="70">
      <c r="A70" s="33" t="inlineStr">
        <is>
          <t>Купить</t>
        </is>
      </c>
      <c r="B70" s="34" t="inlineStr">
        <is>
          <t>Дом или коттедж</t>
        </is>
      </c>
      <c r="C70" s="33" t="inlineStr">
        <is>
          <t>🇷🇺 Вся Россия</t>
        </is>
      </c>
      <c r="D70" s="35" t="n">
        <v>268192</v>
      </c>
    </row>
    <row r="71">
      <c r="A71" s="21" t="inlineStr">
        <is>
          <t>Купить</t>
        </is>
      </c>
      <c r="B71" s="21" t="inlineStr">
        <is>
          <t>Дом или коттедж</t>
        </is>
      </c>
      <c r="C71" s="21" t="inlineStr">
        <is>
          <t>Москва</t>
        </is>
      </c>
      <c r="D71" s="22" t="n">
        <v>2226</v>
      </c>
    </row>
    <row r="72">
      <c r="A72" s="21" t="inlineStr">
        <is>
          <t>Купить</t>
        </is>
      </c>
      <c r="B72" s="21" t="inlineStr">
        <is>
          <t>Дом или коттедж</t>
        </is>
      </c>
      <c r="C72" s="21" t="inlineStr">
        <is>
          <t>Санкт-Петербург</t>
        </is>
      </c>
      <c r="D72" s="22" t="n">
        <v>619</v>
      </c>
    </row>
    <row r="73">
      <c r="A73" s="21" t="inlineStr">
        <is>
          <t>Купить</t>
        </is>
      </c>
      <c r="B73" s="21" t="inlineStr">
        <is>
          <t>Дом или коттедж</t>
        </is>
      </c>
      <c r="C73" s="21" t="inlineStr">
        <is>
          <t>Новосибирск</t>
        </is>
      </c>
      <c r="D73" s="22" t="n">
        <v>2087</v>
      </c>
    </row>
    <row r="74">
      <c r="A74" s="21" t="inlineStr">
        <is>
          <t>Купить</t>
        </is>
      </c>
      <c r="B74" s="21" t="inlineStr">
        <is>
          <t>Дом или коттедж</t>
        </is>
      </c>
      <c r="C74" s="21" t="inlineStr">
        <is>
          <t>Екатеринбург</t>
        </is>
      </c>
      <c r="D74" s="22" t="n">
        <v>805</v>
      </c>
    </row>
    <row r="75">
      <c r="A75" s="21" t="inlineStr">
        <is>
          <t>Купить</t>
        </is>
      </c>
      <c r="B75" s="21" t="inlineStr">
        <is>
          <t>Дом или коттедж</t>
        </is>
      </c>
      <c r="C75" s="21" t="inlineStr">
        <is>
          <t>Казань</t>
        </is>
      </c>
      <c r="D75" s="22" t="n">
        <v>949</v>
      </c>
    </row>
    <row r="76">
      <c r="A76" s="21" t="inlineStr">
        <is>
          <t>Купить</t>
        </is>
      </c>
      <c r="B76" s="21" t="inlineStr">
        <is>
          <t>Дом или коттедж</t>
        </is>
      </c>
      <c r="C76" s="21" t="inlineStr">
        <is>
          <t>Красноярск</t>
        </is>
      </c>
      <c r="D76" s="22" t="n">
        <v>775</v>
      </c>
    </row>
    <row r="77">
      <c r="A77" s="21" t="inlineStr">
        <is>
          <t>Купить</t>
        </is>
      </c>
      <c r="B77" s="21" t="inlineStr">
        <is>
          <t>Дом или коттедж</t>
        </is>
      </c>
      <c r="C77" s="21" t="inlineStr">
        <is>
          <t>Нижний Новгород</t>
        </is>
      </c>
      <c r="D77" s="22" t="n">
        <v>601</v>
      </c>
    </row>
    <row r="78">
      <c r="A78" s="21" t="inlineStr">
        <is>
          <t>Купить</t>
        </is>
      </c>
      <c r="B78" s="21" t="inlineStr">
        <is>
          <t>Дом или коттедж</t>
        </is>
      </c>
      <c r="C78" s="21" t="inlineStr">
        <is>
          <t>Челябинск</t>
        </is>
      </c>
      <c r="D78" s="22" t="n">
        <v>406</v>
      </c>
    </row>
    <row r="79">
      <c r="A79" s="21" t="inlineStr">
        <is>
          <t>Купить</t>
        </is>
      </c>
      <c r="B79" s="21" t="inlineStr">
        <is>
          <t>Дом или коттедж</t>
        </is>
      </c>
      <c r="C79" s="21" t="inlineStr">
        <is>
          <t>Уфа</t>
        </is>
      </c>
      <c r="D79" s="22" t="n">
        <v>1352</v>
      </c>
    </row>
    <row r="80">
      <c r="A80" s="21" t="inlineStr">
        <is>
          <t>Купить</t>
        </is>
      </c>
      <c r="B80" s="21" t="inlineStr">
        <is>
          <t>Дом или коттедж</t>
        </is>
      </c>
      <c r="C80" s="21" t="inlineStr">
        <is>
          <t>Краснодар</t>
        </is>
      </c>
      <c r="D80" s="22" t="n">
        <v>8485</v>
      </c>
    </row>
    <row r="81">
      <c r="A81" s="21" t="inlineStr">
        <is>
          <t>Купить</t>
        </is>
      </c>
      <c r="B81" s="21" t="inlineStr">
        <is>
          <t>Дом или коттедж</t>
        </is>
      </c>
      <c r="C81" s="21" t="inlineStr">
        <is>
          <t>Самара</t>
        </is>
      </c>
      <c r="D81" s="22" t="n">
        <v>455</v>
      </c>
    </row>
    <row r="82">
      <c r="A82" s="21" t="inlineStr">
        <is>
          <t>Купить</t>
        </is>
      </c>
      <c r="B82" s="21" t="inlineStr">
        <is>
          <t>Дом или коттедж</t>
        </is>
      </c>
      <c r="C82" s="21" t="inlineStr">
        <is>
          <t>Ростов-на-Дону</t>
        </is>
      </c>
      <c r="D82" s="22" t="n">
        <v>3688</v>
      </c>
    </row>
    <row r="83">
      <c r="A83" s="21" t="inlineStr">
        <is>
          <t>Купить</t>
        </is>
      </c>
      <c r="B83" s="21" t="inlineStr">
        <is>
          <t>Дом или коттедж</t>
        </is>
      </c>
      <c r="C83" s="21" t="inlineStr">
        <is>
          <t>Омск</t>
        </is>
      </c>
      <c r="D83" s="22" t="n">
        <v>1130</v>
      </c>
    </row>
    <row r="84">
      <c r="A84" s="21" t="inlineStr">
        <is>
          <t>Купить</t>
        </is>
      </c>
      <c r="B84" s="21" t="inlineStr">
        <is>
          <t>Дом или коттедж</t>
        </is>
      </c>
      <c r="C84" s="21" t="inlineStr">
        <is>
          <t>Воронеж</t>
        </is>
      </c>
      <c r="D84" s="22" t="n">
        <v>832</v>
      </c>
    </row>
    <row r="85">
      <c r="A85" s="21" t="inlineStr">
        <is>
          <t>Купить</t>
        </is>
      </c>
      <c r="B85" s="21" t="inlineStr">
        <is>
          <t>Дом или коттедж</t>
        </is>
      </c>
      <c r="C85" s="21" t="inlineStr">
        <is>
          <t>Пермь</t>
        </is>
      </c>
      <c r="D85" s="22" t="n">
        <v>292</v>
      </c>
    </row>
    <row r="86">
      <c r="A86" s="21" t="inlineStr">
        <is>
          <t>Купить</t>
        </is>
      </c>
      <c r="B86" s="21" t="inlineStr">
        <is>
          <t>Дом или коттедж</t>
        </is>
      </c>
      <c r="C86" s="21" t="inlineStr">
        <is>
          <t>Волгоград</t>
        </is>
      </c>
      <c r="D86" s="22" t="n">
        <v>1203</v>
      </c>
    </row>
    <row r="87">
      <c r="A87" s="33" t="inlineStr">
        <is>
          <t>Купить</t>
        </is>
      </c>
      <c r="B87" s="34" t="inlineStr">
        <is>
          <t>Участок</t>
        </is>
      </c>
      <c r="C87" s="33" t="inlineStr">
        <is>
          <t>🇷🇺 Вся Россия</t>
        </is>
      </c>
      <c r="D87" s="35" t="n">
        <v>176411</v>
      </c>
    </row>
    <row r="88">
      <c r="A88" s="21" t="inlineStr">
        <is>
          <t>Купить</t>
        </is>
      </c>
      <c r="B88" s="21" t="inlineStr">
        <is>
          <t>Участок</t>
        </is>
      </c>
      <c r="C88" s="21" t="inlineStr">
        <is>
          <t>Москва</t>
        </is>
      </c>
      <c r="D88" s="22" t="n">
        <v>663</v>
      </c>
    </row>
    <row r="89">
      <c r="A89" s="21" t="inlineStr">
        <is>
          <t>Купить</t>
        </is>
      </c>
      <c r="B89" s="21" t="inlineStr">
        <is>
          <t>Участок</t>
        </is>
      </c>
      <c r="C89" s="21" t="inlineStr">
        <is>
          <t>Санкт-Петербург</t>
        </is>
      </c>
      <c r="D89" s="22" t="n">
        <v>457</v>
      </c>
    </row>
    <row r="90">
      <c r="A90" s="21" t="inlineStr">
        <is>
          <t>Купить</t>
        </is>
      </c>
      <c r="B90" s="21" t="inlineStr">
        <is>
          <t>Участок</t>
        </is>
      </c>
      <c r="C90" s="21" t="inlineStr">
        <is>
          <t>Новосибирск</t>
        </is>
      </c>
      <c r="D90" s="22" t="n">
        <v>614</v>
      </c>
    </row>
    <row r="91">
      <c r="A91" s="21" t="inlineStr">
        <is>
          <t>Купить</t>
        </is>
      </c>
      <c r="B91" s="21" t="inlineStr">
        <is>
          <t>Участок</t>
        </is>
      </c>
      <c r="C91" s="21" t="inlineStr">
        <is>
          <t>Екатеринбург</t>
        </is>
      </c>
      <c r="D91" s="22" t="n">
        <v>352</v>
      </c>
    </row>
    <row r="92">
      <c r="A92" s="21" t="inlineStr">
        <is>
          <t>Купить</t>
        </is>
      </c>
      <c r="B92" s="21" t="inlineStr">
        <is>
          <t>Участок</t>
        </is>
      </c>
      <c r="C92" s="21" t="inlineStr">
        <is>
          <t>Казань</t>
        </is>
      </c>
      <c r="D92" s="22" t="n">
        <v>386</v>
      </c>
    </row>
    <row r="93">
      <c r="A93" s="21" t="inlineStr">
        <is>
          <t>Купить</t>
        </is>
      </c>
      <c r="B93" s="21" t="inlineStr">
        <is>
          <t>Участок</t>
        </is>
      </c>
      <c r="C93" s="21" t="inlineStr">
        <is>
          <t>Красноярск</t>
        </is>
      </c>
      <c r="D93" s="22" t="n">
        <v>302</v>
      </c>
    </row>
    <row r="94">
      <c r="A94" s="21" t="inlineStr">
        <is>
          <t>Купить</t>
        </is>
      </c>
      <c r="B94" s="21" t="inlineStr">
        <is>
          <t>Участок</t>
        </is>
      </c>
      <c r="C94" s="21" t="inlineStr">
        <is>
          <t>Нижний Новгород</t>
        </is>
      </c>
      <c r="D94" s="22" t="n">
        <v>234</v>
      </c>
    </row>
    <row r="95">
      <c r="A95" s="21" t="inlineStr">
        <is>
          <t>Купить</t>
        </is>
      </c>
      <c r="B95" s="21" t="inlineStr">
        <is>
          <t>Участок</t>
        </is>
      </c>
      <c r="C95" s="21" t="inlineStr">
        <is>
          <t>Челябинск</t>
        </is>
      </c>
      <c r="D95" s="22" t="n">
        <v>98</v>
      </c>
    </row>
    <row r="96">
      <c r="A96" s="21" t="inlineStr">
        <is>
          <t>Купить</t>
        </is>
      </c>
      <c r="B96" s="21" t="inlineStr">
        <is>
          <t>Участок</t>
        </is>
      </c>
      <c r="C96" s="21" t="inlineStr">
        <is>
          <t>Уфа</t>
        </is>
      </c>
      <c r="D96" s="22" t="n">
        <v>356</v>
      </c>
    </row>
    <row r="97">
      <c r="A97" s="21" t="inlineStr">
        <is>
          <t>Купить</t>
        </is>
      </c>
      <c r="B97" s="21" t="inlineStr">
        <is>
          <t>Участок</t>
        </is>
      </c>
      <c r="C97" s="21" t="inlineStr">
        <is>
          <t>Краснодар</t>
        </is>
      </c>
      <c r="D97" s="22" t="n">
        <v>1893</v>
      </c>
    </row>
    <row r="98">
      <c r="A98" s="21" t="inlineStr">
        <is>
          <t>Купить</t>
        </is>
      </c>
      <c r="B98" s="21" t="inlineStr">
        <is>
          <t>Участок</t>
        </is>
      </c>
      <c r="C98" s="21" t="inlineStr">
        <is>
          <t>Самара</t>
        </is>
      </c>
      <c r="D98" s="22" t="n">
        <v>164</v>
      </c>
    </row>
    <row r="99">
      <c r="A99" s="21" t="inlineStr">
        <is>
          <t>Купить</t>
        </is>
      </c>
      <c r="B99" s="21" t="inlineStr">
        <is>
          <t>Участок</t>
        </is>
      </c>
      <c r="C99" s="21" t="inlineStr">
        <is>
          <t>Ростов-на-Дону</t>
        </is>
      </c>
      <c r="D99" s="22" t="n">
        <v>935</v>
      </c>
    </row>
    <row r="100">
      <c r="A100" s="21" t="inlineStr">
        <is>
          <t>Купить</t>
        </is>
      </c>
      <c r="B100" s="21" t="inlineStr">
        <is>
          <t>Участок</t>
        </is>
      </c>
      <c r="C100" s="21" t="inlineStr">
        <is>
          <t>Омск</t>
        </is>
      </c>
      <c r="D100" s="22" t="n">
        <v>229</v>
      </c>
    </row>
    <row r="101">
      <c r="A101" s="21" t="inlineStr">
        <is>
          <t>Купить</t>
        </is>
      </c>
      <c r="B101" s="21" t="inlineStr">
        <is>
          <t>Участок</t>
        </is>
      </c>
      <c r="C101" s="21" t="inlineStr">
        <is>
          <t>Воронеж</t>
        </is>
      </c>
      <c r="D101" s="22" t="n">
        <v>269</v>
      </c>
    </row>
    <row r="102">
      <c r="A102" s="21" t="inlineStr">
        <is>
          <t>Купить</t>
        </is>
      </c>
      <c r="B102" s="21" t="inlineStr">
        <is>
          <t>Участок</t>
        </is>
      </c>
      <c r="C102" s="21" t="inlineStr">
        <is>
          <t>Пермь</t>
        </is>
      </c>
      <c r="D102" s="22" t="n">
        <v>172</v>
      </c>
    </row>
    <row r="103">
      <c r="A103" s="21" t="inlineStr">
        <is>
          <t>Купить</t>
        </is>
      </c>
      <c r="B103" s="21" t="inlineStr">
        <is>
          <t>Участок</t>
        </is>
      </c>
      <c r="C103" s="21" t="inlineStr">
        <is>
          <t>Волгоград</t>
        </is>
      </c>
      <c r="D103" s="22" t="n">
        <v>531</v>
      </c>
    </row>
    <row r="104">
      <c r="A104" s="33" t="inlineStr">
        <is>
          <t>Купить</t>
        </is>
      </c>
      <c r="B104" s="34" t="inlineStr">
        <is>
          <t>Гараж или машиноместо</t>
        </is>
      </c>
      <c r="C104" s="33" t="inlineStr">
        <is>
          <t>🇷🇺 Вся Россия</t>
        </is>
      </c>
      <c r="D104" s="35" t="n">
        <v>15093</v>
      </c>
    </row>
    <row r="105">
      <c r="A105" s="21" t="inlineStr">
        <is>
          <t>Купить</t>
        </is>
      </c>
      <c r="B105" s="21" t="inlineStr">
        <is>
          <t>Гараж или машиноместо</t>
        </is>
      </c>
      <c r="C105" s="21" t="inlineStr">
        <is>
          <t>Москва</t>
        </is>
      </c>
      <c r="D105" s="22" t="n">
        <v>1497</v>
      </c>
    </row>
    <row r="106">
      <c r="A106" s="21" t="inlineStr">
        <is>
          <t>Купить</t>
        </is>
      </c>
      <c r="B106" s="21" t="inlineStr">
        <is>
          <t>Гараж или машиноместо</t>
        </is>
      </c>
      <c r="C106" s="21" t="inlineStr">
        <is>
          <t>Санкт-Петербург</t>
        </is>
      </c>
      <c r="D106" s="22" t="n">
        <v>2630</v>
      </c>
    </row>
    <row r="107">
      <c r="A107" s="21" t="inlineStr">
        <is>
          <t>Купить</t>
        </is>
      </c>
      <c r="B107" s="21" t="inlineStr">
        <is>
          <t>Гараж или машиноместо</t>
        </is>
      </c>
      <c r="C107" s="21" t="inlineStr">
        <is>
          <t>Новосибирск</t>
        </is>
      </c>
      <c r="D107" s="22" t="n">
        <v>449</v>
      </c>
    </row>
    <row r="108">
      <c r="A108" s="21" t="inlineStr">
        <is>
          <t>Купить</t>
        </is>
      </c>
      <c r="B108" s="21" t="inlineStr">
        <is>
          <t>Гараж или машиноместо</t>
        </is>
      </c>
      <c r="C108" s="21" t="inlineStr">
        <is>
          <t>Екатеринбург</t>
        </is>
      </c>
      <c r="D108" s="22" t="n">
        <v>1047</v>
      </c>
    </row>
    <row r="109">
      <c r="A109" s="21" t="inlineStr">
        <is>
          <t>Купить</t>
        </is>
      </c>
      <c r="B109" s="21" t="inlineStr">
        <is>
          <t>Гараж или машиноместо</t>
        </is>
      </c>
      <c r="C109" s="21" t="inlineStr">
        <is>
          <t>Казань</t>
        </is>
      </c>
      <c r="D109" s="22" t="n">
        <v>311</v>
      </c>
    </row>
    <row r="110">
      <c r="A110" s="21" t="inlineStr">
        <is>
          <t>Купить</t>
        </is>
      </c>
      <c r="B110" s="21" t="inlineStr">
        <is>
          <t>Гараж или машиноместо</t>
        </is>
      </c>
      <c r="C110" s="21" t="inlineStr">
        <is>
          <t>Красноярск</t>
        </is>
      </c>
      <c r="D110" s="22" t="n">
        <v>165</v>
      </c>
    </row>
    <row r="111">
      <c r="A111" s="21" t="inlineStr">
        <is>
          <t>Купить</t>
        </is>
      </c>
      <c r="B111" s="21" t="inlineStr">
        <is>
          <t>Гараж или машиноместо</t>
        </is>
      </c>
      <c r="C111" s="21" t="inlineStr">
        <is>
          <t>Нижний Новгород</t>
        </is>
      </c>
      <c r="D111" s="22" t="n">
        <v>191</v>
      </c>
    </row>
    <row r="112">
      <c r="A112" s="21" t="inlineStr">
        <is>
          <t>Купить</t>
        </is>
      </c>
      <c r="B112" s="21" t="inlineStr">
        <is>
          <t>Гараж или машиноместо</t>
        </is>
      </c>
      <c r="C112" s="21" t="inlineStr">
        <is>
          <t>Челябинск</t>
        </is>
      </c>
      <c r="D112" s="22" t="n">
        <v>53</v>
      </c>
    </row>
    <row r="113">
      <c r="A113" s="21" t="inlineStr">
        <is>
          <t>Купить</t>
        </is>
      </c>
      <c r="B113" s="21" t="inlineStr">
        <is>
          <t>Гараж или машиноместо</t>
        </is>
      </c>
      <c r="C113" s="21" t="inlineStr">
        <is>
          <t>Уфа</t>
        </is>
      </c>
      <c r="D113" s="22" t="n">
        <v>62</v>
      </c>
    </row>
    <row r="114">
      <c r="A114" s="21" t="inlineStr">
        <is>
          <t>Купить</t>
        </is>
      </c>
      <c r="B114" s="21" t="inlineStr">
        <is>
          <t>Гараж или машиноместо</t>
        </is>
      </c>
      <c r="C114" s="21" t="inlineStr">
        <is>
          <t>Краснодар</t>
        </is>
      </c>
      <c r="D114" s="22" t="n">
        <v>266</v>
      </c>
    </row>
    <row r="115">
      <c r="A115" s="21" t="inlineStr">
        <is>
          <t>Купить</t>
        </is>
      </c>
      <c r="B115" s="21" t="inlineStr">
        <is>
          <t>Гараж или машиноместо</t>
        </is>
      </c>
      <c r="C115" s="21" t="inlineStr">
        <is>
          <t>Самара</t>
        </is>
      </c>
      <c r="D115" s="22" t="n">
        <v>50</v>
      </c>
    </row>
    <row r="116">
      <c r="A116" s="21" t="inlineStr">
        <is>
          <t>Купить</t>
        </is>
      </c>
      <c r="B116" s="21" t="inlineStr">
        <is>
          <t>Гараж или машиноместо</t>
        </is>
      </c>
      <c r="C116" s="21" t="inlineStr">
        <is>
          <t>Ростов-на-Дону</t>
        </is>
      </c>
      <c r="D116" s="22" t="n">
        <v>193</v>
      </c>
    </row>
    <row r="117">
      <c r="A117" s="21" t="inlineStr">
        <is>
          <t>Купить</t>
        </is>
      </c>
      <c r="B117" s="21" t="inlineStr">
        <is>
          <t>Гараж или машиноместо</t>
        </is>
      </c>
      <c r="C117" s="21" t="inlineStr">
        <is>
          <t>Омск</t>
        </is>
      </c>
      <c r="D117" s="22" t="n">
        <v>41</v>
      </c>
    </row>
    <row r="118">
      <c r="A118" s="21" t="inlineStr">
        <is>
          <t>Купить</t>
        </is>
      </c>
      <c r="B118" s="21" t="inlineStr">
        <is>
          <t>Гараж или машиноместо</t>
        </is>
      </c>
      <c r="C118" s="21" t="inlineStr">
        <is>
          <t>Воронеж</t>
        </is>
      </c>
      <c r="D118" s="22" t="n">
        <v>59</v>
      </c>
    </row>
    <row r="119">
      <c r="A119" s="21" t="inlineStr">
        <is>
          <t>Купить</t>
        </is>
      </c>
      <c r="B119" s="21" t="inlineStr">
        <is>
          <t>Гараж или машиноместо</t>
        </is>
      </c>
      <c r="C119" s="21" t="inlineStr">
        <is>
          <t>Пермь</t>
        </is>
      </c>
      <c r="D119" s="22" t="n">
        <v>61</v>
      </c>
    </row>
    <row r="120">
      <c r="A120" s="21" t="inlineStr">
        <is>
          <t>Купить</t>
        </is>
      </c>
      <c r="B120" s="21" t="inlineStr">
        <is>
          <t>Гараж или машиноместо</t>
        </is>
      </c>
      <c r="C120" s="21" t="inlineStr">
        <is>
          <t>Волгоград</t>
        </is>
      </c>
      <c r="D120" s="22" t="n">
        <v>26</v>
      </c>
    </row>
    <row r="121">
      <c r="A121" s="33" t="inlineStr">
        <is>
          <t>Снять</t>
        </is>
      </c>
      <c r="B121" s="34" t="inlineStr">
        <is>
          <t>Квартира</t>
        </is>
      </c>
      <c r="C121" s="33" t="inlineStr">
        <is>
          <t>🇷🇺 Вся Россия</t>
        </is>
      </c>
      <c r="D121" s="35" t="n">
        <v>66241</v>
      </c>
    </row>
    <row r="122">
      <c r="A122" s="21" t="inlineStr">
        <is>
          <t>Снять</t>
        </is>
      </c>
      <c r="B122" s="21" t="inlineStr">
        <is>
          <t>Квартира</t>
        </is>
      </c>
      <c r="C122" s="21" t="inlineStr">
        <is>
          <t>Москва</t>
        </is>
      </c>
      <c r="D122" s="22" t="n">
        <v>10697</v>
      </c>
    </row>
    <row r="123">
      <c r="A123" s="21" t="inlineStr">
        <is>
          <t>Снять</t>
        </is>
      </c>
      <c r="B123" s="21" t="inlineStr">
        <is>
          <t>Квартира</t>
        </is>
      </c>
      <c r="C123" s="21" t="inlineStr">
        <is>
          <t>Санкт-Петербург</t>
        </is>
      </c>
      <c r="D123" s="22" t="n">
        <v>5132</v>
      </c>
    </row>
    <row r="124">
      <c r="A124" s="21" t="inlineStr">
        <is>
          <t>Снять</t>
        </is>
      </c>
      <c r="B124" s="21" t="inlineStr">
        <is>
          <t>Квартира</t>
        </is>
      </c>
      <c r="C124" s="21" t="inlineStr">
        <is>
          <t>Новосибирск</t>
        </is>
      </c>
      <c r="D124" s="22" t="n">
        <v>6853</v>
      </c>
    </row>
    <row r="125">
      <c r="A125" s="21" t="inlineStr">
        <is>
          <t>Снять</t>
        </is>
      </c>
      <c r="B125" s="21" t="inlineStr">
        <is>
          <t>Квартира</t>
        </is>
      </c>
      <c r="C125" s="21" t="inlineStr">
        <is>
          <t>Екатеринбург</t>
        </is>
      </c>
      <c r="D125" s="22" t="n">
        <v>1594</v>
      </c>
    </row>
    <row r="126">
      <c r="A126" s="21" t="inlineStr">
        <is>
          <t>Снять</t>
        </is>
      </c>
      <c r="B126" s="21" t="inlineStr">
        <is>
          <t>Квартира</t>
        </is>
      </c>
      <c r="C126" s="21" t="inlineStr">
        <is>
          <t>Казань</t>
        </is>
      </c>
      <c r="D126" s="22" t="n">
        <v>1388</v>
      </c>
    </row>
    <row r="127">
      <c r="A127" s="21" t="inlineStr">
        <is>
          <t>Снять</t>
        </is>
      </c>
      <c r="B127" s="21" t="inlineStr">
        <is>
          <t>Квартира</t>
        </is>
      </c>
      <c r="C127" s="21" t="inlineStr">
        <is>
          <t>Красноярск</t>
        </is>
      </c>
      <c r="D127" s="22" t="n">
        <v>2032</v>
      </c>
    </row>
    <row r="128">
      <c r="A128" s="21" t="inlineStr">
        <is>
          <t>Снять</t>
        </is>
      </c>
      <c r="B128" s="21" t="inlineStr">
        <is>
          <t>Квартира</t>
        </is>
      </c>
      <c r="C128" s="21" t="inlineStr">
        <is>
          <t>Нижний Новгород</t>
        </is>
      </c>
      <c r="D128" s="22" t="n">
        <v>384</v>
      </c>
    </row>
    <row r="129">
      <c r="A129" s="21" t="inlineStr">
        <is>
          <t>Снять</t>
        </is>
      </c>
      <c r="B129" s="21" t="inlineStr">
        <is>
          <t>Квартира</t>
        </is>
      </c>
      <c r="C129" s="21" t="inlineStr">
        <is>
          <t>Челябинск</t>
        </is>
      </c>
      <c r="D129" s="22" t="n">
        <v>647</v>
      </c>
    </row>
    <row r="130">
      <c r="A130" s="21" t="inlineStr">
        <is>
          <t>Снять</t>
        </is>
      </c>
      <c r="B130" s="21" t="inlineStr">
        <is>
          <t>Квартира</t>
        </is>
      </c>
      <c r="C130" s="21" t="inlineStr">
        <is>
          <t>Уфа</t>
        </is>
      </c>
      <c r="D130" s="22" t="n">
        <v>4424</v>
      </c>
    </row>
    <row r="131">
      <c r="A131" s="21" t="inlineStr">
        <is>
          <t>Снять</t>
        </is>
      </c>
      <c r="B131" s="21" t="inlineStr">
        <is>
          <t>Квартира</t>
        </is>
      </c>
      <c r="C131" s="21" t="inlineStr">
        <is>
          <t>Краснодар</t>
        </is>
      </c>
      <c r="D131" s="22" t="n">
        <v>2345</v>
      </c>
    </row>
    <row r="132">
      <c r="A132" s="21" t="inlineStr">
        <is>
          <t>Снять</t>
        </is>
      </c>
      <c r="B132" s="21" t="inlineStr">
        <is>
          <t>Квартира</t>
        </is>
      </c>
      <c r="C132" s="21" t="inlineStr">
        <is>
          <t>Самара</t>
        </is>
      </c>
      <c r="D132" s="22" t="n">
        <v>606</v>
      </c>
    </row>
    <row r="133">
      <c r="A133" s="21" t="inlineStr">
        <is>
          <t>Снять</t>
        </is>
      </c>
      <c r="B133" s="21" t="inlineStr">
        <is>
          <t>Квартира</t>
        </is>
      </c>
      <c r="C133" s="21" t="inlineStr">
        <is>
          <t>Ростов-на-Дону</t>
        </is>
      </c>
      <c r="D133" s="22" t="n">
        <v>1631</v>
      </c>
    </row>
    <row r="134">
      <c r="A134" s="21" t="inlineStr">
        <is>
          <t>Снять</t>
        </is>
      </c>
      <c r="B134" s="21" t="inlineStr">
        <is>
          <t>Квартира</t>
        </is>
      </c>
      <c r="C134" s="21" t="inlineStr">
        <is>
          <t>Омск</t>
        </is>
      </c>
      <c r="D134" s="22" t="n">
        <v>614</v>
      </c>
    </row>
    <row r="135">
      <c r="A135" s="21" t="inlineStr">
        <is>
          <t>Снять</t>
        </is>
      </c>
      <c r="B135" s="21" t="inlineStr">
        <is>
          <t>Квартира</t>
        </is>
      </c>
      <c r="C135" s="21" t="inlineStr">
        <is>
          <t>Воронеж</t>
        </is>
      </c>
      <c r="D135" s="22" t="n">
        <v>624</v>
      </c>
    </row>
    <row r="136">
      <c r="A136" s="21" t="inlineStr">
        <is>
          <t>Снять</t>
        </is>
      </c>
      <c r="B136" s="21" t="inlineStr">
        <is>
          <t>Квартира</t>
        </is>
      </c>
      <c r="C136" s="21" t="inlineStr">
        <is>
          <t>Пермь</t>
        </is>
      </c>
      <c r="D136" s="22" t="n">
        <v>477</v>
      </c>
    </row>
    <row r="137">
      <c r="A137" s="21" t="inlineStr">
        <is>
          <t>Снять</t>
        </is>
      </c>
      <c r="B137" s="21" t="inlineStr">
        <is>
          <t>Квартира</t>
        </is>
      </c>
      <c r="C137" s="21" t="inlineStr">
        <is>
          <t>Волгоград</t>
        </is>
      </c>
      <c r="D137" s="22" t="n">
        <v>477</v>
      </c>
    </row>
    <row r="138">
      <c r="A138" s="33" t="inlineStr">
        <is>
          <t>Снять</t>
        </is>
      </c>
      <c r="B138" s="34" t="inlineStr">
        <is>
          <t>Комната</t>
        </is>
      </c>
      <c r="C138" s="33" t="inlineStr">
        <is>
          <t>🇷🇺 Вся Россия</t>
        </is>
      </c>
      <c r="D138" s="35" t="n">
        <v>2649</v>
      </c>
    </row>
    <row r="139">
      <c r="A139" s="21" t="inlineStr">
        <is>
          <t>Снять</t>
        </is>
      </c>
      <c r="B139" s="21" t="inlineStr">
        <is>
          <t>Комната</t>
        </is>
      </c>
      <c r="C139" s="21" t="inlineStr">
        <is>
          <t>Москва</t>
        </is>
      </c>
      <c r="D139" s="22" t="n">
        <v>208</v>
      </c>
    </row>
    <row r="140">
      <c r="A140" s="21" t="inlineStr">
        <is>
          <t>Снять</t>
        </is>
      </c>
      <c r="B140" s="21" t="inlineStr">
        <is>
          <t>Комната</t>
        </is>
      </c>
      <c r="C140" s="21" t="inlineStr">
        <is>
          <t>Санкт-Петербург</t>
        </is>
      </c>
      <c r="D140" s="22" t="n">
        <v>318</v>
      </c>
    </row>
    <row r="141">
      <c r="A141" s="21" t="inlineStr">
        <is>
          <t>Снять</t>
        </is>
      </c>
      <c r="B141" s="21" t="inlineStr">
        <is>
          <t>Комната</t>
        </is>
      </c>
      <c r="C141" s="21" t="inlineStr">
        <is>
          <t>Новосибирск</t>
        </is>
      </c>
      <c r="D141" s="22" t="n">
        <v>133</v>
      </c>
    </row>
    <row r="142">
      <c r="A142" s="21" t="inlineStr">
        <is>
          <t>Снять</t>
        </is>
      </c>
      <c r="B142" s="21" t="inlineStr">
        <is>
          <t>Комната</t>
        </is>
      </c>
      <c r="C142" s="21" t="inlineStr">
        <is>
          <t>Екатеринбург</t>
        </is>
      </c>
      <c r="D142" s="22" t="n">
        <v>115</v>
      </c>
    </row>
    <row r="143">
      <c r="A143" s="21" t="inlineStr">
        <is>
          <t>Снять</t>
        </is>
      </c>
      <c r="B143" s="21" t="inlineStr">
        <is>
          <t>Комната</t>
        </is>
      </c>
      <c r="C143" s="21" t="inlineStr">
        <is>
          <t>Казань</t>
        </is>
      </c>
      <c r="D143" s="22" t="n">
        <v>49</v>
      </c>
    </row>
    <row r="144">
      <c r="A144" s="21" t="inlineStr">
        <is>
          <t>Снять</t>
        </is>
      </c>
      <c r="B144" s="21" t="inlineStr">
        <is>
          <t>Комната</t>
        </is>
      </c>
      <c r="C144" s="21" t="inlineStr">
        <is>
          <t>Красноярск</t>
        </is>
      </c>
      <c r="D144" s="22" t="n">
        <v>159</v>
      </c>
    </row>
    <row r="145">
      <c r="A145" s="21" t="inlineStr">
        <is>
          <t>Снять</t>
        </is>
      </c>
      <c r="B145" s="21" t="inlineStr">
        <is>
          <t>Комната</t>
        </is>
      </c>
      <c r="C145" s="21" t="inlineStr">
        <is>
          <t>Нижний Новгород</t>
        </is>
      </c>
      <c r="D145" s="22" t="n">
        <v>68</v>
      </c>
    </row>
    <row r="146">
      <c r="A146" s="21" t="inlineStr">
        <is>
          <t>Снять</t>
        </is>
      </c>
      <c r="B146" s="21" t="inlineStr">
        <is>
          <t>Комната</t>
        </is>
      </c>
      <c r="C146" s="21" t="inlineStr">
        <is>
          <t>Челябинск</t>
        </is>
      </c>
      <c r="D146" s="22" t="n">
        <v>61</v>
      </c>
    </row>
    <row r="147">
      <c r="A147" s="21" t="inlineStr">
        <is>
          <t>Снять</t>
        </is>
      </c>
      <c r="B147" s="21" t="inlineStr">
        <is>
          <t>Комната</t>
        </is>
      </c>
      <c r="C147" s="21" t="inlineStr">
        <is>
          <t>Уфа</t>
        </is>
      </c>
      <c r="D147" s="22" t="n">
        <v>359</v>
      </c>
    </row>
    <row r="148">
      <c r="A148" s="21" t="inlineStr">
        <is>
          <t>Снять</t>
        </is>
      </c>
      <c r="B148" s="21" t="inlineStr">
        <is>
          <t>Комната</t>
        </is>
      </c>
      <c r="C148" s="21" t="inlineStr">
        <is>
          <t>Краснодар</t>
        </is>
      </c>
      <c r="D148" s="22" t="n">
        <v>17</v>
      </c>
    </row>
    <row r="149">
      <c r="A149" s="21" t="inlineStr">
        <is>
          <t>Снять</t>
        </is>
      </c>
      <c r="B149" s="21" t="inlineStr">
        <is>
          <t>Комната</t>
        </is>
      </c>
      <c r="C149" s="21" t="inlineStr">
        <is>
          <t>Самара</t>
        </is>
      </c>
      <c r="D149" s="22" t="n">
        <v>60</v>
      </c>
    </row>
    <row r="150">
      <c r="A150" s="21" t="inlineStr">
        <is>
          <t>Снять</t>
        </is>
      </c>
      <c r="B150" s="21" t="inlineStr">
        <is>
          <t>Комната</t>
        </is>
      </c>
      <c r="C150" s="21" t="inlineStr">
        <is>
          <t>Ростов-на-Дону</t>
        </is>
      </c>
      <c r="D150" s="22" t="n">
        <v>65</v>
      </c>
    </row>
    <row r="151">
      <c r="A151" s="21" t="inlineStr">
        <is>
          <t>Снять</t>
        </is>
      </c>
      <c r="B151" s="21" t="inlineStr">
        <is>
          <t>Комната</t>
        </is>
      </c>
      <c r="C151" s="21" t="inlineStr">
        <is>
          <t>Омск</t>
        </is>
      </c>
      <c r="D151" s="22" t="n">
        <v>30</v>
      </c>
    </row>
    <row r="152">
      <c r="A152" s="21" t="inlineStr">
        <is>
          <t>Снять</t>
        </is>
      </c>
      <c r="B152" s="21" t="inlineStr">
        <is>
          <t>Комната</t>
        </is>
      </c>
      <c r="C152" s="21" t="inlineStr">
        <is>
          <t>Воронеж</t>
        </is>
      </c>
      <c r="D152" s="22" t="n">
        <v>14</v>
      </c>
    </row>
    <row r="153">
      <c r="A153" s="21" t="inlineStr">
        <is>
          <t>Снять</t>
        </is>
      </c>
      <c r="B153" s="21" t="inlineStr">
        <is>
          <t>Комната</t>
        </is>
      </c>
      <c r="C153" s="21" t="inlineStr">
        <is>
          <t>Пермь</t>
        </is>
      </c>
      <c r="D153" s="22" t="n">
        <v>32</v>
      </c>
    </row>
    <row r="154">
      <c r="A154" s="21" t="inlineStr">
        <is>
          <t>Снять</t>
        </is>
      </c>
      <c r="B154" s="21" t="inlineStr">
        <is>
          <t>Комната</t>
        </is>
      </c>
      <c r="C154" s="21" t="inlineStr">
        <is>
          <t>Волгоград</t>
        </is>
      </c>
      <c r="D154" s="22" t="n">
        <v>33</v>
      </c>
    </row>
    <row r="155">
      <c r="A155" s="33" t="inlineStr">
        <is>
          <t>Снять</t>
        </is>
      </c>
      <c r="B155" s="34" t="inlineStr">
        <is>
          <t>Дом или коттедж</t>
        </is>
      </c>
      <c r="C155" s="33" t="inlineStr">
        <is>
          <t>🇷🇺 Вся Россия</t>
        </is>
      </c>
      <c r="D155" s="35" t="n">
        <v>2509</v>
      </c>
    </row>
    <row r="156">
      <c r="A156" s="21" t="inlineStr">
        <is>
          <t>Снять</t>
        </is>
      </c>
      <c r="B156" s="21" t="inlineStr">
        <is>
          <t>Дом или коттедж</t>
        </is>
      </c>
      <c r="C156" s="21" t="inlineStr">
        <is>
          <t>Москва</t>
        </is>
      </c>
      <c r="D156" s="22" t="n">
        <v>95</v>
      </c>
    </row>
    <row r="157">
      <c r="A157" s="21" t="inlineStr">
        <is>
          <t>Снять</t>
        </is>
      </c>
      <c r="B157" s="21" t="inlineStr">
        <is>
          <t>Дом или коттедж</t>
        </is>
      </c>
      <c r="C157" s="21" t="inlineStr">
        <is>
          <t>Санкт-Петербург</t>
        </is>
      </c>
      <c r="D157" s="22" t="n">
        <v>66</v>
      </c>
    </row>
    <row r="158">
      <c r="A158" s="21" t="inlineStr">
        <is>
          <t>Снять</t>
        </is>
      </c>
      <c r="B158" s="21" t="inlineStr">
        <is>
          <t>Дом или коттедж</t>
        </is>
      </c>
      <c r="C158" s="21" t="inlineStr">
        <is>
          <t>Новосибирск</t>
        </is>
      </c>
      <c r="D158" s="22" t="n">
        <v>28</v>
      </c>
    </row>
    <row r="159">
      <c r="A159" s="21" t="inlineStr">
        <is>
          <t>Снять</t>
        </is>
      </c>
      <c r="B159" s="21" t="inlineStr">
        <is>
          <t>Дом или коттедж</t>
        </is>
      </c>
      <c r="C159" s="21" t="inlineStr">
        <is>
          <t>Екатеринбург</t>
        </is>
      </c>
      <c r="D159" s="22" t="n">
        <v>0</v>
      </c>
    </row>
    <row r="160">
      <c r="A160" s="21" t="inlineStr">
        <is>
          <t>Снять</t>
        </is>
      </c>
      <c r="B160" s="21" t="inlineStr">
        <is>
          <t>Дом или коттедж</t>
        </is>
      </c>
      <c r="C160" s="21" t="inlineStr">
        <is>
          <t>Казань</t>
        </is>
      </c>
      <c r="D160" s="22" t="n">
        <v>20</v>
      </c>
    </row>
    <row r="161">
      <c r="A161" s="21" t="inlineStr">
        <is>
          <t>Снять</t>
        </is>
      </c>
      <c r="B161" s="21" t="inlineStr">
        <is>
          <t>Дом или коттедж</t>
        </is>
      </c>
      <c r="C161" s="21" t="inlineStr">
        <is>
          <t>Красноярск</t>
        </is>
      </c>
      <c r="D161" s="22" t="n">
        <v>14</v>
      </c>
    </row>
    <row r="162">
      <c r="A162" s="21" t="inlineStr">
        <is>
          <t>Снять</t>
        </is>
      </c>
      <c r="B162" s="21" t="inlineStr">
        <is>
          <t>Дом или коттедж</t>
        </is>
      </c>
      <c r="C162" s="21" t="inlineStr">
        <is>
          <t>Нижний Новгород</t>
        </is>
      </c>
      <c r="D162" s="22" t="n">
        <v>0</v>
      </c>
    </row>
    <row r="163">
      <c r="A163" s="21" t="inlineStr">
        <is>
          <t>Снять</t>
        </is>
      </c>
      <c r="B163" s="21" t="inlineStr">
        <is>
          <t>Дом или коттедж</t>
        </is>
      </c>
      <c r="C163" s="21" t="inlineStr">
        <is>
          <t>Челябинск</t>
        </is>
      </c>
      <c r="D163" s="22" t="n">
        <v>0</v>
      </c>
    </row>
    <row r="164">
      <c r="A164" s="21" t="inlineStr">
        <is>
          <t>Снять</t>
        </is>
      </c>
      <c r="B164" s="21" t="inlineStr">
        <is>
          <t>Дом или коттедж</t>
        </is>
      </c>
      <c r="C164" s="21" t="inlineStr">
        <is>
          <t>Уфа</t>
        </is>
      </c>
      <c r="D164" s="22" t="n">
        <v>13</v>
      </c>
    </row>
    <row r="165">
      <c r="A165" s="21" t="inlineStr">
        <is>
          <t>Снять</t>
        </is>
      </c>
      <c r="B165" s="21" t="inlineStr">
        <is>
          <t>Дом или коттедж</t>
        </is>
      </c>
      <c r="C165" s="21" t="inlineStr">
        <is>
          <t>Краснодар</t>
        </is>
      </c>
      <c r="D165" s="22" t="n">
        <v>36</v>
      </c>
    </row>
    <row r="166">
      <c r="A166" s="21" t="inlineStr">
        <is>
          <t>Снять</t>
        </is>
      </c>
      <c r="B166" s="21" t="inlineStr">
        <is>
          <t>Дом или коттедж</t>
        </is>
      </c>
      <c r="C166" s="21" t="inlineStr">
        <is>
          <t>Самара</t>
        </is>
      </c>
      <c r="D166" s="22" t="n">
        <v>14</v>
      </c>
    </row>
    <row r="167">
      <c r="A167" s="21" t="inlineStr">
        <is>
          <t>Снять</t>
        </is>
      </c>
      <c r="B167" s="21" t="inlineStr">
        <is>
          <t>Дом или коттедж</t>
        </is>
      </c>
      <c r="C167" s="21" t="inlineStr">
        <is>
          <t>Ростов-на-Дону</t>
        </is>
      </c>
      <c r="D167" s="22" t="n">
        <v>73</v>
      </c>
    </row>
    <row r="168">
      <c r="A168" s="21" t="inlineStr">
        <is>
          <t>Снять</t>
        </is>
      </c>
      <c r="B168" s="21" t="inlineStr">
        <is>
          <t>Дом или коттедж</t>
        </is>
      </c>
      <c r="C168" s="21" t="inlineStr">
        <is>
          <t>Омск</t>
        </is>
      </c>
      <c r="D168" s="22" t="n">
        <v>0</v>
      </c>
    </row>
    <row r="169">
      <c r="A169" s="21" t="inlineStr">
        <is>
          <t>Снять</t>
        </is>
      </c>
      <c r="B169" s="21" t="inlineStr">
        <is>
          <t>Дом или коттедж</t>
        </is>
      </c>
      <c r="C169" s="21" t="inlineStr">
        <is>
          <t>Воронеж</t>
        </is>
      </c>
      <c r="D169" s="22" t="n">
        <v>0</v>
      </c>
    </row>
    <row r="170">
      <c r="A170" s="21" t="inlineStr">
        <is>
          <t>Снять</t>
        </is>
      </c>
      <c r="B170" s="21" t="inlineStr">
        <is>
          <t>Дом или коттедж</t>
        </is>
      </c>
      <c r="C170" s="21" t="inlineStr">
        <is>
          <t>Пермь</t>
        </is>
      </c>
      <c r="D170" s="22" t="n">
        <v>0</v>
      </c>
    </row>
    <row r="171">
      <c r="A171" s="21" t="inlineStr">
        <is>
          <t>Снять</t>
        </is>
      </c>
      <c r="B171" s="21" t="inlineStr">
        <is>
          <t>Дом или коттедж</t>
        </is>
      </c>
      <c r="C171" s="21" t="inlineStr">
        <is>
          <t>Волгоград</t>
        </is>
      </c>
      <c r="D171" s="22" t="n">
        <v>16</v>
      </c>
    </row>
    <row r="172">
      <c r="A172" s="33" t="inlineStr">
        <is>
          <t>Снять</t>
        </is>
      </c>
      <c r="B172" s="34" t="inlineStr">
        <is>
          <t>Гараж или машиноместо</t>
        </is>
      </c>
      <c r="C172" s="33" t="inlineStr">
        <is>
          <t>🇷🇺 Вся Россия</t>
        </is>
      </c>
      <c r="D172" s="35" t="n">
        <v>635</v>
      </c>
    </row>
    <row r="173">
      <c r="A173" s="21" t="inlineStr">
        <is>
          <t>Снять</t>
        </is>
      </c>
      <c r="B173" s="21" t="inlineStr">
        <is>
          <t>Гараж или машиноместо</t>
        </is>
      </c>
      <c r="C173" s="21" t="inlineStr">
        <is>
          <t>Москва</t>
        </is>
      </c>
      <c r="D173" s="22" t="n">
        <v>197</v>
      </c>
    </row>
    <row r="174">
      <c r="A174" s="21" t="inlineStr">
        <is>
          <t>Снять</t>
        </is>
      </c>
      <c r="B174" s="21" t="inlineStr">
        <is>
          <t>Гараж или машиноместо</t>
        </is>
      </c>
      <c r="C174" s="21" t="inlineStr">
        <is>
          <t>Санкт-Петербург</t>
        </is>
      </c>
      <c r="D174" s="22" t="n">
        <v>114</v>
      </c>
    </row>
    <row r="175">
      <c r="A175" s="21" t="inlineStr">
        <is>
          <t>Снять</t>
        </is>
      </c>
      <c r="B175" s="21" t="inlineStr">
        <is>
          <t>Гараж или машиноместо</t>
        </is>
      </c>
      <c r="C175" s="21" t="inlineStr">
        <is>
          <t>Новосибирск</t>
        </is>
      </c>
      <c r="D175" s="22" t="n">
        <v>42</v>
      </c>
    </row>
    <row r="176">
      <c r="A176" s="21" t="inlineStr">
        <is>
          <t>Снять</t>
        </is>
      </c>
      <c r="B176" s="21" t="inlineStr">
        <is>
          <t>Гараж или машиноместо</t>
        </is>
      </c>
      <c r="C176" s="21" t="inlineStr">
        <is>
          <t>Екатеринбург</t>
        </is>
      </c>
      <c r="D176" s="22" t="n">
        <v>75</v>
      </c>
    </row>
    <row r="177">
      <c r="A177" s="21" t="inlineStr">
        <is>
          <t>Снять</t>
        </is>
      </c>
      <c r="B177" s="21" t="inlineStr">
        <is>
          <t>Гараж или машиноместо</t>
        </is>
      </c>
      <c r="C177" s="21" t="inlineStr">
        <is>
          <t>Казань</t>
        </is>
      </c>
      <c r="D177" s="22" t="n">
        <v>0</v>
      </c>
    </row>
    <row r="178">
      <c r="A178" s="21" t="inlineStr">
        <is>
          <t>Снять</t>
        </is>
      </c>
      <c r="B178" s="21" t="inlineStr">
        <is>
          <t>Гараж или машиноместо</t>
        </is>
      </c>
      <c r="C178" s="21" t="inlineStr">
        <is>
          <t>Красноярск</t>
        </is>
      </c>
      <c r="D178" s="22" t="n">
        <v>0</v>
      </c>
    </row>
    <row r="179">
      <c r="A179" s="21" t="inlineStr">
        <is>
          <t>Снять</t>
        </is>
      </c>
      <c r="B179" s="21" t="inlineStr">
        <is>
          <t>Гараж или машиноместо</t>
        </is>
      </c>
      <c r="C179" s="21" t="inlineStr">
        <is>
          <t>Нижний Новгород</t>
        </is>
      </c>
      <c r="D179" s="22" t="n">
        <v>11</v>
      </c>
    </row>
    <row r="180">
      <c r="A180" s="21" t="inlineStr">
        <is>
          <t>Снять</t>
        </is>
      </c>
      <c r="B180" s="21" t="inlineStr">
        <is>
          <t>Гараж или машиноместо</t>
        </is>
      </c>
      <c r="C180" s="21" t="inlineStr">
        <is>
          <t>Челябинск</t>
        </is>
      </c>
      <c r="D180" s="22" t="n">
        <v>13</v>
      </c>
    </row>
    <row r="181">
      <c r="A181" s="21" t="inlineStr">
        <is>
          <t>Снять</t>
        </is>
      </c>
      <c r="B181" s="21" t="inlineStr">
        <is>
          <t>Гараж или машиноместо</t>
        </is>
      </c>
      <c r="C181" s="21" t="inlineStr">
        <is>
          <t>Уфа</t>
        </is>
      </c>
      <c r="D181" s="22" t="n">
        <v>0</v>
      </c>
    </row>
    <row r="182">
      <c r="A182" s="21" t="inlineStr">
        <is>
          <t>Снять</t>
        </is>
      </c>
      <c r="B182" s="21" t="inlineStr">
        <is>
          <t>Гараж или машиноместо</t>
        </is>
      </c>
      <c r="C182" s="21" t="inlineStr">
        <is>
          <t>Краснодар</t>
        </is>
      </c>
      <c r="D182" s="22" t="n">
        <v>10</v>
      </c>
    </row>
    <row r="183">
      <c r="A183" s="21" t="inlineStr">
        <is>
          <t>Снять</t>
        </is>
      </c>
      <c r="B183" s="21" t="inlineStr">
        <is>
          <t>Гараж или машиноместо</t>
        </is>
      </c>
      <c r="C183" s="21" t="inlineStr">
        <is>
          <t>Самара</t>
        </is>
      </c>
      <c r="D183" s="22" t="n">
        <v>0</v>
      </c>
    </row>
    <row r="184">
      <c r="A184" s="21" t="inlineStr">
        <is>
          <t>Снять</t>
        </is>
      </c>
      <c r="B184" s="21" t="inlineStr">
        <is>
          <t>Гараж или машиноместо</t>
        </is>
      </c>
      <c r="C184" s="21" t="inlineStr">
        <is>
          <t>Ростов-на-Дону</t>
        </is>
      </c>
      <c r="D184" s="22" t="n">
        <v>12</v>
      </c>
    </row>
    <row r="185">
      <c r="A185" s="21" t="inlineStr">
        <is>
          <t>Снять</t>
        </is>
      </c>
      <c r="B185" s="21" t="inlineStr">
        <is>
          <t>Гараж или машиноместо</t>
        </is>
      </c>
      <c r="C185" s="21" t="inlineStr">
        <is>
          <t>Омск</t>
        </is>
      </c>
      <c r="D185" s="22" t="n">
        <v>0</v>
      </c>
    </row>
    <row r="186">
      <c r="A186" s="21" t="inlineStr">
        <is>
          <t>Снять</t>
        </is>
      </c>
      <c r="B186" s="21" t="inlineStr">
        <is>
          <t>Гараж или машиноместо</t>
        </is>
      </c>
      <c r="C186" s="21" t="inlineStr">
        <is>
          <t>Воронеж</t>
        </is>
      </c>
      <c r="D186" s="22" t="n">
        <v>0</v>
      </c>
    </row>
    <row r="187">
      <c r="A187" s="21" t="inlineStr">
        <is>
          <t>Снять</t>
        </is>
      </c>
      <c r="B187" s="21" t="inlineStr">
        <is>
          <t>Гараж или машиноместо</t>
        </is>
      </c>
      <c r="C187" s="21" t="inlineStr">
        <is>
          <t>Пермь</t>
        </is>
      </c>
      <c r="D187" s="22" t="n">
        <v>0</v>
      </c>
    </row>
    <row r="188">
      <c r="A188" s="21" t="inlineStr">
        <is>
          <t>Снять</t>
        </is>
      </c>
      <c r="B188" s="21" t="inlineStr">
        <is>
          <t>Гараж или машиноместо</t>
        </is>
      </c>
      <c r="C188" s="21" t="inlineStr">
        <is>
          <t>Волгоград</t>
        </is>
      </c>
      <c r="D188" s="22" t="n">
        <v>0</v>
      </c>
    </row>
    <row r="189">
      <c r="A189" s="33" t="inlineStr">
        <is>
          <t>Снять</t>
        </is>
      </c>
      <c r="B189" s="34" t="inlineStr">
        <is>
          <t>Посуточно</t>
        </is>
      </c>
      <c r="C189" s="33" t="inlineStr">
        <is>
          <t>🇷🇺 Вся Россия</t>
        </is>
      </c>
      <c r="D189" s="35" t="n">
        <v>68591</v>
      </c>
    </row>
    <row r="190">
      <c r="A190" s="21" t="inlineStr">
        <is>
          <t>Снять</t>
        </is>
      </c>
      <c r="B190" s="21" t="inlineStr">
        <is>
          <t>Посуточно</t>
        </is>
      </c>
      <c r="C190" s="21" t="inlineStr">
        <is>
          <t>Москва</t>
        </is>
      </c>
      <c r="D190" s="22" t="n">
        <v>6798</v>
      </c>
    </row>
    <row r="191">
      <c r="A191" s="21" t="inlineStr">
        <is>
          <t>Снять</t>
        </is>
      </c>
      <c r="B191" s="21" t="inlineStr">
        <is>
          <t>Посуточно</t>
        </is>
      </c>
      <c r="C191" s="21" t="inlineStr">
        <is>
          <t>Санкт-Петербург</t>
        </is>
      </c>
      <c r="D191" s="22" t="n">
        <v>5192</v>
      </c>
    </row>
    <row r="192">
      <c r="A192" s="21" t="inlineStr">
        <is>
          <t>Снять</t>
        </is>
      </c>
      <c r="B192" s="21" t="inlineStr">
        <is>
          <t>Посуточно</t>
        </is>
      </c>
      <c r="C192" s="21" t="inlineStr">
        <is>
          <t>Новосибирск</t>
        </is>
      </c>
      <c r="D192" s="22" t="n">
        <v>1852</v>
      </c>
    </row>
    <row r="193">
      <c r="A193" s="21" t="inlineStr">
        <is>
          <t>Снять</t>
        </is>
      </c>
      <c r="B193" s="21" t="inlineStr">
        <is>
          <t>Посуточно</t>
        </is>
      </c>
      <c r="C193" s="21" t="inlineStr">
        <is>
          <t>Екатеринбург</t>
        </is>
      </c>
      <c r="D193" s="22" t="n">
        <v>1769</v>
      </c>
    </row>
    <row r="194">
      <c r="A194" s="21" t="inlineStr">
        <is>
          <t>Снять</t>
        </is>
      </c>
      <c r="B194" s="21" t="inlineStr">
        <is>
          <t>Посуточно</t>
        </is>
      </c>
      <c r="C194" s="21" t="inlineStr">
        <is>
          <t>Казань</t>
        </is>
      </c>
      <c r="D194" s="22" t="n">
        <v>1256</v>
      </c>
    </row>
    <row r="195">
      <c r="A195" s="21" t="inlineStr">
        <is>
          <t>Снять</t>
        </is>
      </c>
      <c r="B195" s="21" t="inlineStr">
        <is>
          <t>Посуточно</t>
        </is>
      </c>
      <c r="C195" s="21" t="inlineStr">
        <is>
          <t>Красноярск</t>
        </is>
      </c>
      <c r="D195" s="22" t="n">
        <v>1413</v>
      </c>
    </row>
    <row r="196">
      <c r="A196" s="21" t="inlineStr">
        <is>
          <t>Снять</t>
        </is>
      </c>
      <c r="B196" s="21" t="inlineStr">
        <is>
          <t>Посуточно</t>
        </is>
      </c>
      <c r="C196" s="21" t="inlineStr">
        <is>
          <t>Нижний Новгород</t>
        </is>
      </c>
      <c r="D196" s="22" t="n">
        <v>1435</v>
      </c>
    </row>
    <row r="197">
      <c r="A197" s="21" t="inlineStr">
        <is>
          <t>Снять</t>
        </is>
      </c>
      <c r="B197" s="21" t="inlineStr">
        <is>
          <t>Посуточно</t>
        </is>
      </c>
      <c r="C197" s="21" t="inlineStr">
        <is>
          <t>Челябинск</t>
        </is>
      </c>
      <c r="D197" s="22" t="n">
        <v>729</v>
      </c>
    </row>
    <row r="198">
      <c r="A198" s="21" t="inlineStr">
        <is>
          <t>Снять</t>
        </is>
      </c>
      <c r="B198" s="21" t="inlineStr">
        <is>
          <t>Посуточно</t>
        </is>
      </c>
      <c r="C198" s="21" t="inlineStr">
        <is>
          <t>Уфа</t>
        </is>
      </c>
      <c r="D198" s="22" t="n">
        <v>1343</v>
      </c>
    </row>
    <row r="199">
      <c r="A199" s="21" t="inlineStr">
        <is>
          <t>Снять</t>
        </is>
      </c>
      <c r="B199" s="21" t="inlineStr">
        <is>
          <t>Посуточно</t>
        </is>
      </c>
      <c r="C199" s="21" t="inlineStr">
        <is>
          <t>Краснодар</t>
        </is>
      </c>
      <c r="D199" s="22" t="n">
        <v>1195</v>
      </c>
    </row>
    <row r="200">
      <c r="A200" s="21" t="inlineStr">
        <is>
          <t>Снять</t>
        </is>
      </c>
      <c r="B200" s="21" t="inlineStr">
        <is>
          <t>Посуточно</t>
        </is>
      </c>
      <c r="C200" s="21" t="inlineStr">
        <is>
          <t>Самара</t>
        </is>
      </c>
      <c r="D200" s="22" t="n">
        <v>1016</v>
      </c>
    </row>
    <row r="201">
      <c r="A201" s="21" t="inlineStr">
        <is>
          <t>Снять</t>
        </is>
      </c>
      <c r="B201" s="21" t="inlineStr">
        <is>
          <t>Посуточно</t>
        </is>
      </c>
      <c r="C201" s="21" t="inlineStr">
        <is>
          <t>Ростов-на-Дону</t>
        </is>
      </c>
      <c r="D201" s="22" t="n">
        <v>1221</v>
      </c>
    </row>
    <row r="202">
      <c r="A202" s="21" t="inlineStr">
        <is>
          <t>Снять</t>
        </is>
      </c>
      <c r="B202" s="21" t="inlineStr">
        <is>
          <t>Посуточно</t>
        </is>
      </c>
      <c r="C202" s="21" t="inlineStr">
        <is>
          <t>Омск</t>
        </is>
      </c>
      <c r="D202" s="22" t="n">
        <v>553</v>
      </c>
    </row>
    <row r="203">
      <c r="A203" s="21" t="inlineStr">
        <is>
          <t>Снять</t>
        </is>
      </c>
      <c r="B203" s="21" t="inlineStr">
        <is>
          <t>Посуточно</t>
        </is>
      </c>
      <c r="C203" s="21" t="inlineStr">
        <is>
          <t>Воронеж</t>
        </is>
      </c>
      <c r="D203" s="22" t="n">
        <v>746</v>
      </c>
    </row>
    <row r="204">
      <c r="A204" s="21" t="inlineStr">
        <is>
          <t>Снять</t>
        </is>
      </c>
      <c r="B204" s="21" t="inlineStr">
        <is>
          <t>Посуточно</t>
        </is>
      </c>
      <c r="C204" s="21" t="inlineStr">
        <is>
          <t>Пермь</t>
        </is>
      </c>
      <c r="D204" s="22" t="n">
        <v>749</v>
      </c>
    </row>
    <row r="205">
      <c r="A205" s="21" t="inlineStr">
        <is>
          <t>Снять</t>
        </is>
      </c>
      <c r="B205" s="21" t="inlineStr">
        <is>
          <t>Посуточно</t>
        </is>
      </c>
      <c r="C205" s="21" t="inlineStr">
        <is>
          <t>Волгоград</t>
        </is>
      </c>
      <c r="D205" s="22" t="n">
        <v>904</v>
      </c>
    </row>
    <row r="206">
      <c r="A206" s="33" t="inlineStr">
        <is>
          <t>Коммерческая</t>
        </is>
      </c>
      <c r="B206" s="34" t="inlineStr">
        <is>
          <t>Продажа</t>
        </is>
      </c>
      <c r="C206" s="33" t="inlineStr">
        <is>
          <t>🇷🇺 Вся Россия</t>
        </is>
      </c>
      <c r="D206" s="35" t="n">
        <v>98873</v>
      </c>
    </row>
    <row r="207">
      <c r="A207" s="21" t="inlineStr">
        <is>
          <t>Коммерческая</t>
        </is>
      </c>
      <c r="B207" s="21" t="inlineStr">
        <is>
          <t>Продажа</t>
        </is>
      </c>
      <c r="C207" s="21" t="inlineStr">
        <is>
          <t>Москва</t>
        </is>
      </c>
      <c r="D207" s="22" t="n">
        <v>28367</v>
      </c>
    </row>
    <row r="208">
      <c r="A208" s="21" t="inlineStr">
        <is>
          <t>Коммерческая</t>
        </is>
      </c>
      <c r="B208" s="21" t="inlineStr">
        <is>
          <t>Продажа</t>
        </is>
      </c>
      <c r="C208" s="21" t="inlineStr">
        <is>
          <t>Санкт-Петербург</t>
        </is>
      </c>
      <c r="D208" s="22" t="n">
        <v>6275</v>
      </c>
    </row>
    <row r="209">
      <c r="A209" s="21" t="inlineStr">
        <is>
          <t>Коммерческая</t>
        </is>
      </c>
      <c r="B209" s="21" t="inlineStr">
        <is>
          <t>Продажа</t>
        </is>
      </c>
      <c r="C209" s="21" t="inlineStr">
        <is>
          <t>Новосибирск</t>
        </is>
      </c>
      <c r="D209" s="22" t="n">
        <v>1722</v>
      </c>
    </row>
    <row r="210">
      <c r="A210" s="21" t="inlineStr">
        <is>
          <t>Коммерческая</t>
        </is>
      </c>
      <c r="B210" s="21" t="inlineStr">
        <is>
          <t>Продажа</t>
        </is>
      </c>
      <c r="C210" s="21" t="inlineStr">
        <is>
          <t>Екатеринбург</t>
        </is>
      </c>
      <c r="D210" s="22" t="n">
        <v>1287</v>
      </c>
    </row>
    <row r="211">
      <c r="A211" s="21" t="inlineStr">
        <is>
          <t>Коммерческая</t>
        </is>
      </c>
      <c r="B211" s="21" t="inlineStr">
        <is>
          <t>Продажа</t>
        </is>
      </c>
      <c r="C211" s="21" t="inlineStr">
        <is>
          <t>Казань</t>
        </is>
      </c>
      <c r="D211" s="22" t="n">
        <v>1168</v>
      </c>
    </row>
    <row r="212">
      <c r="A212" s="21" t="inlineStr">
        <is>
          <t>Коммерческая</t>
        </is>
      </c>
      <c r="B212" s="21" t="inlineStr">
        <is>
          <t>Продажа</t>
        </is>
      </c>
      <c r="C212" s="21" t="inlineStr">
        <is>
          <t>Красноярск</t>
        </is>
      </c>
      <c r="D212" s="22" t="n">
        <v>727</v>
      </c>
    </row>
    <row r="213">
      <c r="A213" s="21" t="inlineStr">
        <is>
          <t>Коммерческая</t>
        </is>
      </c>
      <c r="B213" s="21" t="inlineStr">
        <is>
          <t>Продажа</t>
        </is>
      </c>
      <c r="C213" s="21" t="inlineStr">
        <is>
          <t>Нижний Новгород</t>
        </is>
      </c>
      <c r="D213" s="22" t="n">
        <v>649</v>
      </c>
    </row>
    <row r="214">
      <c r="A214" s="21" t="inlineStr">
        <is>
          <t>Коммерческая</t>
        </is>
      </c>
      <c r="B214" s="21" t="inlineStr">
        <is>
          <t>Продажа</t>
        </is>
      </c>
      <c r="C214" s="21" t="inlineStr">
        <is>
          <t>Челябинск</t>
        </is>
      </c>
      <c r="D214" s="22" t="n">
        <v>533</v>
      </c>
    </row>
    <row r="215">
      <c r="A215" s="21" t="inlineStr">
        <is>
          <t>Коммерческая</t>
        </is>
      </c>
      <c r="B215" s="21" t="inlineStr">
        <is>
          <t>Продажа</t>
        </is>
      </c>
      <c r="C215" s="21" t="inlineStr">
        <is>
          <t>Уфа</t>
        </is>
      </c>
      <c r="D215" s="22" t="n">
        <v>1481</v>
      </c>
    </row>
    <row r="216">
      <c r="A216" s="21" t="inlineStr">
        <is>
          <t>Коммерческая</t>
        </is>
      </c>
      <c r="B216" s="21" t="inlineStr">
        <is>
          <t>Продажа</t>
        </is>
      </c>
      <c r="C216" s="21" t="inlineStr">
        <is>
          <t>Краснодар</t>
        </is>
      </c>
      <c r="D216" s="22" t="n">
        <v>3254</v>
      </c>
    </row>
    <row r="217">
      <c r="A217" s="21" t="inlineStr">
        <is>
          <t>Коммерческая</t>
        </is>
      </c>
      <c r="B217" s="21" t="inlineStr">
        <is>
          <t>Продажа</t>
        </is>
      </c>
      <c r="C217" s="21" t="inlineStr">
        <is>
          <t>Самара</t>
        </is>
      </c>
      <c r="D217" s="22" t="n">
        <v>1089</v>
      </c>
    </row>
    <row r="218">
      <c r="A218" s="21" t="inlineStr">
        <is>
          <t>Коммерческая</t>
        </is>
      </c>
      <c r="B218" s="21" t="inlineStr">
        <is>
          <t>Продажа</t>
        </is>
      </c>
      <c r="C218" s="21" t="inlineStr">
        <is>
          <t>Ростов-на-Дону</t>
        </is>
      </c>
      <c r="D218" s="22" t="n">
        <v>1565</v>
      </c>
    </row>
    <row r="219">
      <c r="A219" s="21" t="inlineStr">
        <is>
          <t>Коммерческая</t>
        </is>
      </c>
      <c r="B219" s="21" t="inlineStr">
        <is>
          <t>Продажа</t>
        </is>
      </c>
      <c r="C219" s="21" t="inlineStr">
        <is>
          <t>Омск</t>
        </is>
      </c>
      <c r="D219" s="22" t="n">
        <v>721</v>
      </c>
    </row>
    <row r="220">
      <c r="A220" s="21" t="inlineStr">
        <is>
          <t>Коммерческая</t>
        </is>
      </c>
      <c r="B220" s="21" t="inlineStr">
        <is>
          <t>Продажа</t>
        </is>
      </c>
      <c r="C220" s="21" t="inlineStr">
        <is>
          <t>Воронеж</t>
        </is>
      </c>
      <c r="D220" s="22" t="n">
        <v>464</v>
      </c>
    </row>
    <row r="221">
      <c r="A221" s="21" t="inlineStr">
        <is>
          <t>Коммерческая</t>
        </is>
      </c>
      <c r="B221" s="21" t="inlineStr">
        <is>
          <t>Продажа</t>
        </is>
      </c>
      <c r="C221" s="21" t="inlineStr">
        <is>
          <t>Пермь</t>
        </is>
      </c>
      <c r="D221" s="22" t="n">
        <v>352</v>
      </c>
    </row>
    <row r="222">
      <c r="A222" s="21" t="inlineStr">
        <is>
          <t>Коммерческая</t>
        </is>
      </c>
      <c r="B222" s="21" t="inlineStr">
        <is>
          <t>Продажа</t>
        </is>
      </c>
      <c r="C222" s="21" t="inlineStr">
        <is>
          <t>Волгоград</t>
        </is>
      </c>
      <c r="D222" s="22" t="n">
        <v>385</v>
      </c>
    </row>
    <row r="223">
      <c r="A223" s="33" t="inlineStr">
        <is>
          <t>Коммерческая</t>
        </is>
      </c>
      <c r="B223" s="34" t="inlineStr">
        <is>
          <t>Аренда</t>
        </is>
      </c>
      <c r="C223" s="33" t="inlineStr">
        <is>
          <t>🇷🇺 Вся Россия</t>
        </is>
      </c>
      <c r="D223" s="35" t="n">
        <v>141695</v>
      </c>
    </row>
    <row r="224">
      <c r="A224" s="21" t="inlineStr">
        <is>
          <t>Коммерческая</t>
        </is>
      </c>
      <c r="B224" s="21" t="inlineStr">
        <is>
          <t>Аренда</t>
        </is>
      </c>
      <c r="C224" s="21" t="inlineStr">
        <is>
          <t>Москва</t>
        </is>
      </c>
      <c r="D224" s="22" t="n">
        <v>54729</v>
      </c>
    </row>
    <row r="225">
      <c r="A225" s="21" t="inlineStr">
        <is>
          <t>Коммерческая</t>
        </is>
      </c>
      <c r="B225" s="21" t="inlineStr">
        <is>
          <t>Аренда</t>
        </is>
      </c>
      <c r="C225" s="21" t="inlineStr">
        <is>
          <t>Санкт-Петербург</t>
        </is>
      </c>
      <c r="D225" s="22" t="n">
        <v>21494</v>
      </c>
    </row>
    <row r="226">
      <c r="A226" s="21" t="inlineStr">
        <is>
          <t>Коммерческая</t>
        </is>
      </c>
      <c r="B226" s="21" t="inlineStr">
        <is>
          <t>Аренда</t>
        </is>
      </c>
      <c r="C226" s="21" t="inlineStr">
        <is>
          <t>Новосибирск</t>
        </is>
      </c>
      <c r="D226" s="22" t="n">
        <v>2116</v>
      </c>
    </row>
    <row r="227">
      <c r="A227" s="21" t="inlineStr">
        <is>
          <t>Коммерческая</t>
        </is>
      </c>
      <c r="B227" s="21" t="inlineStr">
        <is>
          <t>Аренда</t>
        </is>
      </c>
      <c r="C227" s="21" t="inlineStr">
        <is>
          <t>Екатеринбург</t>
        </is>
      </c>
      <c r="D227" s="22" t="n">
        <v>1902</v>
      </c>
    </row>
    <row r="228">
      <c r="A228" s="21" t="inlineStr">
        <is>
          <t>Коммерческая</t>
        </is>
      </c>
      <c r="B228" s="21" t="inlineStr">
        <is>
          <t>Аренда</t>
        </is>
      </c>
      <c r="C228" s="21" t="inlineStr">
        <is>
          <t>Казань</t>
        </is>
      </c>
      <c r="D228" s="22" t="n">
        <v>1857</v>
      </c>
    </row>
    <row r="229">
      <c r="A229" s="21" t="inlineStr">
        <is>
          <t>Коммерческая</t>
        </is>
      </c>
      <c r="B229" s="21" t="inlineStr">
        <is>
          <t>Аренда</t>
        </is>
      </c>
      <c r="C229" s="21" t="inlineStr">
        <is>
          <t>Красноярск</t>
        </is>
      </c>
      <c r="D229" s="22" t="n">
        <v>897</v>
      </c>
    </row>
    <row r="230">
      <c r="A230" s="21" t="inlineStr">
        <is>
          <t>Коммерческая</t>
        </is>
      </c>
      <c r="B230" s="21" t="inlineStr">
        <is>
          <t>Аренда</t>
        </is>
      </c>
      <c r="C230" s="21" t="inlineStr">
        <is>
          <t>Нижний Новгород</t>
        </is>
      </c>
      <c r="D230" s="22" t="n">
        <v>5893</v>
      </c>
    </row>
    <row r="231">
      <c r="A231" s="21" t="inlineStr">
        <is>
          <t>Коммерческая</t>
        </is>
      </c>
      <c r="B231" s="21" t="inlineStr">
        <is>
          <t>Аренда</t>
        </is>
      </c>
      <c r="C231" s="21" t="inlineStr">
        <is>
          <t>Челябинск</t>
        </is>
      </c>
      <c r="D231" s="22" t="n">
        <v>1237</v>
      </c>
    </row>
    <row r="232">
      <c r="A232" s="21" t="inlineStr">
        <is>
          <t>Коммерческая</t>
        </is>
      </c>
      <c r="B232" s="21" t="inlineStr">
        <is>
          <t>Аренда</t>
        </is>
      </c>
      <c r="C232" s="21" t="inlineStr">
        <is>
          <t>Уфа</t>
        </is>
      </c>
      <c r="D232" s="22" t="n">
        <v>3025</v>
      </c>
    </row>
    <row r="233">
      <c r="A233" s="21" t="inlineStr">
        <is>
          <t>Коммерческая</t>
        </is>
      </c>
      <c r="B233" s="21" t="inlineStr">
        <is>
          <t>Аренда</t>
        </is>
      </c>
      <c r="C233" s="21" t="inlineStr">
        <is>
          <t>Краснодар</t>
        </is>
      </c>
      <c r="D233" s="22" t="n">
        <v>3128</v>
      </c>
    </row>
    <row r="234">
      <c r="A234" s="21" t="inlineStr">
        <is>
          <t>Коммерческая</t>
        </is>
      </c>
      <c r="B234" s="21" t="inlineStr">
        <is>
          <t>Аренда</t>
        </is>
      </c>
      <c r="C234" s="21" t="inlineStr">
        <is>
          <t>Самара</t>
        </is>
      </c>
      <c r="D234" s="22" t="n">
        <v>1985</v>
      </c>
    </row>
    <row r="235">
      <c r="A235" s="21" t="inlineStr">
        <is>
          <t>Коммерческая</t>
        </is>
      </c>
      <c r="B235" s="21" t="inlineStr">
        <is>
          <t>Аренда</t>
        </is>
      </c>
      <c r="C235" s="21" t="inlineStr">
        <is>
          <t>Ростов-на-Дону</t>
        </is>
      </c>
      <c r="D235" s="22" t="n">
        <v>1714</v>
      </c>
    </row>
    <row r="236">
      <c r="A236" s="21" t="inlineStr">
        <is>
          <t>Коммерческая</t>
        </is>
      </c>
      <c r="B236" s="21" t="inlineStr">
        <is>
          <t>Аренда</t>
        </is>
      </c>
      <c r="C236" s="21" t="inlineStr">
        <is>
          <t>Омск</t>
        </is>
      </c>
      <c r="D236" s="22" t="n">
        <v>1663</v>
      </c>
    </row>
    <row r="237">
      <c r="A237" s="21" t="inlineStr">
        <is>
          <t>Коммерческая</t>
        </is>
      </c>
      <c r="B237" s="21" t="inlineStr">
        <is>
          <t>Аренда</t>
        </is>
      </c>
      <c r="C237" s="21" t="inlineStr">
        <is>
          <t>Воронеж</t>
        </is>
      </c>
      <c r="D237" s="22" t="n">
        <v>545</v>
      </c>
    </row>
    <row r="238">
      <c r="A238" s="21" t="inlineStr">
        <is>
          <t>Коммерческая</t>
        </is>
      </c>
      <c r="B238" s="21" t="inlineStr">
        <is>
          <t>Аренда</t>
        </is>
      </c>
      <c r="C238" s="21" t="inlineStr">
        <is>
          <t>Пермь</t>
        </is>
      </c>
      <c r="D238" s="22" t="n">
        <v>338</v>
      </c>
    </row>
    <row r="239">
      <c r="A239" s="21" t="inlineStr">
        <is>
          <t>Коммерческая</t>
        </is>
      </c>
      <c r="B239" s="21" t="inlineStr">
        <is>
          <t>Аренда</t>
        </is>
      </c>
      <c r="C239" s="21" t="inlineStr">
        <is>
          <t>Волгоград</t>
        </is>
      </c>
      <c r="D239" s="22" t="n">
        <v>462</v>
      </c>
    </row>
    <row r="241">
      <c r="A241" s="29" t="inlineStr">
        <is>
          <t>Итого (по фильтру)</t>
        </is>
      </c>
      <c r="C241" s="30" t="inlineStr">
        <is>
          <t>← сумма видимых строк (без «Вся Россия»)</t>
        </is>
      </c>
      <c r="D241" s="31">
        <f>SUMPRODUCT(SUBTOTAL(109,OFFSET(D$2,ROW(D$2:D$239)-ROW(D$2),0)),--($C$2:$C$239&lt;&gt;"🇷🇺 Вся Россия"))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41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5"/>
  <cols>
    <col width="26" customWidth="1" min="1" max="1"/>
    <col width="30" customWidth="1" min="2" max="2"/>
    <col width="22" customWidth="1" min="3" max="3"/>
    <col width="12" customWidth="1" min="4" max="5"/>
  </cols>
  <sheetData>
    <row r="1">
      <c r="A1" s="25" t="inlineStr">
        <is>
          <t>Группа</t>
        </is>
      </c>
      <c r="B1" s="25" t="inlineStr">
        <is>
          <t>Категория</t>
        </is>
      </c>
      <c r="C1" s="25" t="inlineStr">
        <is>
          <t>Город</t>
        </is>
      </c>
      <c r="D1" s="26" t="inlineStr">
        <is>
          <t>2026-06-11</t>
        </is>
      </c>
      <c r="E1" s="26" t="inlineStr">
        <is>
          <t>2026-06-12</t>
        </is>
      </c>
    </row>
    <row r="2">
      <c r="A2" s="33" t="inlineStr">
        <is>
          <t>Продажа</t>
        </is>
      </c>
      <c r="B2" s="34" t="inlineStr">
        <is>
          <t>Квартиры</t>
        </is>
      </c>
      <c r="C2" s="33" t="inlineStr">
        <is>
          <t>🇷🇺 Вся Россия</t>
        </is>
      </c>
      <c r="D2" s="35" t="n">
        <v>1475674</v>
      </c>
      <c r="E2" s="35" t="n">
        <v>1463127</v>
      </c>
    </row>
    <row r="3">
      <c r="A3" s="21" t="inlineStr">
        <is>
          <t>Продажа</t>
        </is>
      </c>
      <c r="B3" s="21" t="inlineStr">
        <is>
          <t>Квартиры</t>
        </is>
      </c>
      <c r="C3" s="21" t="inlineStr">
        <is>
          <t>Москва</t>
        </is>
      </c>
      <c r="D3" s="22" t="n">
        <v>69503</v>
      </c>
      <c r="E3" s="22" t="n">
        <v>69897</v>
      </c>
    </row>
    <row r="4">
      <c r="A4" s="21" t="inlineStr">
        <is>
          <t>Продажа</t>
        </is>
      </c>
      <c r="B4" s="21" t="inlineStr">
        <is>
          <t>Квартиры</t>
        </is>
      </c>
      <c r="C4" s="21" t="inlineStr">
        <is>
          <t>Санкт-Петербург</t>
        </is>
      </c>
      <c r="D4" s="22" t="n">
        <v>59698</v>
      </c>
      <c r="E4" s="22" t="n">
        <v>59674</v>
      </c>
    </row>
    <row r="5">
      <c r="A5" s="21" t="inlineStr">
        <is>
          <t>Продажа</t>
        </is>
      </c>
      <c r="B5" s="21" t="inlineStr">
        <is>
          <t>Квартиры</t>
        </is>
      </c>
      <c r="C5" s="21" t="inlineStr">
        <is>
          <t>Новосибирск</t>
        </is>
      </c>
      <c r="D5" s="22" t="n">
        <v>25738</v>
      </c>
      <c r="E5" s="22" t="n">
        <v>26305</v>
      </c>
    </row>
    <row r="6">
      <c r="A6" s="21" t="inlineStr">
        <is>
          <t>Продажа</t>
        </is>
      </c>
      <c r="B6" s="21" t="inlineStr">
        <is>
          <t>Квартиры</t>
        </is>
      </c>
      <c r="C6" s="21" t="inlineStr">
        <is>
          <t>Екатеринбург</t>
        </is>
      </c>
      <c r="D6" s="22" t="n">
        <v>51974</v>
      </c>
      <c r="E6" s="22" t="n">
        <v>51802</v>
      </c>
    </row>
    <row r="7">
      <c r="A7" s="21" t="inlineStr">
        <is>
          <t>Продажа</t>
        </is>
      </c>
      <c r="B7" s="21" t="inlineStr">
        <is>
          <t>Квартиры</t>
        </is>
      </c>
      <c r="C7" s="21" t="inlineStr">
        <is>
          <t>Казань</t>
        </is>
      </c>
      <c r="D7" s="22" t="n">
        <v>28365</v>
      </c>
      <c r="E7" s="22" t="n">
        <v>28308</v>
      </c>
    </row>
    <row r="8">
      <c r="A8" s="21" t="inlineStr">
        <is>
          <t>Продажа</t>
        </is>
      </c>
      <c r="B8" s="21" t="inlineStr">
        <is>
          <t>Квартиры</t>
        </is>
      </c>
      <c r="C8" s="21" t="inlineStr">
        <is>
          <t>Красноярск</t>
        </is>
      </c>
      <c r="D8" s="22" t="n">
        <v>20160</v>
      </c>
      <c r="E8" s="22" t="n">
        <v>20148</v>
      </c>
    </row>
    <row r="9">
      <c r="A9" s="21" t="inlineStr">
        <is>
          <t>Продажа</t>
        </is>
      </c>
      <c r="B9" s="21" t="inlineStr">
        <is>
          <t>Квартиры</t>
        </is>
      </c>
      <c r="C9" s="21" t="inlineStr">
        <is>
          <t>Нижний Новгород</t>
        </is>
      </c>
      <c r="D9" s="22" t="n">
        <v>12294</v>
      </c>
      <c r="E9" s="22" t="n">
        <v>12413</v>
      </c>
    </row>
    <row r="10">
      <c r="A10" s="21" t="inlineStr">
        <is>
          <t>Продажа</t>
        </is>
      </c>
      <c r="B10" s="21" t="inlineStr">
        <is>
          <t>Квартиры</t>
        </is>
      </c>
      <c r="C10" s="21" t="inlineStr">
        <is>
          <t>Челябинск</t>
        </is>
      </c>
      <c r="D10" s="22" t="n">
        <v>17205</v>
      </c>
      <c r="E10" s="22" t="n">
        <v>15543</v>
      </c>
    </row>
    <row r="11">
      <c r="A11" s="21" t="inlineStr">
        <is>
          <t>Продажа</t>
        </is>
      </c>
      <c r="B11" s="21" t="inlineStr">
        <is>
          <t>Квартиры</t>
        </is>
      </c>
      <c r="C11" s="21" t="inlineStr">
        <is>
          <t>Уфа</t>
        </is>
      </c>
      <c r="D11" s="22" t="n">
        <v>24237</v>
      </c>
      <c r="E11" s="22" t="n">
        <v>24198</v>
      </c>
    </row>
    <row r="12">
      <c r="A12" s="21" t="inlineStr">
        <is>
          <t>Продажа</t>
        </is>
      </c>
      <c r="B12" s="21" t="inlineStr">
        <is>
          <t>Квартиры</t>
        </is>
      </c>
      <c r="C12" s="21" t="inlineStr">
        <is>
          <t>Краснодар</t>
        </is>
      </c>
      <c r="D12" s="22" t="n">
        <v>66810</v>
      </c>
      <c r="E12" s="22" t="n">
        <v>66651</v>
      </c>
    </row>
    <row r="13">
      <c r="A13" s="21" t="inlineStr">
        <is>
          <t>Продажа</t>
        </is>
      </c>
      <c r="B13" s="21" t="inlineStr">
        <is>
          <t>Квартиры</t>
        </is>
      </c>
      <c r="C13" s="21" t="inlineStr">
        <is>
          <t>Самара</t>
        </is>
      </c>
      <c r="D13" s="22" t="n">
        <v>8317</v>
      </c>
      <c r="E13" s="22" t="n">
        <v>8301</v>
      </c>
    </row>
    <row r="14">
      <c r="A14" s="21" t="inlineStr">
        <is>
          <t>Продажа</t>
        </is>
      </c>
      <c r="B14" s="21" t="inlineStr">
        <is>
          <t>Квартиры</t>
        </is>
      </c>
      <c r="C14" s="21" t="inlineStr">
        <is>
          <t>Ростов-на-Дону</t>
        </is>
      </c>
      <c r="D14" s="22" t="n">
        <v>44106</v>
      </c>
      <c r="E14" s="22" t="n">
        <v>44080</v>
      </c>
    </row>
    <row r="15">
      <c r="A15" s="21" t="inlineStr">
        <is>
          <t>Продажа</t>
        </is>
      </c>
      <c r="B15" s="21" t="inlineStr">
        <is>
          <t>Квартиры</t>
        </is>
      </c>
      <c r="C15" s="21" t="inlineStr">
        <is>
          <t>Омск</t>
        </is>
      </c>
      <c r="D15" s="22" t="n">
        <v>7679</v>
      </c>
      <c r="E15" s="22" t="n">
        <v>7646</v>
      </c>
    </row>
    <row r="16">
      <c r="A16" s="21" t="inlineStr">
        <is>
          <t>Продажа</t>
        </is>
      </c>
      <c r="B16" s="21" t="inlineStr">
        <is>
          <t>Квартиры</t>
        </is>
      </c>
      <c r="C16" s="21" t="inlineStr">
        <is>
          <t>Воронеж</t>
        </is>
      </c>
      <c r="D16" s="22" t="n">
        <v>41549</v>
      </c>
      <c r="E16" s="22" t="n">
        <v>48873</v>
      </c>
    </row>
    <row r="17">
      <c r="A17" s="21" t="inlineStr">
        <is>
          <t>Продажа</t>
        </is>
      </c>
      <c r="B17" s="21" t="inlineStr">
        <is>
          <t>Квартиры</t>
        </is>
      </c>
      <c r="C17" s="21" t="inlineStr">
        <is>
          <t>Пермь</t>
        </is>
      </c>
      <c r="D17" s="22" t="n">
        <v>15832</v>
      </c>
      <c r="E17" s="22" t="n">
        <v>15780</v>
      </c>
    </row>
    <row r="18">
      <c r="A18" s="21" t="inlineStr">
        <is>
          <t>Продажа</t>
        </is>
      </c>
      <c r="B18" s="21" t="inlineStr">
        <is>
          <t>Квартиры</t>
        </is>
      </c>
      <c r="C18" s="21" t="inlineStr">
        <is>
          <t>Волгоград</t>
        </is>
      </c>
      <c r="D18" s="22" t="n">
        <v>12447</v>
      </c>
      <c r="E18" s="22" t="n">
        <v>12426</v>
      </c>
    </row>
    <row r="19">
      <c r="A19" s="33" t="inlineStr">
        <is>
          <t>Продажа</t>
        </is>
      </c>
      <c r="B19" s="34" t="inlineStr">
        <is>
          <t>Квартиры новостройка</t>
        </is>
      </c>
      <c r="C19" s="33" t="inlineStr">
        <is>
          <t>🇷🇺 Вся Россия</t>
        </is>
      </c>
      <c r="D19" s="35" t="n">
        <v>899727</v>
      </c>
      <c r="E19" s="35" t="n">
        <v>890802</v>
      </c>
    </row>
    <row r="20">
      <c r="A20" s="21" t="inlineStr">
        <is>
          <t>Продажа</t>
        </is>
      </c>
      <c r="B20" s="21" t="inlineStr">
        <is>
          <t>Квартиры новостройка</t>
        </is>
      </c>
      <c r="C20" s="21" t="inlineStr">
        <is>
          <t>Москва</t>
        </is>
      </c>
      <c r="D20" s="22" t="n">
        <v>40332</v>
      </c>
      <c r="E20" s="22" t="n">
        <v>40766</v>
      </c>
    </row>
    <row r="21">
      <c r="A21" s="21" t="inlineStr">
        <is>
          <t>Продажа</t>
        </is>
      </c>
      <c r="B21" s="21" t="inlineStr">
        <is>
          <t>Квартиры новостройка</t>
        </is>
      </c>
      <c r="C21" s="21" t="inlineStr">
        <is>
          <t>Санкт-Петербург</t>
        </is>
      </c>
      <c r="D21" s="22" t="n">
        <v>39783</v>
      </c>
      <c r="E21" s="22" t="n">
        <v>39888</v>
      </c>
    </row>
    <row r="22">
      <c r="A22" s="21" t="inlineStr">
        <is>
          <t>Продажа</t>
        </is>
      </c>
      <c r="B22" s="21" t="inlineStr">
        <is>
          <t>Квартиры новостройка</t>
        </is>
      </c>
      <c r="C22" s="21" t="inlineStr">
        <is>
          <t>Новосибирск</t>
        </is>
      </c>
      <c r="D22" s="22" t="n">
        <v>13432</v>
      </c>
      <c r="E22" s="22" t="n">
        <v>14160</v>
      </c>
    </row>
    <row r="23">
      <c r="A23" s="21" t="inlineStr">
        <is>
          <t>Продажа</t>
        </is>
      </c>
      <c r="B23" s="21" t="inlineStr">
        <is>
          <t>Квартиры новостройка</t>
        </is>
      </c>
      <c r="C23" s="21" t="inlineStr">
        <is>
          <t>Екатеринбург</t>
        </is>
      </c>
      <c r="D23" s="22" t="n">
        <v>42060</v>
      </c>
      <c r="E23" s="22" t="n">
        <v>41954</v>
      </c>
    </row>
    <row r="24">
      <c r="A24" s="21" t="inlineStr">
        <is>
          <t>Продажа</t>
        </is>
      </c>
      <c r="B24" s="21" t="inlineStr">
        <is>
          <t>Квартиры новостройка</t>
        </is>
      </c>
      <c r="C24" s="21" t="inlineStr">
        <is>
          <t>Казань</t>
        </is>
      </c>
      <c r="D24" s="22" t="n">
        <v>21380</v>
      </c>
      <c r="E24" s="22" t="n">
        <v>21384</v>
      </c>
    </row>
    <row r="25">
      <c r="A25" s="21" t="inlineStr">
        <is>
          <t>Продажа</t>
        </is>
      </c>
      <c r="B25" s="21" t="inlineStr">
        <is>
          <t>Квартиры новостройка</t>
        </is>
      </c>
      <c r="C25" s="21" t="inlineStr">
        <is>
          <t>Красноярск</t>
        </is>
      </c>
      <c r="D25" s="22" t="n">
        <v>14122</v>
      </c>
      <c r="E25" s="22" t="n">
        <v>14202</v>
      </c>
    </row>
    <row r="26">
      <c r="A26" s="21" t="inlineStr">
        <is>
          <t>Продажа</t>
        </is>
      </c>
      <c r="B26" s="21" t="inlineStr">
        <is>
          <t>Квартиры новостройка</t>
        </is>
      </c>
      <c r="C26" s="21" t="inlineStr">
        <is>
          <t>Нижний Новгород</t>
        </is>
      </c>
      <c r="D26" s="22" t="n">
        <v>7208</v>
      </c>
      <c r="E26" s="22" t="n">
        <v>7348</v>
      </c>
    </row>
    <row r="27">
      <c r="A27" s="21" t="inlineStr">
        <is>
          <t>Продажа</t>
        </is>
      </c>
      <c r="B27" s="21" t="inlineStr">
        <is>
          <t>Квартиры новостройка</t>
        </is>
      </c>
      <c r="C27" s="21" t="inlineStr">
        <is>
          <t>Челябинск</t>
        </is>
      </c>
      <c r="D27" s="22" t="n">
        <v>10719</v>
      </c>
      <c r="E27" s="22" t="n">
        <v>9079</v>
      </c>
    </row>
    <row r="28">
      <c r="A28" s="21" t="inlineStr">
        <is>
          <t>Продажа</t>
        </is>
      </c>
      <c r="B28" s="21" t="inlineStr">
        <is>
          <t>Квартиры новостройка</t>
        </is>
      </c>
      <c r="C28" s="21" t="inlineStr">
        <is>
          <t>Уфа</t>
        </is>
      </c>
      <c r="D28" s="22" t="n">
        <v>17577</v>
      </c>
      <c r="E28" s="22" t="n">
        <v>17565</v>
      </c>
    </row>
    <row r="29">
      <c r="A29" s="21" t="inlineStr">
        <is>
          <t>Продажа</t>
        </is>
      </c>
      <c r="B29" s="21" t="inlineStr">
        <is>
          <t>Квартиры новостройка</t>
        </is>
      </c>
      <c r="C29" s="21" t="inlineStr">
        <is>
          <t>Краснодар</t>
        </is>
      </c>
      <c r="D29" s="22" t="n">
        <v>48348</v>
      </c>
      <c r="E29" s="22" t="n">
        <v>48345</v>
      </c>
    </row>
    <row r="30">
      <c r="A30" s="21" t="inlineStr">
        <is>
          <t>Продажа</t>
        </is>
      </c>
      <c r="B30" s="21" t="inlineStr">
        <is>
          <t>Квартиры новостройка</t>
        </is>
      </c>
      <c r="C30" s="21" t="inlineStr">
        <is>
          <t>Самара</t>
        </is>
      </c>
      <c r="D30" s="22" t="n">
        <v>2464</v>
      </c>
      <c r="E30" s="22" t="n">
        <v>2461</v>
      </c>
    </row>
    <row r="31">
      <c r="A31" s="21" t="inlineStr">
        <is>
          <t>Продажа</t>
        </is>
      </c>
      <c r="B31" s="21" t="inlineStr">
        <is>
          <t>Квартиры новостройка</t>
        </is>
      </c>
      <c r="C31" s="21" t="inlineStr">
        <is>
          <t>Ростов-на-Дону</t>
        </is>
      </c>
      <c r="D31" s="22" t="n">
        <v>29925</v>
      </c>
      <c r="E31" s="22" t="n">
        <v>29979</v>
      </c>
    </row>
    <row r="32">
      <c r="A32" s="21" t="inlineStr">
        <is>
          <t>Продажа</t>
        </is>
      </c>
      <c r="B32" s="21" t="inlineStr">
        <is>
          <t>Квартиры новостройка</t>
        </is>
      </c>
      <c r="C32" s="21" t="inlineStr">
        <is>
          <t>Омск</t>
        </is>
      </c>
      <c r="D32" s="22" t="n">
        <v>1733</v>
      </c>
      <c r="E32" s="22" t="n">
        <v>1728</v>
      </c>
    </row>
    <row r="33">
      <c r="A33" s="21" t="inlineStr">
        <is>
          <t>Продажа</t>
        </is>
      </c>
      <c r="B33" s="21" t="inlineStr">
        <is>
          <t>Квартиры новостройка</t>
        </is>
      </c>
      <c r="C33" s="21" t="inlineStr">
        <is>
          <t>Воронеж</t>
        </is>
      </c>
      <c r="D33" s="22" t="n">
        <v>34662</v>
      </c>
      <c r="E33" s="22" t="n">
        <v>42067</v>
      </c>
    </row>
    <row r="34">
      <c r="A34" s="21" t="inlineStr">
        <is>
          <t>Продажа</t>
        </is>
      </c>
      <c r="B34" s="21" t="inlineStr">
        <is>
          <t>Квартиры новостройка</t>
        </is>
      </c>
      <c r="C34" s="21" t="inlineStr">
        <is>
          <t>Пермь</t>
        </is>
      </c>
      <c r="D34" s="22" t="n">
        <v>12362</v>
      </c>
      <c r="E34" s="22" t="n">
        <v>12330</v>
      </c>
    </row>
    <row r="35">
      <c r="A35" s="21" t="inlineStr">
        <is>
          <t>Продажа</t>
        </is>
      </c>
      <c r="B35" s="21" t="inlineStr">
        <is>
          <t>Квартиры новостройка</t>
        </is>
      </c>
      <c r="C35" s="21" t="inlineStr">
        <is>
          <t>Волгоград</t>
        </is>
      </c>
      <c r="D35" s="22" t="n">
        <v>6862</v>
      </c>
      <c r="E35" s="22" t="n">
        <v>6853</v>
      </c>
    </row>
    <row r="36">
      <c r="A36" s="33" t="inlineStr">
        <is>
          <t>Продажа</t>
        </is>
      </c>
      <c r="B36" s="34" t="inlineStr">
        <is>
          <t>Квартиры вторичка</t>
        </is>
      </c>
      <c r="C36" s="33" t="inlineStr">
        <is>
          <t>🇷🇺 Вся Россия</t>
        </is>
      </c>
      <c r="D36" s="35" t="n">
        <v>575929</v>
      </c>
      <c r="E36" s="35" t="n">
        <v>572918</v>
      </c>
    </row>
    <row r="37">
      <c r="A37" s="21" t="inlineStr">
        <is>
          <t>Продажа</t>
        </is>
      </c>
      <c r="B37" s="21" t="inlineStr">
        <is>
          <t>Квартиры вторичка</t>
        </is>
      </c>
      <c r="C37" s="21" t="inlineStr">
        <is>
          <t>Москва</t>
        </is>
      </c>
      <c r="D37" s="22" t="n">
        <v>29170</v>
      </c>
      <c r="E37" s="22" t="n">
        <v>29165</v>
      </c>
    </row>
    <row r="38">
      <c r="A38" s="21" t="inlineStr">
        <is>
          <t>Продажа</t>
        </is>
      </c>
      <c r="B38" s="21" t="inlineStr">
        <is>
          <t>Квартиры вторичка</t>
        </is>
      </c>
      <c r="C38" s="21" t="inlineStr">
        <is>
          <t>Санкт-Петербург</t>
        </is>
      </c>
      <c r="D38" s="22" t="n">
        <v>19913</v>
      </c>
      <c r="E38" s="22" t="n">
        <v>19786</v>
      </c>
    </row>
    <row r="39">
      <c r="A39" s="21" t="inlineStr">
        <is>
          <t>Продажа</t>
        </is>
      </c>
      <c r="B39" s="21" t="inlineStr">
        <is>
          <t>Квартиры вторичка</t>
        </is>
      </c>
      <c r="C39" s="21" t="inlineStr">
        <is>
          <t>Новосибирск</t>
        </is>
      </c>
      <c r="D39" s="22" t="n">
        <v>12305</v>
      </c>
      <c r="E39" s="22" t="n">
        <v>12145</v>
      </c>
    </row>
    <row r="40">
      <c r="A40" s="21" t="inlineStr">
        <is>
          <t>Продажа</t>
        </is>
      </c>
      <c r="B40" s="21" t="inlineStr">
        <is>
          <t>Квартиры вторичка</t>
        </is>
      </c>
      <c r="C40" s="21" t="inlineStr">
        <is>
          <t>Екатеринбург</t>
        </is>
      </c>
      <c r="D40" s="22" t="n">
        <v>9913</v>
      </c>
      <c r="E40" s="22" t="n">
        <v>9848</v>
      </c>
    </row>
    <row r="41">
      <c r="A41" s="21" t="inlineStr">
        <is>
          <t>Продажа</t>
        </is>
      </c>
      <c r="B41" s="21" t="inlineStr">
        <is>
          <t>Квартиры вторичка</t>
        </is>
      </c>
      <c r="C41" s="21" t="inlineStr">
        <is>
          <t>Казань</t>
        </is>
      </c>
      <c r="D41" s="22" t="n">
        <v>6985</v>
      </c>
      <c r="E41" s="22" t="n">
        <v>6924</v>
      </c>
    </row>
    <row r="42">
      <c r="A42" s="21" t="inlineStr">
        <is>
          <t>Продажа</t>
        </is>
      </c>
      <c r="B42" s="21" t="inlineStr">
        <is>
          <t>Квартиры вторичка</t>
        </is>
      </c>
      <c r="C42" s="21" t="inlineStr">
        <is>
          <t>Красноярск</t>
        </is>
      </c>
      <c r="D42" s="22" t="n">
        <v>6038</v>
      </c>
      <c r="E42" s="22" t="n">
        <v>5946</v>
      </c>
    </row>
    <row r="43">
      <c r="A43" s="21" t="inlineStr">
        <is>
          <t>Продажа</t>
        </is>
      </c>
      <c r="B43" s="21" t="inlineStr">
        <is>
          <t>Квартиры вторичка</t>
        </is>
      </c>
      <c r="C43" s="21" t="inlineStr">
        <is>
          <t>Нижний Новгород</t>
        </is>
      </c>
      <c r="D43" s="22" t="n">
        <v>5086</v>
      </c>
      <c r="E43" s="22" t="n">
        <v>5065</v>
      </c>
    </row>
    <row r="44">
      <c r="A44" s="21" t="inlineStr">
        <is>
          <t>Продажа</t>
        </is>
      </c>
      <c r="B44" s="21" t="inlineStr">
        <is>
          <t>Квартиры вторичка</t>
        </is>
      </c>
      <c r="C44" s="21" t="inlineStr">
        <is>
          <t>Челябинск</t>
        </is>
      </c>
      <c r="D44" s="22" t="n">
        <v>6486</v>
      </c>
      <c r="E44" s="22" t="n">
        <v>6464</v>
      </c>
    </row>
    <row r="45">
      <c r="A45" s="21" t="inlineStr">
        <is>
          <t>Продажа</t>
        </is>
      </c>
      <c r="B45" s="21" t="inlineStr">
        <is>
          <t>Квартиры вторичка</t>
        </is>
      </c>
      <c r="C45" s="21" t="inlineStr">
        <is>
          <t>Уфа</t>
        </is>
      </c>
      <c r="D45" s="22" t="n">
        <v>6660</v>
      </c>
      <c r="E45" s="22" t="n">
        <v>6633</v>
      </c>
    </row>
    <row r="46">
      <c r="A46" s="21" t="inlineStr">
        <is>
          <t>Продажа</t>
        </is>
      </c>
      <c r="B46" s="21" t="inlineStr">
        <is>
          <t>Квартиры вторичка</t>
        </is>
      </c>
      <c r="C46" s="21" t="inlineStr">
        <is>
          <t>Краснодар</t>
        </is>
      </c>
      <c r="D46" s="22" t="n">
        <v>18458</v>
      </c>
      <c r="E46" s="22" t="n">
        <v>18254</v>
      </c>
    </row>
    <row r="47">
      <c r="A47" s="21" t="inlineStr">
        <is>
          <t>Продажа</t>
        </is>
      </c>
      <c r="B47" s="21" t="inlineStr">
        <is>
          <t>Квартиры вторичка</t>
        </is>
      </c>
      <c r="C47" s="21" t="inlineStr">
        <is>
          <t>Самара</t>
        </is>
      </c>
      <c r="D47" s="22" t="n">
        <v>5853</v>
      </c>
      <c r="E47" s="22" t="n">
        <v>5840</v>
      </c>
    </row>
    <row r="48">
      <c r="A48" s="21" t="inlineStr">
        <is>
          <t>Продажа</t>
        </is>
      </c>
      <c r="B48" s="21" t="inlineStr">
        <is>
          <t>Квартиры вторичка</t>
        </is>
      </c>
      <c r="C48" s="21" t="inlineStr">
        <is>
          <t>Ростов-на-Дону</t>
        </is>
      </c>
      <c r="D48" s="22" t="n">
        <v>14181</v>
      </c>
      <c r="E48" s="22" t="n">
        <v>14101</v>
      </c>
    </row>
    <row r="49">
      <c r="A49" s="21" t="inlineStr">
        <is>
          <t>Продажа</t>
        </is>
      </c>
      <c r="B49" s="21" t="inlineStr">
        <is>
          <t>Квартиры вторичка</t>
        </is>
      </c>
      <c r="C49" s="21" t="inlineStr">
        <is>
          <t>Омск</t>
        </is>
      </c>
      <c r="D49" s="22" t="n">
        <v>5946</v>
      </c>
      <c r="E49" s="22" t="n">
        <v>5918</v>
      </c>
    </row>
    <row r="50">
      <c r="A50" s="21" t="inlineStr">
        <is>
          <t>Продажа</t>
        </is>
      </c>
      <c r="B50" s="21" t="inlineStr">
        <is>
          <t>Квартиры вторичка</t>
        </is>
      </c>
      <c r="C50" s="21" t="inlineStr">
        <is>
          <t>Воронеж</t>
        </is>
      </c>
      <c r="D50" s="22" t="n">
        <v>6887</v>
      </c>
      <c r="E50" s="22" t="n">
        <v>6806</v>
      </c>
    </row>
    <row r="51">
      <c r="A51" s="21" t="inlineStr">
        <is>
          <t>Продажа</t>
        </is>
      </c>
      <c r="B51" s="21" t="inlineStr">
        <is>
          <t>Квартиры вторичка</t>
        </is>
      </c>
      <c r="C51" s="21" t="inlineStr">
        <is>
          <t>Пермь</t>
        </is>
      </c>
      <c r="D51" s="22" t="n">
        <v>3470</v>
      </c>
      <c r="E51" s="22" t="n">
        <v>3450</v>
      </c>
    </row>
    <row r="52">
      <c r="A52" s="21" t="inlineStr">
        <is>
          <t>Продажа</t>
        </is>
      </c>
      <c r="B52" s="21" t="inlineStr">
        <is>
          <t>Квартиры вторичка</t>
        </is>
      </c>
      <c r="C52" s="21" t="inlineStr">
        <is>
          <t>Волгоград</t>
        </is>
      </c>
      <c r="D52" s="22" t="n">
        <v>5585</v>
      </c>
      <c r="E52" s="22" t="n">
        <v>5573</v>
      </c>
    </row>
    <row r="53">
      <c r="A53" s="33" t="inlineStr">
        <is>
          <t>Продажа</t>
        </is>
      </c>
      <c r="B53" s="34" t="inlineStr">
        <is>
          <t>Комнаты</t>
        </is>
      </c>
      <c r="C53" s="33" t="inlineStr">
        <is>
          <t>🇷🇺 Вся Россия</t>
        </is>
      </c>
      <c r="D53" s="35" t="n">
        <v>29730</v>
      </c>
      <c r="E53" s="35" t="n">
        <v>29538</v>
      </c>
    </row>
    <row r="54">
      <c r="A54" s="21" t="inlineStr">
        <is>
          <t>Продажа</t>
        </is>
      </c>
      <c r="B54" s="21" t="inlineStr">
        <is>
          <t>Комнаты</t>
        </is>
      </c>
      <c r="C54" s="21" t="inlineStr">
        <is>
          <t>Москва</t>
        </is>
      </c>
      <c r="D54" s="22" t="n">
        <v>889</v>
      </c>
      <c r="E54" s="22" t="n">
        <v>893</v>
      </c>
    </row>
    <row r="55">
      <c r="A55" s="21" t="inlineStr">
        <is>
          <t>Продажа</t>
        </is>
      </c>
      <c r="B55" s="21" t="inlineStr">
        <is>
          <t>Комнаты</t>
        </is>
      </c>
      <c r="C55" s="21" t="inlineStr">
        <is>
          <t>Санкт-Петербург</t>
        </is>
      </c>
      <c r="D55" s="22" t="n">
        <v>2544</v>
      </c>
      <c r="E55" s="22" t="n">
        <v>2520</v>
      </c>
    </row>
    <row r="56">
      <c r="A56" s="21" t="inlineStr">
        <is>
          <t>Продажа</t>
        </is>
      </c>
      <c r="B56" s="21" t="inlineStr">
        <is>
          <t>Комнаты</t>
        </is>
      </c>
      <c r="C56" s="21" t="inlineStr">
        <is>
          <t>Новосибирск</t>
        </is>
      </c>
      <c r="D56" s="22" t="n">
        <v>753</v>
      </c>
      <c r="E56" s="22" t="n">
        <v>734</v>
      </c>
    </row>
    <row r="57">
      <c r="A57" s="21" t="inlineStr">
        <is>
          <t>Продажа</t>
        </is>
      </c>
      <c r="B57" s="21" t="inlineStr">
        <is>
          <t>Комнаты</t>
        </is>
      </c>
      <c r="C57" s="21" t="inlineStr">
        <is>
          <t>Екатеринбург</t>
        </is>
      </c>
      <c r="D57" s="22" t="n">
        <v>798</v>
      </c>
      <c r="E57" s="22" t="n">
        <v>799</v>
      </c>
    </row>
    <row r="58">
      <c r="A58" s="21" t="inlineStr">
        <is>
          <t>Продажа</t>
        </is>
      </c>
      <c r="B58" s="21" t="inlineStr">
        <is>
          <t>Комнаты</t>
        </is>
      </c>
      <c r="C58" s="21" t="inlineStr">
        <is>
          <t>Казань</t>
        </is>
      </c>
      <c r="D58" s="22" t="n">
        <v>287</v>
      </c>
      <c r="E58" s="22" t="n">
        <v>288</v>
      </c>
    </row>
    <row r="59">
      <c r="A59" s="21" t="inlineStr">
        <is>
          <t>Продажа</t>
        </is>
      </c>
      <c r="B59" s="21" t="inlineStr">
        <is>
          <t>Комнаты</t>
        </is>
      </c>
      <c r="C59" s="21" t="inlineStr">
        <is>
          <t>Красноярск</t>
        </is>
      </c>
      <c r="D59" s="22" t="n">
        <v>433</v>
      </c>
      <c r="E59" s="22" t="n">
        <v>427</v>
      </c>
    </row>
    <row r="60">
      <c r="A60" s="21" t="inlineStr">
        <is>
          <t>Продажа</t>
        </is>
      </c>
      <c r="B60" s="21" t="inlineStr">
        <is>
          <t>Комнаты</t>
        </is>
      </c>
      <c r="C60" s="21" t="inlineStr">
        <is>
          <t>Нижний Новгород</t>
        </is>
      </c>
      <c r="D60" s="22" t="n">
        <v>350</v>
      </c>
      <c r="E60" s="22" t="n">
        <v>345</v>
      </c>
    </row>
    <row r="61">
      <c r="A61" s="21" t="inlineStr">
        <is>
          <t>Продажа</t>
        </is>
      </c>
      <c r="B61" s="21" t="inlineStr">
        <is>
          <t>Комнаты</t>
        </is>
      </c>
      <c r="C61" s="21" t="inlineStr">
        <is>
          <t>Челябинск</t>
        </is>
      </c>
      <c r="D61" s="22" t="n">
        <v>321</v>
      </c>
      <c r="E61" s="22" t="n">
        <v>320</v>
      </c>
    </row>
    <row r="62">
      <c r="A62" s="21" t="inlineStr">
        <is>
          <t>Продажа</t>
        </is>
      </c>
      <c r="B62" s="21" t="inlineStr">
        <is>
          <t>Комнаты</t>
        </is>
      </c>
      <c r="C62" s="21" t="inlineStr">
        <is>
          <t>Уфа</t>
        </is>
      </c>
      <c r="D62" s="22" t="n">
        <v>371</v>
      </c>
      <c r="E62" s="22" t="n">
        <v>367</v>
      </c>
    </row>
    <row r="63">
      <c r="A63" s="21" t="inlineStr">
        <is>
          <t>Продажа</t>
        </is>
      </c>
      <c r="B63" s="21" t="inlineStr">
        <is>
          <t>Комнаты</t>
        </is>
      </c>
      <c r="C63" s="21" t="inlineStr">
        <is>
          <t>Краснодар</t>
        </is>
      </c>
      <c r="D63" s="22" t="n">
        <v>325</v>
      </c>
      <c r="E63" s="22" t="n">
        <v>326</v>
      </c>
    </row>
    <row r="64">
      <c r="A64" s="21" t="inlineStr">
        <is>
          <t>Продажа</t>
        </is>
      </c>
      <c r="B64" s="21" t="inlineStr">
        <is>
          <t>Комнаты</t>
        </is>
      </c>
      <c r="C64" s="21" t="inlineStr">
        <is>
          <t>Самара</t>
        </is>
      </c>
      <c r="D64" s="22" t="n">
        <v>401</v>
      </c>
      <c r="E64" s="22" t="n">
        <v>395</v>
      </c>
    </row>
    <row r="65">
      <c r="A65" s="21" t="inlineStr">
        <is>
          <t>Продажа</t>
        </is>
      </c>
      <c r="B65" s="21" t="inlineStr">
        <is>
          <t>Комнаты</t>
        </is>
      </c>
      <c r="C65" s="21" t="inlineStr">
        <is>
          <t>Ростов-на-Дону</t>
        </is>
      </c>
      <c r="D65" s="22" t="n">
        <v>357</v>
      </c>
      <c r="E65" s="22" t="n">
        <v>351</v>
      </c>
    </row>
    <row r="66">
      <c r="A66" s="21" t="inlineStr">
        <is>
          <t>Продажа</t>
        </is>
      </c>
      <c r="B66" s="21" t="inlineStr">
        <is>
          <t>Комнаты</t>
        </is>
      </c>
      <c r="C66" s="21" t="inlineStr">
        <is>
          <t>Омск</t>
        </is>
      </c>
      <c r="D66" s="22" t="n">
        <v>426</v>
      </c>
      <c r="E66" s="22" t="n">
        <v>431</v>
      </c>
    </row>
    <row r="67">
      <c r="A67" s="21" t="inlineStr">
        <is>
          <t>Продажа</t>
        </is>
      </c>
      <c r="B67" s="21" t="inlineStr">
        <is>
          <t>Комнаты</t>
        </is>
      </c>
      <c r="C67" s="21" t="inlineStr">
        <is>
          <t>Воронеж</t>
        </is>
      </c>
      <c r="D67" s="22" t="n">
        <v>419</v>
      </c>
      <c r="E67" s="22" t="n">
        <v>407</v>
      </c>
    </row>
    <row r="68">
      <c r="A68" s="21" t="inlineStr">
        <is>
          <t>Продажа</t>
        </is>
      </c>
      <c r="B68" s="21" t="inlineStr">
        <is>
          <t>Комнаты</t>
        </is>
      </c>
      <c r="C68" s="21" t="inlineStr">
        <is>
          <t>Пермь</t>
        </is>
      </c>
      <c r="D68" s="22" t="n">
        <v>484</v>
      </c>
      <c r="E68" s="22" t="n">
        <v>475</v>
      </c>
    </row>
    <row r="69">
      <c r="A69" s="21" t="inlineStr">
        <is>
          <t>Продажа</t>
        </is>
      </c>
      <c r="B69" s="21" t="inlineStr">
        <is>
          <t>Комнаты</t>
        </is>
      </c>
      <c r="C69" s="21" t="inlineStr">
        <is>
          <t>Волгоград</t>
        </is>
      </c>
      <c r="D69" s="22" t="n">
        <v>355</v>
      </c>
      <c r="E69" s="22" t="n">
        <v>353</v>
      </c>
    </row>
    <row r="70">
      <c r="A70" s="33" t="inlineStr">
        <is>
          <t>Продажа</t>
        </is>
      </c>
      <c r="B70" s="34" t="inlineStr">
        <is>
          <t>Дома, дачи, коттеджи</t>
        </is>
      </c>
      <c r="C70" s="33" t="inlineStr">
        <is>
          <t>🇷🇺 Вся Россия</t>
        </is>
      </c>
      <c r="D70" s="35" t="n">
        <v>491749</v>
      </c>
      <c r="E70" s="35" t="n">
        <v>490047</v>
      </c>
    </row>
    <row r="71">
      <c r="A71" s="21" t="inlineStr">
        <is>
          <t>Продажа</t>
        </is>
      </c>
      <c r="B71" s="21" t="inlineStr">
        <is>
          <t>Дома, дачи, коттеджи</t>
        </is>
      </c>
      <c r="C71" s="21" t="inlineStr">
        <is>
          <t>Москва</t>
        </is>
      </c>
      <c r="D71" s="22" t="n">
        <v>635</v>
      </c>
      <c r="E71" s="22" t="n">
        <v>636</v>
      </c>
    </row>
    <row r="72">
      <c r="A72" s="21" t="inlineStr">
        <is>
          <t>Продажа</t>
        </is>
      </c>
      <c r="B72" s="21" t="inlineStr">
        <is>
          <t>Дома, дачи, коттеджи</t>
        </is>
      </c>
      <c r="C72" s="21" t="inlineStr">
        <is>
          <t>Санкт-Петербург</t>
        </is>
      </c>
      <c r="D72" s="22" t="n">
        <v>1197</v>
      </c>
      <c r="E72" s="22" t="n">
        <v>1194</v>
      </c>
    </row>
    <row r="73">
      <c r="A73" s="21" t="inlineStr">
        <is>
          <t>Продажа</t>
        </is>
      </c>
      <c r="B73" s="21" t="inlineStr">
        <is>
          <t>Дома, дачи, коттеджи</t>
        </is>
      </c>
      <c r="C73" s="21" t="inlineStr">
        <is>
          <t>Новосибирск</t>
        </is>
      </c>
      <c r="D73" s="22" t="n">
        <v>4796</v>
      </c>
      <c r="E73" s="22" t="n">
        <v>4757</v>
      </c>
    </row>
    <row r="74">
      <c r="A74" s="21" t="inlineStr">
        <is>
          <t>Продажа</t>
        </is>
      </c>
      <c r="B74" s="21" t="inlineStr">
        <is>
          <t>Дома, дачи, коттеджи</t>
        </is>
      </c>
      <c r="C74" s="21" t="inlineStr">
        <is>
          <t>Екатеринбург</t>
        </is>
      </c>
      <c r="D74" s="22" t="n">
        <v>2340</v>
      </c>
      <c r="E74" s="22" t="n">
        <v>2334</v>
      </c>
    </row>
    <row r="75">
      <c r="A75" s="21" t="inlineStr">
        <is>
          <t>Продажа</t>
        </is>
      </c>
      <c r="B75" s="21" t="inlineStr">
        <is>
          <t>Дома, дачи, коттеджи</t>
        </is>
      </c>
      <c r="C75" s="21" t="inlineStr">
        <is>
          <t>Казань</t>
        </is>
      </c>
      <c r="D75" s="22" t="n">
        <v>5785</v>
      </c>
      <c r="E75" s="22" t="n">
        <v>5742</v>
      </c>
    </row>
    <row r="76">
      <c r="A76" s="21" t="inlineStr">
        <is>
          <t>Продажа</t>
        </is>
      </c>
      <c r="B76" s="21" t="inlineStr">
        <is>
          <t>Дома, дачи, коттеджи</t>
        </is>
      </c>
      <c r="C76" s="21" t="inlineStr">
        <is>
          <t>Красноярск</t>
        </is>
      </c>
      <c r="D76" s="22" t="n">
        <v>3103</v>
      </c>
      <c r="E76" s="22" t="n">
        <v>3063</v>
      </c>
    </row>
    <row r="77">
      <c r="A77" s="21" t="inlineStr">
        <is>
          <t>Продажа</t>
        </is>
      </c>
      <c r="B77" s="21" t="inlineStr">
        <is>
          <t>Дома, дачи, коттеджи</t>
        </is>
      </c>
      <c r="C77" s="21" t="inlineStr">
        <is>
          <t>Нижний Новгород</t>
        </is>
      </c>
      <c r="D77" s="22" t="n">
        <v>1434</v>
      </c>
      <c r="E77" s="22" t="n">
        <v>1428</v>
      </c>
    </row>
    <row r="78">
      <c r="A78" s="21" t="inlineStr">
        <is>
          <t>Продажа</t>
        </is>
      </c>
      <c r="B78" s="21" t="inlineStr">
        <is>
          <t>Дома, дачи, коттеджи</t>
        </is>
      </c>
      <c r="C78" s="21" t="inlineStr">
        <is>
          <t>Челябинск</t>
        </is>
      </c>
      <c r="D78" s="22" t="n">
        <v>3466</v>
      </c>
      <c r="E78" s="22" t="n">
        <v>3450</v>
      </c>
    </row>
    <row r="79">
      <c r="A79" s="21" t="inlineStr">
        <is>
          <t>Продажа</t>
        </is>
      </c>
      <c r="B79" s="21" t="inlineStr">
        <is>
          <t>Дома, дачи, коттеджи</t>
        </is>
      </c>
      <c r="C79" s="21" t="inlineStr">
        <is>
          <t>Уфа</t>
        </is>
      </c>
      <c r="D79" s="22" t="n">
        <v>3315</v>
      </c>
      <c r="E79" s="22" t="n">
        <v>3301</v>
      </c>
    </row>
    <row r="80">
      <c r="A80" s="21" t="inlineStr">
        <is>
          <t>Продажа</t>
        </is>
      </c>
      <c r="B80" s="21" t="inlineStr">
        <is>
          <t>Дома, дачи, коттеджи</t>
        </is>
      </c>
      <c r="C80" s="21" t="inlineStr">
        <is>
          <t>Краснодар</t>
        </is>
      </c>
      <c r="D80" s="22" t="n">
        <v>7455</v>
      </c>
      <c r="E80" s="22" t="n">
        <v>7324</v>
      </c>
    </row>
    <row r="81">
      <c r="A81" s="21" t="inlineStr">
        <is>
          <t>Продажа</t>
        </is>
      </c>
      <c r="B81" s="21" t="inlineStr">
        <is>
          <t>Дома, дачи, коттеджи</t>
        </is>
      </c>
      <c r="C81" s="21" t="inlineStr">
        <is>
          <t>Самара</t>
        </is>
      </c>
      <c r="D81" s="22" t="n">
        <v>2102</v>
      </c>
      <c r="E81" s="22" t="n">
        <v>2085</v>
      </c>
    </row>
    <row r="82">
      <c r="A82" s="21" t="inlineStr">
        <is>
          <t>Продажа</t>
        </is>
      </c>
      <c r="B82" s="21" t="inlineStr">
        <is>
          <t>Дома, дачи, коттеджи</t>
        </is>
      </c>
      <c r="C82" s="21" t="inlineStr">
        <is>
          <t>Ростов-на-Дону</t>
        </is>
      </c>
      <c r="D82" s="22" t="n">
        <v>3952</v>
      </c>
      <c r="E82" s="22" t="n">
        <v>3931</v>
      </c>
    </row>
    <row r="83">
      <c r="A83" s="21" t="inlineStr">
        <is>
          <t>Продажа</t>
        </is>
      </c>
      <c r="B83" s="21" t="inlineStr">
        <is>
          <t>Дома, дачи, коттеджи</t>
        </is>
      </c>
      <c r="C83" s="21" t="inlineStr">
        <is>
          <t>Омск</t>
        </is>
      </c>
      <c r="D83" s="22" t="n">
        <v>4086</v>
      </c>
      <c r="E83" s="22" t="n">
        <v>4078</v>
      </c>
    </row>
    <row r="84">
      <c r="A84" s="21" t="inlineStr">
        <is>
          <t>Продажа</t>
        </is>
      </c>
      <c r="B84" s="21" t="inlineStr">
        <is>
          <t>Дома, дачи, коттеджи</t>
        </is>
      </c>
      <c r="C84" s="21" t="inlineStr">
        <is>
          <t>Воронеж</t>
        </is>
      </c>
      <c r="D84" s="22" t="n">
        <v>3023</v>
      </c>
      <c r="E84" s="22" t="n">
        <v>3004</v>
      </c>
    </row>
    <row r="85">
      <c r="A85" s="21" t="inlineStr">
        <is>
          <t>Продажа</t>
        </is>
      </c>
      <c r="B85" s="21" t="inlineStr">
        <is>
          <t>Дома, дачи, коттеджи</t>
        </is>
      </c>
      <c r="C85" s="21" t="inlineStr">
        <is>
          <t>Пермь</t>
        </is>
      </c>
      <c r="D85" s="22" t="n">
        <v>1729</v>
      </c>
      <c r="E85" s="22" t="n">
        <v>1721</v>
      </c>
    </row>
    <row r="86">
      <c r="A86" s="21" t="inlineStr">
        <is>
          <t>Продажа</t>
        </is>
      </c>
      <c r="B86" s="21" t="inlineStr">
        <is>
          <t>Дома, дачи, коттеджи</t>
        </is>
      </c>
      <c r="C86" s="21" t="inlineStr">
        <is>
          <t>Волгоград</t>
        </is>
      </c>
      <c r="D86" s="22" t="n">
        <v>1920</v>
      </c>
      <c r="E86" s="22" t="n">
        <v>1901</v>
      </c>
    </row>
    <row r="87">
      <c r="A87" s="33" t="inlineStr">
        <is>
          <t>Продажа</t>
        </is>
      </c>
      <c r="B87" s="34" t="inlineStr">
        <is>
          <t>Земельные участки</t>
        </is>
      </c>
      <c r="C87" s="33" t="inlineStr">
        <is>
          <t>🇷🇺 Вся Россия</t>
        </is>
      </c>
      <c r="D87" s="35" t="n">
        <v>396800</v>
      </c>
      <c r="E87" s="35" t="n">
        <v>395170</v>
      </c>
    </row>
    <row r="88">
      <c r="A88" s="21" t="inlineStr">
        <is>
          <t>Продажа</t>
        </is>
      </c>
      <c r="B88" s="21" t="inlineStr">
        <is>
          <t>Земельные участки</t>
        </is>
      </c>
      <c r="C88" s="21" t="inlineStr">
        <is>
          <t>Москва</t>
        </is>
      </c>
      <c r="D88" s="22" t="n">
        <v>371</v>
      </c>
      <c r="E88" s="22" t="n">
        <v>373</v>
      </c>
    </row>
    <row r="89">
      <c r="A89" s="21" t="inlineStr">
        <is>
          <t>Продажа</t>
        </is>
      </c>
      <c r="B89" s="21" t="inlineStr">
        <is>
          <t>Земельные участки</t>
        </is>
      </c>
      <c r="C89" s="21" t="inlineStr">
        <is>
          <t>Санкт-Петербург</t>
        </is>
      </c>
      <c r="D89" s="22" t="n">
        <v>1006</v>
      </c>
      <c r="E89" s="22" t="n">
        <v>991</v>
      </c>
    </row>
    <row r="90">
      <c r="A90" s="21" t="inlineStr">
        <is>
          <t>Продажа</t>
        </is>
      </c>
      <c r="B90" s="21" t="inlineStr">
        <is>
          <t>Земельные участки</t>
        </is>
      </c>
      <c r="C90" s="21" t="inlineStr">
        <is>
          <t>Новосибирск</t>
        </is>
      </c>
      <c r="D90" s="22" t="n">
        <v>2379</v>
      </c>
      <c r="E90" s="22" t="n">
        <v>2368</v>
      </c>
    </row>
    <row r="91">
      <c r="A91" s="21" t="inlineStr">
        <is>
          <t>Продажа</t>
        </is>
      </c>
      <c r="B91" s="21" t="inlineStr">
        <is>
          <t>Земельные участки</t>
        </is>
      </c>
      <c r="C91" s="21" t="inlineStr">
        <is>
          <t>Екатеринбург</t>
        </is>
      </c>
      <c r="D91" s="22" t="n">
        <v>1509</v>
      </c>
      <c r="E91" s="22" t="n">
        <v>1499</v>
      </c>
    </row>
    <row r="92">
      <c r="A92" s="21" t="inlineStr">
        <is>
          <t>Продажа</t>
        </is>
      </c>
      <c r="B92" s="21" t="inlineStr">
        <is>
          <t>Земельные участки</t>
        </is>
      </c>
      <c r="C92" s="21" t="inlineStr">
        <is>
          <t>Казань</t>
        </is>
      </c>
      <c r="D92" s="22" t="n">
        <v>3759</v>
      </c>
      <c r="E92" s="22" t="n">
        <v>3733</v>
      </c>
    </row>
    <row r="93">
      <c r="A93" s="21" t="inlineStr">
        <is>
          <t>Продажа</t>
        </is>
      </c>
      <c r="B93" s="21" t="inlineStr">
        <is>
          <t>Земельные участки</t>
        </is>
      </c>
      <c r="C93" s="21" t="inlineStr">
        <is>
          <t>Красноярск</t>
        </is>
      </c>
      <c r="D93" s="22" t="n">
        <v>2045</v>
      </c>
      <c r="E93" s="22" t="n">
        <v>2030</v>
      </c>
    </row>
    <row r="94">
      <c r="A94" s="21" t="inlineStr">
        <is>
          <t>Продажа</t>
        </is>
      </c>
      <c r="B94" s="21" t="inlineStr">
        <is>
          <t>Земельные участки</t>
        </is>
      </c>
      <c r="C94" s="21" t="inlineStr">
        <is>
          <t>Нижний Новгород</t>
        </is>
      </c>
      <c r="D94" s="22" t="n">
        <v>924</v>
      </c>
      <c r="E94" s="22" t="n">
        <v>923</v>
      </c>
    </row>
    <row r="95">
      <c r="A95" s="21" t="inlineStr">
        <is>
          <t>Продажа</t>
        </is>
      </c>
      <c r="B95" s="21" t="inlineStr">
        <is>
          <t>Земельные участки</t>
        </is>
      </c>
      <c r="C95" s="21" t="inlineStr">
        <is>
          <t>Челябинск</t>
        </is>
      </c>
      <c r="D95" s="22" t="n">
        <v>2671</v>
      </c>
      <c r="E95" s="22" t="n">
        <v>2658</v>
      </c>
    </row>
    <row r="96">
      <c r="A96" s="21" t="inlineStr">
        <is>
          <t>Продажа</t>
        </is>
      </c>
      <c r="B96" s="21" t="inlineStr">
        <is>
          <t>Земельные участки</t>
        </is>
      </c>
      <c r="C96" s="21" t="inlineStr">
        <is>
          <t>Уфа</t>
        </is>
      </c>
      <c r="D96" s="22" t="n">
        <v>1541</v>
      </c>
      <c r="E96" s="22" t="n">
        <v>1537</v>
      </c>
    </row>
    <row r="97">
      <c r="A97" s="21" t="inlineStr">
        <is>
          <t>Продажа</t>
        </is>
      </c>
      <c r="B97" s="21" t="inlineStr">
        <is>
          <t>Земельные участки</t>
        </is>
      </c>
      <c r="C97" s="21" t="inlineStr">
        <is>
          <t>Краснодар</t>
        </is>
      </c>
      <c r="D97" s="22" t="n">
        <v>3795</v>
      </c>
      <c r="E97" s="22" t="n">
        <v>3768</v>
      </c>
    </row>
    <row r="98">
      <c r="A98" s="21" t="inlineStr">
        <is>
          <t>Продажа</t>
        </is>
      </c>
      <c r="B98" s="21" t="inlineStr">
        <is>
          <t>Земельные участки</t>
        </is>
      </c>
      <c r="C98" s="21" t="inlineStr">
        <is>
          <t>Самара</t>
        </is>
      </c>
      <c r="D98" s="22" t="n">
        <v>1896</v>
      </c>
      <c r="E98" s="22" t="n">
        <v>1886</v>
      </c>
    </row>
    <row r="99">
      <c r="A99" s="21" t="inlineStr">
        <is>
          <t>Продажа</t>
        </is>
      </c>
      <c r="B99" s="21" t="inlineStr">
        <is>
          <t>Земельные участки</t>
        </is>
      </c>
      <c r="C99" s="21" t="inlineStr">
        <is>
          <t>Ростов-на-Дону</t>
        </is>
      </c>
      <c r="D99" s="22" t="n">
        <v>1666</v>
      </c>
      <c r="E99" s="22" t="n">
        <v>1646</v>
      </c>
    </row>
    <row r="100">
      <c r="A100" s="21" t="inlineStr">
        <is>
          <t>Продажа</t>
        </is>
      </c>
      <c r="B100" s="21" t="inlineStr">
        <is>
          <t>Земельные участки</t>
        </is>
      </c>
      <c r="C100" s="21" t="inlineStr">
        <is>
          <t>Омск</t>
        </is>
      </c>
      <c r="D100" s="22" t="n">
        <v>2010</v>
      </c>
      <c r="E100" s="22" t="n">
        <v>2008</v>
      </c>
    </row>
    <row r="101">
      <c r="A101" s="21" t="inlineStr">
        <is>
          <t>Продажа</t>
        </is>
      </c>
      <c r="B101" s="21" t="inlineStr">
        <is>
          <t>Земельные участки</t>
        </is>
      </c>
      <c r="C101" s="21" t="inlineStr">
        <is>
          <t>Воронеж</t>
        </is>
      </c>
      <c r="D101" s="22" t="n">
        <v>2328</v>
      </c>
      <c r="E101" s="22" t="n">
        <v>2317</v>
      </c>
    </row>
    <row r="102">
      <c r="A102" s="21" t="inlineStr">
        <is>
          <t>Продажа</t>
        </is>
      </c>
      <c r="B102" s="21" t="inlineStr">
        <is>
          <t>Земельные участки</t>
        </is>
      </c>
      <c r="C102" s="21" t="inlineStr">
        <is>
          <t>Пермь</t>
        </is>
      </c>
      <c r="D102" s="22" t="n">
        <v>2299</v>
      </c>
      <c r="E102" s="22" t="n">
        <v>2290</v>
      </c>
    </row>
    <row r="103">
      <c r="A103" s="21" t="inlineStr">
        <is>
          <t>Продажа</t>
        </is>
      </c>
      <c r="B103" s="21" t="inlineStr">
        <is>
          <t>Земельные участки</t>
        </is>
      </c>
      <c r="C103" s="21" t="inlineStr">
        <is>
          <t>Волгоград</t>
        </is>
      </c>
      <c r="D103" s="22" t="n">
        <v>965</v>
      </c>
      <c r="E103" s="22" t="n">
        <v>976</v>
      </c>
    </row>
    <row r="104">
      <c r="A104" s="33" t="inlineStr">
        <is>
          <t>Продажа</t>
        </is>
      </c>
      <c r="B104" s="34" t="inlineStr">
        <is>
          <t>Коммерческая</t>
        </is>
      </c>
      <c r="C104" s="33" t="inlineStr">
        <is>
          <t>🇷🇺 Вся Россия</t>
        </is>
      </c>
      <c r="D104" s="35" t="n">
        <v>97445</v>
      </c>
      <c r="E104" s="35" t="n">
        <v>96924</v>
      </c>
    </row>
    <row r="105">
      <c r="A105" s="21" t="inlineStr">
        <is>
          <t>Продажа</t>
        </is>
      </c>
      <c r="B105" s="21" t="inlineStr">
        <is>
          <t>Коммерческая</t>
        </is>
      </c>
      <c r="C105" s="21" t="inlineStr">
        <is>
          <t>Москва</t>
        </is>
      </c>
      <c r="D105" s="22" t="n">
        <v>22901</v>
      </c>
      <c r="E105" s="22" t="n">
        <v>22952</v>
      </c>
    </row>
    <row r="106">
      <c r="A106" s="21" t="inlineStr">
        <is>
          <t>Продажа</t>
        </is>
      </c>
      <c r="B106" s="21" t="inlineStr">
        <is>
          <t>Коммерческая</t>
        </is>
      </c>
      <c r="C106" s="21" t="inlineStr">
        <is>
          <t>Санкт-Петербург</t>
        </is>
      </c>
      <c r="D106" s="22" t="n">
        <v>4249</v>
      </c>
      <c r="E106" s="22" t="n">
        <v>4234</v>
      </c>
    </row>
    <row r="107">
      <c r="A107" s="21" t="inlineStr">
        <is>
          <t>Продажа</t>
        </is>
      </c>
      <c r="B107" s="21" t="inlineStr">
        <is>
          <t>Коммерческая</t>
        </is>
      </c>
      <c r="C107" s="21" t="inlineStr">
        <is>
          <t>Новосибирск</t>
        </is>
      </c>
      <c r="D107" s="22" t="n">
        <v>2275</v>
      </c>
      <c r="E107" s="22" t="n">
        <v>2241</v>
      </c>
    </row>
    <row r="108">
      <c r="A108" s="21" t="inlineStr">
        <is>
          <t>Продажа</t>
        </is>
      </c>
      <c r="B108" s="21" t="inlineStr">
        <is>
          <t>Коммерческая</t>
        </is>
      </c>
      <c r="C108" s="21" t="inlineStr">
        <is>
          <t>Екатеринбург</t>
        </is>
      </c>
      <c r="D108" s="22" t="n">
        <v>1780</v>
      </c>
      <c r="E108" s="22" t="n">
        <v>1749</v>
      </c>
    </row>
    <row r="109">
      <c r="A109" s="21" t="inlineStr">
        <is>
          <t>Продажа</t>
        </is>
      </c>
      <c r="B109" s="21" t="inlineStr">
        <is>
          <t>Коммерческая</t>
        </is>
      </c>
      <c r="C109" s="21" t="inlineStr">
        <is>
          <t>Казань</t>
        </is>
      </c>
      <c r="D109" s="22" t="n">
        <v>1161</v>
      </c>
      <c r="E109" s="22" t="n">
        <v>1152</v>
      </c>
    </row>
    <row r="110">
      <c r="A110" s="21" t="inlineStr">
        <is>
          <t>Продажа</t>
        </is>
      </c>
      <c r="B110" s="21" t="inlineStr">
        <is>
          <t>Коммерческая</t>
        </is>
      </c>
      <c r="C110" s="21" t="inlineStr">
        <is>
          <t>Красноярск</t>
        </is>
      </c>
      <c r="D110" s="22" t="n">
        <v>822</v>
      </c>
      <c r="E110" s="22" t="n">
        <v>812</v>
      </c>
    </row>
    <row r="111">
      <c r="A111" s="21" t="inlineStr">
        <is>
          <t>Продажа</t>
        </is>
      </c>
      <c r="B111" s="21" t="inlineStr">
        <is>
          <t>Коммерческая</t>
        </is>
      </c>
      <c r="C111" s="21" t="inlineStr">
        <is>
          <t>Нижний Новгород</t>
        </is>
      </c>
      <c r="D111" s="22" t="n">
        <v>726</v>
      </c>
      <c r="E111" s="22" t="n">
        <v>719</v>
      </c>
    </row>
    <row r="112">
      <c r="A112" s="21" t="inlineStr">
        <is>
          <t>Продажа</t>
        </is>
      </c>
      <c r="B112" s="21" t="inlineStr">
        <is>
          <t>Коммерческая</t>
        </is>
      </c>
      <c r="C112" s="21" t="inlineStr">
        <is>
          <t>Челябинск</t>
        </is>
      </c>
      <c r="D112" s="22" t="n">
        <v>1070</v>
      </c>
      <c r="E112" s="22" t="n">
        <v>1074</v>
      </c>
    </row>
    <row r="113">
      <c r="A113" s="21" t="inlineStr">
        <is>
          <t>Продажа</t>
        </is>
      </c>
      <c r="B113" s="21" t="inlineStr">
        <is>
          <t>Коммерческая</t>
        </is>
      </c>
      <c r="C113" s="21" t="inlineStr">
        <is>
          <t>Уфа</t>
        </is>
      </c>
      <c r="D113" s="22" t="n">
        <v>965</v>
      </c>
      <c r="E113" s="22" t="n">
        <v>966</v>
      </c>
    </row>
    <row r="114">
      <c r="A114" s="21" t="inlineStr">
        <is>
          <t>Продажа</t>
        </is>
      </c>
      <c r="B114" s="21" t="inlineStr">
        <is>
          <t>Коммерческая</t>
        </is>
      </c>
      <c r="C114" s="21" t="inlineStr">
        <is>
          <t>Краснодар</t>
        </is>
      </c>
      <c r="D114" s="22" t="n">
        <v>2408</v>
      </c>
      <c r="E114" s="22" t="n">
        <v>2384</v>
      </c>
    </row>
    <row r="115">
      <c r="A115" s="21" t="inlineStr">
        <is>
          <t>Продажа</t>
        </is>
      </c>
      <c r="B115" s="21" t="inlineStr">
        <is>
          <t>Коммерческая</t>
        </is>
      </c>
      <c r="C115" s="21" t="inlineStr">
        <is>
          <t>Самара</t>
        </is>
      </c>
      <c r="D115" s="22" t="n">
        <v>1017</v>
      </c>
      <c r="E115" s="22" t="n">
        <v>1005</v>
      </c>
    </row>
    <row r="116">
      <c r="A116" s="21" t="inlineStr">
        <is>
          <t>Продажа</t>
        </is>
      </c>
      <c r="B116" s="21" t="inlineStr">
        <is>
          <t>Коммерческая</t>
        </is>
      </c>
      <c r="C116" s="21" t="inlineStr">
        <is>
          <t>Ростов-на-Дону</t>
        </is>
      </c>
      <c r="D116" s="22" t="n">
        <v>1673</v>
      </c>
      <c r="E116" s="22" t="n">
        <v>1665</v>
      </c>
    </row>
    <row r="117">
      <c r="A117" s="21" t="inlineStr">
        <is>
          <t>Продажа</t>
        </is>
      </c>
      <c r="B117" s="21" t="inlineStr">
        <is>
          <t>Коммерческая</t>
        </is>
      </c>
      <c r="C117" s="21" t="inlineStr">
        <is>
          <t>Омск</t>
        </is>
      </c>
      <c r="D117" s="22" t="n">
        <v>746</v>
      </c>
      <c r="E117" s="22" t="n">
        <v>744</v>
      </c>
    </row>
    <row r="118">
      <c r="A118" s="21" t="inlineStr">
        <is>
          <t>Продажа</t>
        </is>
      </c>
      <c r="B118" s="21" t="inlineStr">
        <is>
          <t>Коммерческая</t>
        </is>
      </c>
      <c r="C118" s="21" t="inlineStr">
        <is>
          <t>Воронеж</t>
        </is>
      </c>
      <c r="D118" s="22" t="n">
        <v>1093</v>
      </c>
      <c r="E118" s="22" t="n">
        <v>1076</v>
      </c>
    </row>
    <row r="119">
      <c r="A119" s="21" t="inlineStr">
        <is>
          <t>Продажа</t>
        </is>
      </c>
      <c r="B119" s="21" t="inlineStr">
        <is>
          <t>Коммерческая</t>
        </is>
      </c>
      <c r="C119" s="21" t="inlineStr">
        <is>
          <t>Пермь</t>
        </is>
      </c>
      <c r="D119" s="22" t="n">
        <v>665</v>
      </c>
      <c r="E119" s="22" t="n">
        <v>661</v>
      </c>
    </row>
    <row r="120">
      <c r="A120" s="21" t="inlineStr">
        <is>
          <t>Продажа</t>
        </is>
      </c>
      <c r="B120" s="21" t="inlineStr">
        <is>
          <t>Коммерческая</t>
        </is>
      </c>
      <c r="C120" s="21" t="inlineStr">
        <is>
          <t>Волгоград</t>
        </is>
      </c>
      <c r="D120" s="22" t="n">
        <v>484</v>
      </c>
      <c r="E120" s="22" t="n">
        <v>483</v>
      </c>
    </row>
    <row r="121">
      <c r="A121" s="33" t="inlineStr">
        <is>
          <t>Аренда</t>
        </is>
      </c>
      <c r="B121" s="34" t="inlineStr">
        <is>
          <t>Квартиры</t>
        </is>
      </c>
      <c r="C121" s="33" t="inlineStr">
        <is>
          <t>🇷🇺 Вся Россия</t>
        </is>
      </c>
      <c r="D121" s="35" t="n">
        <v>517274</v>
      </c>
      <c r="E121" s="35" t="n">
        <v>515710</v>
      </c>
    </row>
    <row r="122">
      <c r="A122" s="21" t="inlineStr">
        <is>
          <t>Аренда</t>
        </is>
      </c>
      <c r="B122" s="21" t="inlineStr">
        <is>
          <t>Квартиры</t>
        </is>
      </c>
      <c r="C122" s="21" t="inlineStr">
        <is>
          <t>Москва</t>
        </is>
      </c>
      <c r="D122" s="22" t="n">
        <v>38211</v>
      </c>
      <c r="E122" s="22" t="n">
        <v>38069</v>
      </c>
    </row>
    <row r="123">
      <c r="A123" s="21" t="inlineStr">
        <is>
          <t>Аренда</t>
        </is>
      </c>
      <c r="B123" s="21" t="inlineStr">
        <is>
          <t>Квартиры</t>
        </is>
      </c>
      <c r="C123" s="21" t="inlineStr">
        <is>
          <t>Санкт-Петербург</t>
        </is>
      </c>
      <c r="D123" s="22" t="n">
        <v>41782</v>
      </c>
      <c r="E123" s="22" t="n">
        <v>41663</v>
      </c>
    </row>
    <row r="124">
      <c r="A124" s="21" t="inlineStr">
        <is>
          <t>Аренда</t>
        </is>
      </c>
      <c r="B124" s="21" t="inlineStr">
        <is>
          <t>Квартиры</t>
        </is>
      </c>
      <c r="C124" s="21" t="inlineStr">
        <is>
          <t>Новосибирск</t>
        </is>
      </c>
      <c r="D124" s="22" t="n">
        <v>11446</v>
      </c>
      <c r="E124" s="22" t="n">
        <v>11366</v>
      </c>
    </row>
    <row r="125">
      <c r="A125" s="21" t="inlineStr">
        <is>
          <t>Аренда</t>
        </is>
      </c>
      <c r="B125" s="21" t="inlineStr">
        <is>
          <t>Квартиры</t>
        </is>
      </c>
      <c r="C125" s="21" t="inlineStr">
        <is>
          <t>Екатеринбург</t>
        </is>
      </c>
      <c r="D125" s="22" t="n">
        <v>10846</v>
      </c>
      <c r="E125" s="22" t="n">
        <v>10788</v>
      </c>
    </row>
    <row r="126">
      <c r="A126" s="21" t="inlineStr">
        <is>
          <t>Аренда</t>
        </is>
      </c>
      <c r="B126" s="21" t="inlineStr">
        <is>
          <t>Квартиры</t>
        </is>
      </c>
      <c r="C126" s="21" t="inlineStr">
        <is>
          <t>Казань</t>
        </is>
      </c>
      <c r="D126" s="22" t="n">
        <v>14116</v>
      </c>
      <c r="E126" s="22" t="n">
        <v>14140</v>
      </c>
    </row>
    <row r="127">
      <c r="A127" s="21" t="inlineStr">
        <is>
          <t>Аренда</t>
        </is>
      </c>
      <c r="B127" s="21" t="inlineStr">
        <is>
          <t>Квартиры</t>
        </is>
      </c>
      <c r="C127" s="21" t="inlineStr">
        <is>
          <t>Красноярск</t>
        </is>
      </c>
      <c r="D127" s="22" t="n">
        <v>5503</v>
      </c>
      <c r="E127" s="22" t="n">
        <v>5478</v>
      </c>
    </row>
    <row r="128">
      <c r="A128" s="21" t="inlineStr">
        <is>
          <t>Аренда</t>
        </is>
      </c>
      <c r="B128" s="21" t="inlineStr">
        <is>
          <t>Квартиры</t>
        </is>
      </c>
      <c r="C128" s="21" t="inlineStr">
        <is>
          <t>Нижний Новгород</t>
        </is>
      </c>
      <c r="D128" s="22" t="n">
        <v>7742</v>
      </c>
      <c r="E128" s="22" t="n">
        <v>7726</v>
      </c>
    </row>
    <row r="129">
      <c r="A129" s="21" t="inlineStr">
        <is>
          <t>Аренда</t>
        </is>
      </c>
      <c r="B129" s="21" t="inlineStr">
        <is>
          <t>Квартиры</t>
        </is>
      </c>
      <c r="C129" s="21" t="inlineStr">
        <is>
          <t>Челябинск</t>
        </is>
      </c>
      <c r="D129" s="22" t="n">
        <v>4979</v>
      </c>
      <c r="E129" s="22" t="n">
        <v>4969</v>
      </c>
    </row>
    <row r="130">
      <c r="A130" s="21" t="inlineStr">
        <is>
          <t>Аренда</t>
        </is>
      </c>
      <c r="B130" s="21" t="inlineStr">
        <is>
          <t>Квартиры</t>
        </is>
      </c>
      <c r="C130" s="21" t="inlineStr">
        <is>
          <t>Уфа</t>
        </is>
      </c>
      <c r="D130" s="22" t="n">
        <v>6614</v>
      </c>
      <c r="E130" s="22" t="n">
        <v>6546</v>
      </c>
    </row>
    <row r="131">
      <c r="A131" s="21" t="inlineStr">
        <is>
          <t>Аренда</t>
        </is>
      </c>
      <c r="B131" s="21" t="inlineStr">
        <is>
          <t>Квартиры</t>
        </is>
      </c>
      <c r="C131" s="21" t="inlineStr">
        <is>
          <t>Краснодар</t>
        </is>
      </c>
      <c r="D131" s="22" t="n">
        <v>16024</v>
      </c>
      <c r="E131" s="22" t="n">
        <v>15962</v>
      </c>
    </row>
    <row r="132">
      <c r="A132" s="21" t="inlineStr">
        <is>
          <t>Аренда</t>
        </is>
      </c>
      <c r="B132" s="21" t="inlineStr">
        <is>
          <t>Квартиры</t>
        </is>
      </c>
      <c r="C132" s="21" t="inlineStr">
        <is>
          <t>Самара</t>
        </is>
      </c>
      <c r="D132" s="22" t="n">
        <v>5142</v>
      </c>
      <c r="E132" s="22" t="n">
        <v>5102</v>
      </c>
    </row>
    <row r="133">
      <c r="A133" s="21" t="inlineStr">
        <is>
          <t>Аренда</t>
        </is>
      </c>
      <c r="B133" s="21" t="inlineStr">
        <is>
          <t>Квартиры</t>
        </is>
      </c>
      <c r="C133" s="21" t="inlineStr">
        <is>
          <t>Ростов-на-Дону</t>
        </is>
      </c>
      <c r="D133" s="22" t="n">
        <v>9597</v>
      </c>
      <c r="E133" s="22" t="n">
        <v>9604</v>
      </c>
    </row>
    <row r="134">
      <c r="A134" s="21" t="inlineStr">
        <is>
          <t>Аренда</t>
        </is>
      </c>
      <c r="B134" s="21" t="inlineStr">
        <is>
          <t>Квартиры</t>
        </is>
      </c>
      <c r="C134" s="21" t="inlineStr">
        <is>
          <t>Омск</t>
        </is>
      </c>
      <c r="D134" s="22" t="n">
        <v>2980</v>
      </c>
      <c r="E134" s="22" t="n">
        <v>2964</v>
      </c>
    </row>
    <row r="135">
      <c r="A135" s="21" t="inlineStr">
        <is>
          <t>Аренда</t>
        </is>
      </c>
      <c r="B135" s="21" t="inlineStr">
        <is>
          <t>Квартиры</t>
        </is>
      </c>
      <c r="C135" s="21" t="inlineStr">
        <is>
          <t>Воронеж</t>
        </is>
      </c>
      <c r="D135" s="22" t="n">
        <v>6237</v>
      </c>
      <c r="E135" s="22" t="n">
        <v>6193</v>
      </c>
    </row>
    <row r="136">
      <c r="A136" s="21" t="inlineStr">
        <is>
          <t>Аренда</t>
        </is>
      </c>
      <c r="B136" s="21" t="inlineStr">
        <is>
          <t>Квартиры</t>
        </is>
      </c>
      <c r="C136" s="21" t="inlineStr">
        <is>
          <t>Пермь</t>
        </is>
      </c>
      <c r="D136" s="22" t="n">
        <v>4188</v>
      </c>
      <c r="E136" s="22" t="n">
        <v>4151</v>
      </c>
    </row>
    <row r="137">
      <c r="A137" s="21" t="inlineStr">
        <is>
          <t>Аренда</t>
        </is>
      </c>
      <c r="B137" s="21" t="inlineStr">
        <is>
          <t>Квартиры</t>
        </is>
      </c>
      <c r="C137" s="21" t="inlineStr">
        <is>
          <t>Волгоград</t>
        </is>
      </c>
      <c r="D137" s="22" t="n">
        <v>5196</v>
      </c>
      <c r="E137" s="22" t="n">
        <v>5182</v>
      </c>
    </row>
    <row r="138">
      <c r="A138" s="33" t="inlineStr">
        <is>
          <t>Аренда</t>
        </is>
      </c>
      <c r="B138" s="34" t="inlineStr">
        <is>
          <t>Квартиры долгосрочно</t>
        </is>
      </c>
      <c r="C138" s="33" t="inlineStr">
        <is>
          <t>🇷🇺 Вся Россия</t>
        </is>
      </c>
      <c r="D138" s="33" t="n"/>
      <c r="E138" s="35" t="n">
        <v>170002</v>
      </c>
    </row>
    <row r="139">
      <c r="A139" s="21" t="inlineStr">
        <is>
          <t>Аренда</t>
        </is>
      </c>
      <c r="B139" s="21" t="inlineStr">
        <is>
          <t>Квартиры долгосрочно</t>
        </is>
      </c>
      <c r="C139" s="21" t="inlineStr">
        <is>
          <t>Москва</t>
        </is>
      </c>
      <c r="D139" s="21" t="n"/>
      <c r="E139" s="22" t="n">
        <v>17890</v>
      </c>
    </row>
    <row r="140">
      <c r="A140" s="21" t="inlineStr">
        <is>
          <t>Аренда</t>
        </is>
      </c>
      <c r="B140" s="21" t="inlineStr">
        <is>
          <t>Квартиры долгосрочно</t>
        </is>
      </c>
      <c r="C140" s="21" t="inlineStr">
        <is>
          <t>Санкт-Петербург</t>
        </is>
      </c>
      <c r="D140" s="21" t="n"/>
      <c r="E140" s="22" t="n">
        <v>11104</v>
      </c>
    </row>
    <row r="141">
      <c r="A141" s="21" t="inlineStr">
        <is>
          <t>Аренда</t>
        </is>
      </c>
      <c r="B141" s="21" t="inlineStr">
        <is>
          <t>Квартиры долгосрочно</t>
        </is>
      </c>
      <c r="C141" s="21" t="inlineStr">
        <is>
          <t>Новосибирск</t>
        </is>
      </c>
      <c r="D141" s="21" t="n"/>
      <c r="E141" s="22" t="n">
        <v>6016</v>
      </c>
    </row>
    <row r="142">
      <c r="A142" s="21" t="inlineStr">
        <is>
          <t>Аренда</t>
        </is>
      </c>
      <c r="B142" s="21" t="inlineStr">
        <is>
          <t>Квартиры долгосрочно</t>
        </is>
      </c>
      <c r="C142" s="21" t="inlineStr">
        <is>
          <t>Екатеринбург</t>
        </is>
      </c>
      <c r="D142" s="21" t="n"/>
      <c r="E142" s="22" t="n">
        <v>5202</v>
      </c>
    </row>
    <row r="143">
      <c r="A143" s="21" t="inlineStr">
        <is>
          <t>Аренда</t>
        </is>
      </c>
      <c r="B143" s="21" t="inlineStr">
        <is>
          <t>Квартиры долгосрочно</t>
        </is>
      </c>
      <c r="C143" s="21" t="inlineStr">
        <is>
          <t>Казань</t>
        </is>
      </c>
      <c r="D143" s="21" t="n"/>
      <c r="E143" s="22" t="n">
        <v>3609</v>
      </c>
    </row>
    <row r="144">
      <c r="A144" s="21" t="inlineStr">
        <is>
          <t>Аренда</t>
        </is>
      </c>
      <c r="B144" s="21" t="inlineStr">
        <is>
          <t>Квартиры долгосрочно</t>
        </is>
      </c>
      <c r="C144" s="21" t="inlineStr">
        <is>
          <t>Красноярск</t>
        </is>
      </c>
      <c r="D144" s="21" t="n"/>
      <c r="E144" s="22" t="n">
        <v>1625</v>
      </c>
    </row>
    <row r="145">
      <c r="A145" s="21" t="inlineStr">
        <is>
          <t>Аренда</t>
        </is>
      </c>
      <c r="B145" s="21" t="inlineStr">
        <is>
          <t>Квартиры долгосрочно</t>
        </is>
      </c>
      <c r="C145" s="21" t="inlineStr">
        <is>
          <t>Нижний Новгород</t>
        </is>
      </c>
      <c r="D145" s="21" t="n"/>
      <c r="E145" s="22" t="n">
        <v>1881</v>
      </c>
    </row>
    <row r="146">
      <c r="A146" s="21" t="inlineStr">
        <is>
          <t>Аренда</t>
        </is>
      </c>
      <c r="B146" s="21" t="inlineStr">
        <is>
          <t>Квартиры долгосрочно</t>
        </is>
      </c>
      <c r="C146" s="21" t="inlineStr">
        <is>
          <t>Челябинск</t>
        </is>
      </c>
      <c r="D146" s="21" t="n"/>
      <c r="E146" s="22" t="n">
        <v>2436</v>
      </c>
    </row>
    <row r="147">
      <c r="A147" s="21" t="inlineStr">
        <is>
          <t>Аренда</t>
        </is>
      </c>
      <c r="B147" s="21" t="inlineStr">
        <is>
          <t>Квартиры долгосрочно</t>
        </is>
      </c>
      <c r="C147" s="21" t="inlineStr">
        <is>
          <t>Уфа</t>
        </is>
      </c>
      <c r="D147" s="21" t="n"/>
      <c r="E147" s="22" t="n">
        <v>2918</v>
      </c>
    </row>
    <row r="148">
      <c r="A148" s="21" t="inlineStr">
        <is>
          <t>Аренда</t>
        </is>
      </c>
      <c r="B148" s="21" t="inlineStr">
        <is>
          <t>Квартиры долгосрочно</t>
        </is>
      </c>
      <c r="C148" s="21" t="inlineStr">
        <is>
          <t>Краснодар</t>
        </is>
      </c>
      <c r="D148" s="21" t="n"/>
      <c r="E148" s="22" t="n">
        <v>7626</v>
      </c>
    </row>
    <row r="149">
      <c r="A149" s="21" t="inlineStr">
        <is>
          <t>Аренда</t>
        </is>
      </c>
      <c r="B149" s="21" t="inlineStr">
        <is>
          <t>Квартиры долгосрочно</t>
        </is>
      </c>
      <c r="C149" s="21" t="inlineStr">
        <is>
          <t>Самара</t>
        </is>
      </c>
      <c r="D149" s="21" t="n"/>
      <c r="E149" s="22" t="n">
        <v>1837</v>
      </c>
    </row>
    <row r="150">
      <c r="A150" s="21" t="inlineStr">
        <is>
          <t>Аренда</t>
        </is>
      </c>
      <c r="B150" s="21" t="inlineStr">
        <is>
          <t>Квартиры долгосрочно</t>
        </is>
      </c>
      <c r="C150" s="21" t="inlineStr">
        <is>
          <t>Ростов-на-Дону</t>
        </is>
      </c>
      <c r="D150" s="21" t="n"/>
      <c r="E150" s="22" t="n">
        <v>4630</v>
      </c>
    </row>
    <row r="151">
      <c r="A151" s="21" t="inlineStr">
        <is>
          <t>Аренда</t>
        </is>
      </c>
      <c r="B151" s="21" t="inlineStr">
        <is>
          <t>Квартиры долгосрочно</t>
        </is>
      </c>
      <c r="C151" s="21" t="inlineStr">
        <is>
          <t>Омск</t>
        </is>
      </c>
      <c r="D151" s="21" t="n"/>
      <c r="E151" s="22" t="n">
        <v>1142</v>
      </c>
    </row>
    <row r="152">
      <c r="A152" s="21" t="inlineStr">
        <is>
          <t>Аренда</t>
        </is>
      </c>
      <c r="B152" s="21" t="inlineStr">
        <is>
          <t>Квартиры долгосрочно</t>
        </is>
      </c>
      <c r="C152" s="21" t="inlineStr">
        <is>
          <t>Воронеж</t>
        </is>
      </c>
      <c r="D152" s="21" t="n"/>
      <c r="E152" s="22" t="n">
        <v>3042</v>
      </c>
    </row>
    <row r="153">
      <c r="A153" s="21" t="inlineStr">
        <is>
          <t>Аренда</t>
        </is>
      </c>
      <c r="B153" s="21" t="inlineStr">
        <is>
          <t>Квартиры долгосрочно</t>
        </is>
      </c>
      <c r="C153" s="21" t="inlineStr">
        <is>
          <t>Пермь</t>
        </is>
      </c>
      <c r="D153" s="21" t="n"/>
      <c r="E153" s="22" t="n">
        <v>1926</v>
      </c>
    </row>
    <row r="154">
      <c r="A154" s="21" t="inlineStr">
        <is>
          <t>Аренда</t>
        </is>
      </c>
      <c r="B154" s="21" t="inlineStr">
        <is>
          <t>Квартиры долгосрочно</t>
        </is>
      </c>
      <c r="C154" s="21" t="inlineStr">
        <is>
          <t>Волгоград</t>
        </is>
      </c>
      <c r="D154" s="21" t="n"/>
      <c r="E154" s="22" t="n">
        <v>1301</v>
      </c>
    </row>
    <row r="155">
      <c r="A155" s="33" t="inlineStr">
        <is>
          <t>Аренда</t>
        </is>
      </c>
      <c r="B155" s="34" t="inlineStr">
        <is>
          <t>Квартиры посуточно</t>
        </is>
      </c>
      <c r="C155" s="33" t="inlineStr">
        <is>
          <t>🇷🇺 Вся Россия</t>
        </is>
      </c>
      <c r="D155" s="33" t="n"/>
      <c r="E155" s="35" t="n">
        <v>345756</v>
      </c>
    </row>
    <row r="156">
      <c r="A156" s="21" t="inlineStr">
        <is>
          <t>Аренда</t>
        </is>
      </c>
      <c r="B156" s="21" t="inlineStr">
        <is>
          <t>Квартиры посуточно</t>
        </is>
      </c>
      <c r="C156" s="21" t="inlineStr">
        <is>
          <t>Москва</t>
        </is>
      </c>
      <c r="D156" s="21" t="n"/>
      <c r="E156" s="22" t="n">
        <v>20178</v>
      </c>
    </row>
    <row r="157">
      <c r="A157" s="21" t="inlineStr">
        <is>
          <t>Аренда</t>
        </is>
      </c>
      <c r="B157" s="21" t="inlineStr">
        <is>
          <t>Квартиры посуточно</t>
        </is>
      </c>
      <c r="C157" s="21" t="inlineStr">
        <is>
          <t>Санкт-Петербург</t>
        </is>
      </c>
      <c r="D157" s="21" t="n"/>
      <c r="E157" s="22" t="n">
        <v>30561</v>
      </c>
    </row>
    <row r="158">
      <c r="A158" s="21" t="inlineStr">
        <is>
          <t>Аренда</t>
        </is>
      </c>
      <c r="B158" s="21" t="inlineStr">
        <is>
          <t>Квартиры посуточно</t>
        </is>
      </c>
      <c r="C158" s="21" t="inlineStr">
        <is>
          <t>Новосибирск</t>
        </is>
      </c>
      <c r="D158" s="21" t="n"/>
      <c r="E158" s="22" t="n">
        <v>5350</v>
      </c>
    </row>
    <row r="159">
      <c r="A159" s="21" t="inlineStr">
        <is>
          <t>Аренда</t>
        </is>
      </c>
      <c r="B159" s="21" t="inlineStr">
        <is>
          <t>Квартиры посуточно</t>
        </is>
      </c>
      <c r="C159" s="21" t="inlineStr">
        <is>
          <t>Екатеринбург</t>
        </is>
      </c>
      <c r="D159" s="21" t="n"/>
      <c r="E159" s="22" t="n">
        <v>5586</v>
      </c>
    </row>
    <row r="160">
      <c r="A160" s="21" t="inlineStr">
        <is>
          <t>Аренда</t>
        </is>
      </c>
      <c r="B160" s="21" t="inlineStr">
        <is>
          <t>Квартиры посуточно</t>
        </is>
      </c>
      <c r="C160" s="21" t="inlineStr">
        <is>
          <t>Казань</t>
        </is>
      </c>
      <c r="D160" s="21" t="n"/>
      <c r="E160" s="22" t="n">
        <v>10531</v>
      </c>
    </row>
    <row r="161">
      <c r="A161" s="21" t="inlineStr">
        <is>
          <t>Аренда</t>
        </is>
      </c>
      <c r="B161" s="21" t="inlineStr">
        <is>
          <t>Квартиры посуточно</t>
        </is>
      </c>
      <c r="C161" s="21" t="inlineStr">
        <is>
          <t>Красноярск</t>
        </is>
      </c>
      <c r="D161" s="21" t="n"/>
      <c r="E161" s="22" t="n">
        <v>3853</v>
      </c>
    </row>
    <row r="162">
      <c r="A162" s="21" t="inlineStr">
        <is>
          <t>Аренда</t>
        </is>
      </c>
      <c r="B162" s="21" t="inlineStr">
        <is>
          <t>Квартиры посуточно</t>
        </is>
      </c>
      <c r="C162" s="21" t="inlineStr">
        <is>
          <t>Нижний Новгород</t>
        </is>
      </c>
      <c r="D162" s="21" t="n"/>
      <c r="E162" s="22" t="n">
        <v>5845</v>
      </c>
    </row>
    <row r="163">
      <c r="A163" s="21" t="inlineStr">
        <is>
          <t>Аренда</t>
        </is>
      </c>
      <c r="B163" s="21" t="inlineStr">
        <is>
          <t>Квартиры посуточно</t>
        </is>
      </c>
      <c r="C163" s="21" t="inlineStr">
        <is>
          <t>Челябинск</t>
        </is>
      </c>
      <c r="D163" s="21" t="n"/>
      <c r="E163" s="22" t="n">
        <v>2532</v>
      </c>
    </row>
    <row r="164">
      <c r="A164" s="21" t="inlineStr">
        <is>
          <t>Аренда</t>
        </is>
      </c>
      <c r="B164" s="21" t="inlineStr">
        <is>
          <t>Квартиры посуточно</t>
        </is>
      </c>
      <c r="C164" s="21" t="inlineStr">
        <is>
          <t>Уфа</t>
        </is>
      </c>
      <c r="D164" s="21" t="n"/>
      <c r="E164" s="22" t="n">
        <v>3628</v>
      </c>
    </row>
    <row r="165">
      <c r="A165" s="21" t="inlineStr">
        <is>
          <t>Аренда</t>
        </is>
      </c>
      <c r="B165" s="21" t="inlineStr">
        <is>
          <t>Квартиры посуточно</t>
        </is>
      </c>
      <c r="C165" s="21" t="inlineStr">
        <is>
          <t>Краснодар</t>
        </is>
      </c>
      <c r="D165" s="21" t="n"/>
      <c r="E165" s="22" t="n">
        <v>8336</v>
      </c>
    </row>
    <row r="166">
      <c r="A166" s="21" t="inlineStr">
        <is>
          <t>Аренда</t>
        </is>
      </c>
      <c r="B166" s="21" t="inlineStr">
        <is>
          <t>Квартиры посуточно</t>
        </is>
      </c>
      <c r="C166" s="21" t="inlineStr">
        <is>
          <t>Самара</t>
        </is>
      </c>
      <c r="D166" s="21" t="n"/>
      <c r="E166" s="22" t="n">
        <v>3265</v>
      </c>
    </row>
    <row r="167">
      <c r="A167" s="21" t="inlineStr">
        <is>
          <t>Аренда</t>
        </is>
      </c>
      <c r="B167" s="21" t="inlineStr">
        <is>
          <t>Квартиры посуточно</t>
        </is>
      </c>
      <c r="C167" s="21" t="inlineStr">
        <is>
          <t>Ростов-на-Дону</t>
        </is>
      </c>
      <c r="D167" s="21" t="n"/>
      <c r="E167" s="22" t="n">
        <v>4974</v>
      </c>
    </row>
    <row r="168">
      <c r="A168" s="21" t="inlineStr">
        <is>
          <t>Аренда</t>
        </is>
      </c>
      <c r="B168" s="21" t="inlineStr">
        <is>
          <t>Квартиры посуточно</t>
        </is>
      </c>
      <c r="C168" s="21" t="inlineStr">
        <is>
          <t>Омск</t>
        </is>
      </c>
      <c r="D168" s="21" t="n"/>
      <c r="E168" s="22" t="n">
        <v>1822</v>
      </c>
    </row>
    <row r="169">
      <c r="A169" s="21" t="inlineStr">
        <is>
          <t>Аренда</t>
        </is>
      </c>
      <c r="B169" s="21" t="inlineStr">
        <is>
          <t>Квартиры посуточно</t>
        </is>
      </c>
      <c r="C169" s="21" t="inlineStr">
        <is>
          <t>Воронеж</t>
        </is>
      </c>
      <c r="D169" s="21" t="n"/>
      <c r="E169" s="22" t="n">
        <v>3151</v>
      </c>
    </row>
    <row r="170">
      <c r="A170" s="21" t="inlineStr">
        <is>
          <t>Аренда</t>
        </is>
      </c>
      <c r="B170" s="21" t="inlineStr">
        <is>
          <t>Квартиры посуточно</t>
        </is>
      </c>
      <c r="C170" s="21" t="inlineStr">
        <is>
          <t>Пермь</t>
        </is>
      </c>
      <c r="D170" s="21" t="n"/>
      <c r="E170" s="22" t="n">
        <v>2225</v>
      </c>
    </row>
    <row r="171">
      <c r="A171" s="21" t="inlineStr">
        <is>
          <t>Аренда</t>
        </is>
      </c>
      <c r="B171" s="21" t="inlineStr">
        <is>
          <t>Квартиры посуточно</t>
        </is>
      </c>
      <c r="C171" s="21" t="inlineStr">
        <is>
          <t>Волгоград</t>
        </is>
      </c>
      <c r="D171" s="21" t="n"/>
      <c r="E171" s="22" t="n">
        <v>3881</v>
      </c>
    </row>
    <row r="172">
      <c r="A172" s="33" t="inlineStr">
        <is>
          <t>Аренда</t>
        </is>
      </c>
      <c r="B172" s="34" t="inlineStr">
        <is>
          <t>Комнаты</t>
        </is>
      </c>
      <c r="C172" s="33" t="inlineStr">
        <is>
          <t>🇷🇺 Вся Россия</t>
        </is>
      </c>
      <c r="D172" s="35" t="n">
        <v>35488</v>
      </c>
      <c r="E172" s="35" t="n">
        <v>35399</v>
      </c>
    </row>
    <row r="173">
      <c r="A173" s="21" t="inlineStr">
        <is>
          <t>Аренда</t>
        </is>
      </c>
      <c r="B173" s="21" t="inlineStr">
        <is>
          <t>Комнаты</t>
        </is>
      </c>
      <c r="C173" s="21" t="inlineStr">
        <is>
          <t>Москва</t>
        </is>
      </c>
      <c r="D173" s="22" t="n">
        <v>6047</v>
      </c>
      <c r="E173" s="22" t="n">
        <v>5967</v>
      </c>
    </row>
    <row r="174">
      <c r="A174" s="21" t="inlineStr">
        <is>
          <t>Аренда</t>
        </is>
      </c>
      <c r="B174" s="21" t="inlineStr">
        <is>
          <t>Комнаты</t>
        </is>
      </c>
      <c r="C174" s="21" t="inlineStr">
        <is>
          <t>Санкт-Петербург</t>
        </is>
      </c>
      <c r="D174" s="22" t="n">
        <v>2003</v>
      </c>
      <c r="E174" s="22" t="n">
        <v>1990</v>
      </c>
    </row>
    <row r="175">
      <c r="A175" s="21" t="inlineStr">
        <is>
          <t>Аренда</t>
        </is>
      </c>
      <c r="B175" s="21" t="inlineStr">
        <is>
          <t>Комнаты</t>
        </is>
      </c>
      <c r="C175" s="21" t="inlineStr">
        <is>
          <t>Новосибирск</t>
        </is>
      </c>
      <c r="D175" s="22" t="n">
        <v>431</v>
      </c>
      <c r="E175" s="22" t="n">
        <v>431</v>
      </c>
    </row>
    <row r="176">
      <c r="A176" s="21" t="inlineStr">
        <is>
          <t>Аренда</t>
        </is>
      </c>
      <c r="B176" s="21" t="inlineStr">
        <is>
          <t>Комнаты</t>
        </is>
      </c>
      <c r="C176" s="21" t="inlineStr">
        <is>
          <t>Екатеринбург</t>
        </is>
      </c>
      <c r="D176" s="22" t="n">
        <v>527</v>
      </c>
      <c r="E176" s="22" t="n">
        <v>532</v>
      </c>
    </row>
    <row r="177">
      <c r="A177" s="21" t="inlineStr">
        <is>
          <t>Аренда</t>
        </is>
      </c>
      <c r="B177" s="21" t="inlineStr">
        <is>
          <t>Комнаты</t>
        </is>
      </c>
      <c r="C177" s="21" t="inlineStr">
        <is>
          <t>Казань</t>
        </is>
      </c>
      <c r="D177" s="22" t="n">
        <v>337</v>
      </c>
      <c r="E177" s="22" t="n">
        <v>337</v>
      </c>
    </row>
    <row r="178">
      <c r="A178" s="21" t="inlineStr">
        <is>
          <t>Аренда</t>
        </is>
      </c>
      <c r="B178" s="21" t="inlineStr">
        <is>
          <t>Комнаты</t>
        </is>
      </c>
      <c r="C178" s="21" t="inlineStr">
        <is>
          <t>Красноярск</t>
        </is>
      </c>
      <c r="D178" s="22" t="n">
        <v>147</v>
      </c>
      <c r="E178" s="22" t="n">
        <v>141</v>
      </c>
    </row>
    <row r="179">
      <c r="A179" s="21" t="inlineStr">
        <is>
          <t>Аренда</t>
        </is>
      </c>
      <c r="B179" s="21" t="inlineStr">
        <is>
          <t>Комнаты</t>
        </is>
      </c>
      <c r="C179" s="21" t="inlineStr">
        <is>
          <t>Нижний Новгород</t>
        </is>
      </c>
      <c r="D179" s="22" t="n">
        <v>216</v>
      </c>
      <c r="E179" s="22" t="n">
        <v>216</v>
      </c>
    </row>
    <row r="180">
      <c r="A180" s="21" t="inlineStr">
        <is>
          <t>Аренда</t>
        </is>
      </c>
      <c r="B180" s="21" t="inlineStr">
        <is>
          <t>Комнаты</t>
        </is>
      </c>
      <c r="C180" s="21" t="inlineStr">
        <is>
          <t>Челябинск</t>
        </is>
      </c>
      <c r="D180" s="22" t="n">
        <v>166</v>
      </c>
      <c r="E180" s="22" t="n">
        <v>162</v>
      </c>
    </row>
    <row r="181">
      <c r="A181" s="21" t="inlineStr">
        <is>
          <t>Аренда</t>
        </is>
      </c>
      <c r="B181" s="21" t="inlineStr">
        <is>
          <t>Комнаты</t>
        </is>
      </c>
      <c r="C181" s="21" t="inlineStr">
        <is>
          <t>Уфа</t>
        </is>
      </c>
      <c r="D181" s="22" t="n">
        <v>171</v>
      </c>
      <c r="E181" s="22" t="n">
        <v>169</v>
      </c>
    </row>
    <row r="182">
      <c r="A182" s="21" t="inlineStr">
        <is>
          <t>Аренда</t>
        </is>
      </c>
      <c r="B182" s="21" t="inlineStr">
        <is>
          <t>Комнаты</t>
        </is>
      </c>
      <c r="C182" s="21" t="inlineStr">
        <is>
          <t>Краснодар</t>
        </is>
      </c>
      <c r="D182" s="22" t="n">
        <v>342</v>
      </c>
      <c r="E182" s="22" t="n">
        <v>337</v>
      </c>
    </row>
    <row r="183">
      <c r="A183" s="21" t="inlineStr">
        <is>
          <t>Аренда</t>
        </is>
      </c>
      <c r="B183" s="21" t="inlineStr">
        <is>
          <t>Комнаты</t>
        </is>
      </c>
      <c r="C183" s="21" t="inlineStr">
        <is>
          <t>Самара</t>
        </is>
      </c>
      <c r="D183" s="22" t="n">
        <v>197</v>
      </c>
      <c r="E183" s="22" t="n">
        <v>194</v>
      </c>
    </row>
    <row r="184">
      <c r="A184" s="21" t="inlineStr">
        <is>
          <t>Аренда</t>
        </is>
      </c>
      <c r="B184" s="21" t="inlineStr">
        <is>
          <t>Комнаты</t>
        </is>
      </c>
      <c r="C184" s="21" t="inlineStr">
        <is>
          <t>Ростов-на-Дону</t>
        </is>
      </c>
      <c r="D184" s="22" t="n">
        <v>372</v>
      </c>
      <c r="E184" s="22" t="n">
        <v>370</v>
      </c>
    </row>
    <row r="185">
      <c r="A185" s="21" t="inlineStr">
        <is>
          <t>Аренда</t>
        </is>
      </c>
      <c r="B185" s="21" t="inlineStr">
        <is>
          <t>Комнаты</t>
        </is>
      </c>
      <c r="C185" s="21" t="inlineStr">
        <is>
          <t>Омск</t>
        </is>
      </c>
      <c r="D185" s="22" t="n">
        <v>145</v>
      </c>
      <c r="E185" s="22" t="n">
        <v>149</v>
      </c>
    </row>
    <row r="186">
      <c r="A186" s="21" t="inlineStr">
        <is>
          <t>Аренда</t>
        </is>
      </c>
      <c r="B186" s="21" t="inlineStr">
        <is>
          <t>Комнаты</t>
        </is>
      </c>
      <c r="C186" s="21" t="inlineStr">
        <is>
          <t>Воронеж</t>
        </is>
      </c>
      <c r="D186" s="22" t="n">
        <v>196</v>
      </c>
      <c r="E186" s="22" t="n">
        <v>194</v>
      </c>
    </row>
    <row r="187">
      <c r="A187" s="21" t="inlineStr">
        <is>
          <t>Аренда</t>
        </is>
      </c>
      <c r="B187" s="21" t="inlineStr">
        <is>
          <t>Комнаты</t>
        </is>
      </c>
      <c r="C187" s="21" t="inlineStr">
        <is>
          <t>Пермь</t>
        </is>
      </c>
      <c r="D187" s="22" t="n">
        <v>265</v>
      </c>
      <c r="E187" s="22" t="n">
        <v>252</v>
      </c>
    </row>
    <row r="188">
      <c r="A188" s="21" t="inlineStr">
        <is>
          <t>Аренда</t>
        </is>
      </c>
      <c r="B188" s="21" t="inlineStr">
        <is>
          <t>Комнаты</t>
        </is>
      </c>
      <c r="C188" s="21" t="inlineStr">
        <is>
          <t>Волгоград</t>
        </is>
      </c>
      <c r="D188" s="22" t="n">
        <v>142</v>
      </c>
      <c r="E188" s="22" t="n">
        <v>146</v>
      </c>
    </row>
    <row r="189">
      <c r="A189" s="33" t="inlineStr">
        <is>
          <t>Аренда</t>
        </is>
      </c>
      <c r="B189" s="34" t="inlineStr">
        <is>
          <t>Дома, дачи, коттеджи</t>
        </is>
      </c>
      <c r="C189" s="33" t="inlineStr">
        <is>
          <t>🇷🇺 Вся Россия</t>
        </is>
      </c>
      <c r="D189" s="35" t="n">
        <v>99661</v>
      </c>
      <c r="E189" s="35" t="n">
        <v>99547</v>
      </c>
    </row>
    <row r="190">
      <c r="A190" s="21" t="inlineStr">
        <is>
          <t>Аренда</t>
        </is>
      </c>
      <c r="B190" s="21" t="inlineStr">
        <is>
          <t>Дома, дачи, коттеджи</t>
        </is>
      </c>
      <c r="C190" s="21" t="inlineStr">
        <is>
          <t>Москва</t>
        </is>
      </c>
      <c r="D190" s="22" t="n">
        <v>287</v>
      </c>
      <c r="E190" s="22" t="n">
        <v>284</v>
      </c>
    </row>
    <row r="191">
      <c r="A191" s="21" t="inlineStr">
        <is>
          <t>Аренда</t>
        </is>
      </c>
      <c r="B191" s="21" t="inlineStr">
        <is>
          <t>Дома, дачи, коттеджи</t>
        </is>
      </c>
      <c r="C191" s="21" t="inlineStr">
        <is>
          <t>Санкт-Петербург</t>
        </is>
      </c>
      <c r="D191" s="22" t="n">
        <v>747</v>
      </c>
      <c r="E191" s="22" t="n">
        <v>752</v>
      </c>
    </row>
    <row r="192">
      <c r="A192" s="21" t="inlineStr">
        <is>
          <t>Аренда</t>
        </is>
      </c>
      <c r="B192" s="21" t="inlineStr">
        <is>
          <t>Дома, дачи, коттеджи</t>
        </is>
      </c>
      <c r="C192" s="21" t="inlineStr">
        <is>
          <t>Новосибирск</t>
        </is>
      </c>
      <c r="D192" s="22" t="n">
        <v>491</v>
      </c>
      <c r="E192" s="22" t="n">
        <v>489</v>
      </c>
    </row>
    <row r="193">
      <c r="A193" s="21" t="inlineStr">
        <is>
          <t>Аренда</t>
        </is>
      </c>
      <c r="B193" s="21" t="inlineStr">
        <is>
          <t>Дома, дачи, коттеджи</t>
        </is>
      </c>
      <c r="C193" s="21" t="inlineStr">
        <is>
          <t>Екатеринбург</t>
        </is>
      </c>
      <c r="D193" s="22" t="n">
        <v>603</v>
      </c>
      <c r="E193" s="22" t="n">
        <v>603</v>
      </c>
    </row>
    <row r="194">
      <c r="A194" s="21" t="inlineStr">
        <is>
          <t>Аренда</t>
        </is>
      </c>
      <c r="B194" s="21" t="inlineStr">
        <is>
          <t>Дома, дачи, коттеджи</t>
        </is>
      </c>
      <c r="C194" s="21" t="inlineStr">
        <is>
          <t>Казань</t>
        </is>
      </c>
      <c r="D194" s="22" t="n">
        <v>1202</v>
      </c>
      <c r="E194" s="22" t="n">
        <v>1203</v>
      </c>
    </row>
    <row r="195">
      <c r="A195" s="21" t="inlineStr">
        <is>
          <t>Аренда</t>
        </is>
      </c>
      <c r="B195" s="21" t="inlineStr">
        <is>
          <t>Дома, дачи, коттеджи</t>
        </is>
      </c>
      <c r="C195" s="21" t="inlineStr">
        <is>
          <t>Красноярск</t>
        </is>
      </c>
      <c r="D195" s="22" t="n">
        <v>360</v>
      </c>
      <c r="E195" s="22" t="n">
        <v>363</v>
      </c>
    </row>
    <row r="196">
      <c r="A196" s="21" t="inlineStr">
        <is>
          <t>Аренда</t>
        </is>
      </c>
      <c r="B196" s="21" t="inlineStr">
        <is>
          <t>Дома, дачи, коттеджи</t>
        </is>
      </c>
      <c r="C196" s="21" t="inlineStr">
        <is>
          <t>Нижний Новгород</t>
        </is>
      </c>
      <c r="D196" s="22" t="n">
        <v>233</v>
      </c>
      <c r="E196" s="22" t="n">
        <v>233</v>
      </c>
    </row>
    <row r="197">
      <c r="A197" s="21" t="inlineStr">
        <is>
          <t>Аренда</t>
        </is>
      </c>
      <c r="B197" s="21" t="inlineStr">
        <is>
          <t>Дома, дачи, коттеджи</t>
        </is>
      </c>
      <c r="C197" s="21" t="inlineStr">
        <is>
          <t>Челябинск</t>
        </is>
      </c>
      <c r="D197" s="22" t="n">
        <v>433</v>
      </c>
      <c r="E197" s="22" t="n">
        <v>430</v>
      </c>
    </row>
    <row r="198">
      <c r="A198" s="21" t="inlineStr">
        <is>
          <t>Аренда</t>
        </is>
      </c>
      <c r="B198" s="21" t="inlineStr">
        <is>
          <t>Дома, дачи, коттеджи</t>
        </is>
      </c>
      <c r="C198" s="21" t="inlineStr">
        <is>
          <t>Уфа</t>
        </is>
      </c>
      <c r="D198" s="22" t="n">
        <v>565</v>
      </c>
      <c r="E198" s="22" t="n">
        <v>570</v>
      </c>
    </row>
    <row r="199">
      <c r="A199" s="21" t="inlineStr">
        <is>
          <t>Аренда</t>
        </is>
      </c>
      <c r="B199" s="21" t="inlineStr">
        <is>
          <t>Дома, дачи, коттеджи</t>
        </is>
      </c>
      <c r="C199" s="21" t="inlineStr">
        <is>
          <t>Краснодар</t>
        </is>
      </c>
      <c r="D199" s="22" t="n">
        <v>668</v>
      </c>
      <c r="E199" s="22" t="n">
        <v>673</v>
      </c>
    </row>
    <row r="200">
      <c r="A200" s="21" t="inlineStr">
        <is>
          <t>Аренда</t>
        </is>
      </c>
      <c r="B200" s="21" t="inlineStr">
        <is>
          <t>Дома, дачи, коттеджи</t>
        </is>
      </c>
      <c r="C200" s="21" t="inlineStr">
        <is>
          <t>Самара</t>
        </is>
      </c>
      <c r="D200" s="22" t="n">
        <v>752</v>
      </c>
      <c r="E200" s="22" t="n">
        <v>743</v>
      </c>
    </row>
    <row r="201">
      <c r="A201" s="21" t="inlineStr">
        <is>
          <t>Аренда</t>
        </is>
      </c>
      <c r="B201" s="21" t="inlineStr">
        <is>
          <t>Дома, дачи, коттеджи</t>
        </is>
      </c>
      <c r="C201" s="21" t="inlineStr">
        <is>
          <t>Ростов-на-Дону</t>
        </is>
      </c>
      <c r="D201" s="22" t="n">
        <v>379</v>
      </c>
      <c r="E201" s="22" t="n">
        <v>376</v>
      </c>
    </row>
    <row r="202">
      <c r="A202" s="21" t="inlineStr">
        <is>
          <t>Аренда</t>
        </is>
      </c>
      <c r="B202" s="21" t="inlineStr">
        <is>
          <t>Дома, дачи, коттеджи</t>
        </is>
      </c>
      <c r="C202" s="21" t="inlineStr">
        <is>
          <t>Омск</t>
        </is>
      </c>
      <c r="D202" s="22" t="n">
        <v>252</v>
      </c>
      <c r="E202" s="22" t="n">
        <v>251</v>
      </c>
    </row>
    <row r="203">
      <c r="A203" s="21" t="inlineStr">
        <is>
          <t>Аренда</t>
        </is>
      </c>
      <c r="B203" s="21" t="inlineStr">
        <is>
          <t>Дома, дачи, коттеджи</t>
        </is>
      </c>
      <c r="C203" s="21" t="inlineStr">
        <is>
          <t>Воронеж</t>
        </is>
      </c>
      <c r="D203" s="22" t="n">
        <v>503</v>
      </c>
      <c r="E203" s="22" t="n">
        <v>502</v>
      </c>
    </row>
    <row r="204">
      <c r="A204" s="21" t="inlineStr">
        <is>
          <t>Аренда</t>
        </is>
      </c>
      <c r="B204" s="21" t="inlineStr">
        <is>
          <t>Дома, дачи, коттеджи</t>
        </is>
      </c>
      <c r="C204" s="21" t="inlineStr">
        <is>
          <t>Пермь</t>
        </is>
      </c>
      <c r="D204" s="22" t="n">
        <v>315</v>
      </c>
      <c r="E204" s="22" t="n">
        <v>316</v>
      </c>
    </row>
    <row r="205">
      <c r="A205" s="21" t="inlineStr">
        <is>
          <t>Аренда</t>
        </is>
      </c>
      <c r="B205" s="21" t="inlineStr">
        <is>
          <t>Дома, дачи, коттеджи</t>
        </is>
      </c>
      <c r="C205" s="21" t="inlineStr">
        <is>
          <t>Волгоград</t>
        </is>
      </c>
      <c r="D205" s="22" t="n">
        <v>265</v>
      </c>
      <c r="E205" s="22" t="n">
        <v>263</v>
      </c>
    </row>
    <row r="206">
      <c r="A206" s="33" t="inlineStr">
        <is>
          <t>Аренда</t>
        </is>
      </c>
      <c r="B206" s="34" t="inlineStr">
        <is>
          <t>Земельные участки</t>
        </is>
      </c>
      <c r="C206" s="33" t="inlineStr">
        <is>
          <t>🇷🇺 Вся Россия</t>
        </is>
      </c>
      <c r="D206" s="35" t="n">
        <v>7460</v>
      </c>
      <c r="E206" s="35" t="n">
        <v>7417</v>
      </c>
    </row>
    <row r="207">
      <c r="A207" s="21" t="inlineStr">
        <is>
          <t>Аренда</t>
        </is>
      </c>
      <c r="B207" s="21" t="inlineStr">
        <is>
          <t>Земельные участки</t>
        </is>
      </c>
      <c r="C207" s="21" t="inlineStr">
        <is>
          <t>Москва</t>
        </is>
      </c>
      <c r="D207" s="22" t="n">
        <v>119</v>
      </c>
      <c r="E207" s="22" t="n">
        <v>118</v>
      </c>
    </row>
    <row r="208">
      <c r="A208" s="21" t="inlineStr">
        <is>
          <t>Аренда</t>
        </is>
      </c>
      <c r="B208" s="21" t="inlineStr">
        <is>
          <t>Земельные участки</t>
        </is>
      </c>
      <c r="C208" s="21" t="inlineStr">
        <is>
          <t>Санкт-Петербург</t>
        </is>
      </c>
      <c r="D208" s="22" t="n">
        <v>274</v>
      </c>
      <c r="E208" s="22" t="n">
        <v>273</v>
      </c>
    </row>
    <row r="209">
      <c r="A209" s="21" t="inlineStr">
        <is>
          <t>Аренда</t>
        </is>
      </c>
      <c r="B209" s="21" t="inlineStr">
        <is>
          <t>Земельные участки</t>
        </is>
      </c>
      <c r="C209" s="21" t="inlineStr">
        <is>
          <t>Новосибирск</t>
        </is>
      </c>
      <c r="D209" s="22" t="n">
        <v>119</v>
      </c>
      <c r="E209" s="22" t="n">
        <v>120</v>
      </c>
    </row>
    <row r="210">
      <c r="A210" s="21" t="inlineStr">
        <is>
          <t>Аренда</t>
        </is>
      </c>
      <c r="B210" s="21" t="inlineStr">
        <is>
          <t>Земельные участки</t>
        </is>
      </c>
      <c r="C210" s="21" t="inlineStr">
        <is>
          <t>Екатеринбург</t>
        </is>
      </c>
      <c r="D210" s="22" t="n">
        <v>111</v>
      </c>
      <c r="E210" s="22" t="n">
        <v>109</v>
      </c>
    </row>
    <row r="211">
      <c r="A211" s="21" t="inlineStr">
        <is>
          <t>Аренда</t>
        </is>
      </c>
      <c r="B211" s="21" t="inlineStr">
        <is>
          <t>Земельные участки</t>
        </is>
      </c>
      <c r="C211" s="21" t="inlineStr">
        <is>
          <t>Казань</t>
        </is>
      </c>
      <c r="D211" s="22" t="n">
        <v>106</v>
      </c>
      <c r="E211" s="22" t="n">
        <v>106</v>
      </c>
    </row>
    <row r="212">
      <c r="A212" s="21" t="inlineStr">
        <is>
          <t>Аренда</t>
        </is>
      </c>
      <c r="B212" s="21" t="inlineStr">
        <is>
          <t>Земельные участки</t>
        </is>
      </c>
      <c r="C212" s="21" t="inlineStr">
        <is>
          <t>Красноярск</t>
        </is>
      </c>
      <c r="D212" s="22" t="n">
        <v>97</v>
      </c>
      <c r="E212" s="22" t="n">
        <v>96</v>
      </c>
    </row>
    <row r="213">
      <c r="A213" s="21" t="inlineStr">
        <is>
          <t>Аренда</t>
        </is>
      </c>
      <c r="B213" s="21" t="inlineStr">
        <is>
          <t>Земельные участки</t>
        </is>
      </c>
      <c r="C213" s="21" t="inlineStr">
        <is>
          <t>Нижний Новгород</t>
        </is>
      </c>
      <c r="D213" s="22" t="n">
        <v>81</v>
      </c>
      <c r="E213" s="22" t="n">
        <v>82</v>
      </c>
    </row>
    <row r="214">
      <c r="A214" s="21" t="inlineStr">
        <is>
          <t>Аренда</t>
        </is>
      </c>
      <c r="B214" s="21" t="inlineStr">
        <is>
          <t>Земельные участки</t>
        </is>
      </c>
      <c r="C214" s="21" t="inlineStr">
        <is>
          <t>Челябинск</t>
        </is>
      </c>
      <c r="D214" s="22" t="n">
        <v>66</v>
      </c>
      <c r="E214" s="22" t="n">
        <v>66</v>
      </c>
    </row>
    <row r="215">
      <c r="A215" s="21" t="inlineStr">
        <is>
          <t>Аренда</t>
        </is>
      </c>
      <c r="B215" s="21" t="inlineStr">
        <is>
          <t>Земельные участки</t>
        </is>
      </c>
      <c r="C215" s="21" t="inlineStr">
        <is>
          <t>Уфа</t>
        </is>
      </c>
      <c r="D215" s="22" t="n">
        <v>28</v>
      </c>
      <c r="E215" s="22" t="n">
        <v>28</v>
      </c>
    </row>
    <row r="216">
      <c r="A216" s="21" t="inlineStr">
        <is>
          <t>Аренда</t>
        </is>
      </c>
      <c r="B216" s="21" t="inlineStr">
        <is>
          <t>Земельные участки</t>
        </is>
      </c>
      <c r="C216" s="21" t="inlineStr">
        <is>
          <t>Краснодар</t>
        </is>
      </c>
      <c r="D216" s="22" t="n">
        <v>169</v>
      </c>
      <c r="E216" s="22" t="n">
        <v>168</v>
      </c>
    </row>
    <row r="217">
      <c r="A217" s="21" t="inlineStr">
        <is>
          <t>Аренда</t>
        </is>
      </c>
      <c r="B217" s="21" t="inlineStr">
        <is>
          <t>Земельные участки</t>
        </is>
      </c>
      <c r="C217" s="21" t="inlineStr">
        <is>
          <t>Самара</t>
        </is>
      </c>
      <c r="D217" s="22" t="n">
        <v>67</v>
      </c>
      <c r="E217" s="22" t="n">
        <v>68</v>
      </c>
    </row>
    <row r="218">
      <c r="A218" s="21" t="inlineStr">
        <is>
          <t>Аренда</t>
        </is>
      </c>
      <c r="B218" s="21" t="inlineStr">
        <is>
          <t>Земельные участки</t>
        </is>
      </c>
      <c r="C218" s="21" t="inlineStr">
        <is>
          <t>Ростов-на-Дону</t>
        </is>
      </c>
      <c r="D218" s="22" t="n">
        <v>46</v>
      </c>
      <c r="E218" s="22" t="n">
        <v>46</v>
      </c>
    </row>
    <row r="219">
      <c r="A219" s="21" t="inlineStr">
        <is>
          <t>Аренда</t>
        </is>
      </c>
      <c r="B219" s="21" t="inlineStr">
        <is>
          <t>Земельные участки</t>
        </is>
      </c>
      <c r="C219" s="21" t="inlineStr">
        <is>
          <t>Омск</t>
        </is>
      </c>
      <c r="D219" s="22" t="n">
        <v>59</v>
      </c>
      <c r="E219" s="22" t="n">
        <v>58</v>
      </c>
    </row>
    <row r="220">
      <c r="A220" s="21" t="inlineStr">
        <is>
          <t>Аренда</t>
        </is>
      </c>
      <c r="B220" s="21" t="inlineStr">
        <is>
          <t>Земельные участки</t>
        </is>
      </c>
      <c r="C220" s="21" t="inlineStr">
        <is>
          <t>Воронеж</t>
        </is>
      </c>
      <c r="D220" s="22" t="n">
        <v>78</v>
      </c>
      <c r="E220" s="22" t="n">
        <v>75</v>
      </c>
    </row>
    <row r="221">
      <c r="A221" s="21" t="inlineStr">
        <is>
          <t>Аренда</t>
        </is>
      </c>
      <c r="B221" s="21" t="inlineStr">
        <is>
          <t>Земельные участки</t>
        </is>
      </c>
      <c r="C221" s="21" t="inlineStr">
        <is>
          <t>Пермь</t>
        </is>
      </c>
      <c r="D221" s="22" t="n">
        <v>79</v>
      </c>
      <c r="E221" s="22" t="n">
        <v>79</v>
      </c>
    </row>
    <row r="222">
      <c r="A222" s="21" t="inlineStr">
        <is>
          <t>Аренда</t>
        </is>
      </c>
      <c r="B222" s="21" t="inlineStr">
        <is>
          <t>Земельные участки</t>
        </is>
      </c>
      <c r="C222" s="21" t="inlineStr">
        <is>
          <t>Волгоград</t>
        </is>
      </c>
      <c r="D222" s="22" t="n">
        <v>33</v>
      </c>
      <c r="E222" s="22" t="n">
        <v>35</v>
      </c>
    </row>
    <row r="223">
      <c r="A223" s="33" t="inlineStr">
        <is>
          <t>Аренда</t>
        </is>
      </c>
      <c r="B223" s="34" t="inlineStr">
        <is>
          <t>Коммерческая</t>
        </is>
      </c>
      <c r="C223" s="33" t="inlineStr">
        <is>
          <t>🇷🇺 Вся Россия</t>
        </is>
      </c>
      <c r="D223" s="35" t="n">
        <v>208354</v>
      </c>
      <c r="E223" s="35" t="n">
        <v>206349</v>
      </c>
    </row>
    <row r="224">
      <c r="A224" s="21" t="inlineStr">
        <is>
          <t>Аренда</t>
        </is>
      </c>
      <c r="B224" s="21" t="inlineStr">
        <is>
          <t>Коммерческая</t>
        </is>
      </c>
      <c r="C224" s="21" t="inlineStr">
        <is>
          <t>Москва</t>
        </is>
      </c>
      <c r="D224" s="22" t="n">
        <v>62300</v>
      </c>
      <c r="E224" s="22" t="n">
        <v>61819</v>
      </c>
    </row>
    <row r="225">
      <c r="A225" s="21" t="inlineStr">
        <is>
          <t>Аренда</t>
        </is>
      </c>
      <c r="B225" s="21" t="inlineStr">
        <is>
          <t>Коммерческая</t>
        </is>
      </c>
      <c r="C225" s="21" t="inlineStr">
        <is>
          <t>Санкт-Петербург</t>
        </is>
      </c>
      <c r="D225" s="22" t="n">
        <v>14243</v>
      </c>
      <c r="E225" s="22" t="n">
        <v>14096</v>
      </c>
    </row>
    <row r="226">
      <c r="A226" s="21" t="inlineStr">
        <is>
          <t>Аренда</t>
        </is>
      </c>
      <c r="B226" s="21" t="inlineStr">
        <is>
          <t>Коммерческая</t>
        </is>
      </c>
      <c r="C226" s="21" t="inlineStr">
        <is>
          <t>Новосибирск</t>
        </is>
      </c>
      <c r="D226" s="22" t="n">
        <v>5886</v>
      </c>
      <c r="E226" s="22" t="n">
        <v>5760</v>
      </c>
    </row>
    <row r="227">
      <c r="A227" s="21" t="inlineStr">
        <is>
          <t>Аренда</t>
        </is>
      </c>
      <c r="B227" s="21" t="inlineStr">
        <is>
          <t>Коммерческая</t>
        </is>
      </c>
      <c r="C227" s="21" t="inlineStr">
        <is>
          <t>Екатеринбург</t>
        </is>
      </c>
      <c r="D227" s="22" t="n">
        <v>4886</v>
      </c>
      <c r="E227" s="22" t="n">
        <v>4823</v>
      </c>
    </row>
    <row r="228">
      <c r="A228" s="21" t="inlineStr">
        <is>
          <t>Аренда</t>
        </is>
      </c>
      <c r="B228" s="21" t="inlineStr">
        <is>
          <t>Коммерческая</t>
        </is>
      </c>
      <c r="C228" s="21" t="inlineStr">
        <is>
          <t>Казань</t>
        </is>
      </c>
      <c r="D228" s="22" t="n">
        <v>3612</v>
      </c>
      <c r="E228" s="22" t="n">
        <v>3596</v>
      </c>
    </row>
    <row r="229">
      <c r="A229" s="21" t="inlineStr">
        <is>
          <t>Аренда</t>
        </is>
      </c>
      <c r="B229" s="21" t="inlineStr">
        <is>
          <t>Коммерческая</t>
        </is>
      </c>
      <c r="C229" s="21" t="inlineStr">
        <is>
          <t>Красноярск</t>
        </is>
      </c>
      <c r="D229" s="22" t="n">
        <v>1744</v>
      </c>
      <c r="E229" s="22" t="n">
        <v>1720</v>
      </c>
    </row>
    <row r="230">
      <c r="A230" s="21" t="inlineStr">
        <is>
          <t>Аренда</t>
        </is>
      </c>
      <c r="B230" s="21" t="inlineStr">
        <is>
          <t>Коммерческая</t>
        </is>
      </c>
      <c r="C230" s="21" t="inlineStr">
        <is>
          <t>Нижний Новгород</t>
        </is>
      </c>
      <c r="D230" s="22" t="n">
        <v>2410</v>
      </c>
      <c r="E230" s="22" t="n">
        <v>2367</v>
      </c>
    </row>
    <row r="231">
      <c r="A231" s="21" t="inlineStr">
        <is>
          <t>Аренда</t>
        </is>
      </c>
      <c r="B231" s="21" t="inlineStr">
        <is>
          <t>Коммерческая</t>
        </is>
      </c>
      <c r="C231" s="21" t="inlineStr">
        <is>
          <t>Челябинск</t>
        </is>
      </c>
      <c r="D231" s="22" t="n">
        <v>2467</v>
      </c>
      <c r="E231" s="22" t="n">
        <v>2454</v>
      </c>
    </row>
    <row r="232">
      <c r="A232" s="21" t="inlineStr">
        <is>
          <t>Аренда</t>
        </is>
      </c>
      <c r="B232" s="21" t="inlineStr">
        <is>
          <t>Коммерческая</t>
        </is>
      </c>
      <c r="C232" s="21" t="inlineStr">
        <is>
          <t>Уфа</t>
        </is>
      </c>
      <c r="D232" s="22" t="n">
        <v>2472</v>
      </c>
      <c r="E232" s="22" t="n">
        <v>2442</v>
      </c>
    </row>
    <row r="233">
      <c r="A233" s="21" t="inlineStr">
        <is>
          <t>Аренда</t>
        </is>
      </c>
      <c r="B233" s="21" t="inlineStr">
        <is>
          <t>Коммерческая</t>
        </is>
      </c>
      <c r="C233" s="21" t="inlineStr">
        <is>
          <t>Краснодар</t>
        </is>
      </c>
      <c r="D233" s="22" t="n">
        <v>4331</v>
      </c>
      <c r="E233" s="22" t="n">
        <v>4274</v>
      </c>
    </row>
    <row r="234">
      <c r="A234" s="21" t="inlineStr">
        <is>
          <t>Аренда</t>
        </is>
      </c>
      <c r="B234" s="21" t="inlineStr">
        <is>
          <t>Коммерческая</t>
        </is>
      </c>
      <c r="C234" s="21" t="inlineStr">
        <is>
          <t>Самара</t>
        </is>
      </c>
      <c r="D234" s="22" t="n">
        <v>2439</v>
      </c>
      <c r="E234" s="22" t="n">
        <v>2396</v>
      </c>
    </row>
    <row r="235">
      <c r="A235" s="21" t="inlineStr">
        <is>
          <t>Аренда</t>
        </is>
      </c>
      <c r="B235" s="21" t="inlineStr">
        <is>
          <t>Коммерческая</t>
        </is>
      </c>
      <c r="C235" s="21" t="inlineStr">
        <is>
          <t>Ростов-на-Дону</t>
        </is>
      </c>
      <c r="D235" s="22" t="n">
        <v>3324</v>
      </c>
      <c r="E235" s="22" t="n">
        <v>3292</v>
      </c>
    </row>
    <row r="236">
      <c r="A236" s="21" t="inlineStr">
        <is>
          <t>Аренда</t>
        </is>
      </c>
      <c r="B236" s="21" t="inlineStr">
        <is>
          <t>Коммерческая</t>
        </is>
      </c>
      <c r="C236" s="21" t="inlineStr">
        <is>
          <t>Омск</t>
        </is>
      </c>
      <c r="D236" s="22" t="n">
        <v>1977</v>
      </c>
      <c r="E236" s="22" t="n">
        <v>1950</v>
      </c>
    </row>
    <row r="237">
      <c r="A237" s="21" t="inlineStr">
        <is>
          <t>Аренда</t>
        </is>
      </c>
      <c r="B237" s="21" t="inlineStr">
        <is>
          <t>Коммерческая</t>
        </is>
      </c>
      <c r="C237" s="21" t="inlineStr">
        <is>
          <t>Воронеж</t>
        </is>
      </c>
      <c r="D237" s="22" t="n">
        <v>2025</v>
      </c>
      <c r="E237" s="22" t="n">
        <v>1981</v>
      </c>
    </row>
    <row r="238">
      <c r="A238" s="21" t="inlineStr">
        <is>
          <t>Аренда</t>
        </is>
      </c>
      <c r="B238" s="21" t="inlineStr">
        <is>
          <t>Коммерческая</t>
        </is>
      </c>
      <c r="C238" s="21" t="inlineStr">
        <is>
          <t>Пермь</t>
        </is>
      </c>
      <c r="D238" s="22" t="n">
        <v>1554</v>
      </c>
      <c r="E238" s="22" t="n">
        <v>1507</v>
      </c>
    </row>
    <row r="239">
      <c r="A239" s="21" t="inlineStr">
        <is>
          <t>Аренда</t>
        </is>
      </c>
      <c r="B239" s="21" t="inlineStr">
        <is>
          <t>Коммерческая</t>
        </is>
      </c>
      <c r="C239" s="21" t="inlineStr">
        <is>
          <t>Волгоград</t>
        </is>
      </c>
      <c r="D239" s="22" t="n">
        <v>1000</v>
      </c>
      <c r="E239" s="22" t="n">
        <v>983</v>
      </c>
    </row>
    <row r="241">
      <c r="A241" s="29" t="inlineStr">
        <is>
          <t>Итого (по фильтру)</t>
        </is>
      </c>
      <c r="C241" s="30" t="inlineStr">
        <is>
          <t>← сумма видимых строк (без «Вся Россия»)</t>
        </is>
      </c>
      <c r="D241" s="31">
        <f>SUMPRODUCT(SUBTOTAL(109,OFFSET(D$2,ROW(D$2:D$239)-ROW(D$2),0)),--($C$2:$C$239&lt;&gt;"🇷🇺 Вся Россия"))</f>
        <v/>
      </c>
      <c r="E241" s="31">
        <f>SUMPRODUCT(SUBTOTAL(109,OFFSET(E$2,ROW(E$2:E$239)-ROW(E$2),0)),--($C$2:$C$239&lt;&gt;"🇷🇺 Вся Россия"))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93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5"/>
  <cols>
    <col width="26" customWidth="1" min="1" max="1"/>
    <col width="30" customWidth="1" min="2" max="2"/>
    <col width="22" customWidth="1" min="3" max="3"/>
    <col width="12" customWidth="1" min="4" max="4"/>
  </cols>
  <sheetData>
    <row r="1">
      <c r="A1" s="25" t="inlineStr">
        <is>
          <t>Группа</t>
        </is>
      </c>
      <c r="B1" s="25" t="inlineStr">
        <is>
          <t>Категория</t>
        </is>
      </c>
      <c r="C1" s="25" t="inlineStr">
        <is>
          <t>Регион</t>
        </is>
      </c>
      <c r="D1" s="26" t="inlineStr">
        <is>
          <t>2026-06-11</t>
        </is>
      </c>
    </row>
    <row r="2">
      <c r="A2" s="27" t="inlineStr">
        <is>
          <t>Купить</t>
        </is>
      </c>
      <c r="B2" s="17" t="inlineStr">
        <is>
          <t>Квартира</t>
        </is>
      </c>
      <c r="C2" s="28" t="inlineStr">
        <is>
          <t>Адыгея</t>
        </is>
      </c>
      <c r="D2" s="19" t="n">
        <v>9474</v>
      </c>
    </row>
    <row r="3">
      <c r="A3" s="21" t="inlineStr">
        <is>
          <t>Купить</t>
        </is>
      </c>
      <c r="B3" s="21" t="inlineStr">
        <is>
          <t>Квартира</t>
        </is>
      </c>
      <c r="C3" s="21" t="inlineStr">
        <is>
          <t>Алтай</t>
        </is>
      </c>
      <c r="D3" s="22" t="n">
        <v>787</v>
      </c>
    </row>
    <row r="4">
      <c r="A4" s="21" t="inlineStr">
        <is>
          <t>Купить</t>
        </is>
      </c>
      <c r="B4" s="21" t="inlineStr">
        <is>
          <t>Квартира</t>
        </is>
      </c>
      <c r="C4" s="21" t="inlineStr">
        <is>
          <t>Алтайский</t>
        </is>
      </c>
      <c r="D4" s="22" t="n">
        <v>3525</v>
      </c>
    </row>
    <row r="5">
      <c r="A5" s="21" t="inlineStr">
        <is>
          <t>Купить</t>
        </is>
      </c>
      <c r="B5" s="21" t="inlineStr">
        <is>
          <t>Квартира</t>
        </is>
      </c>
      <c r="C5" s="21" t="inlineStr">
        <is>
          <t>Амурская</t>
        </is>
      </c>
      <c r="D5" s="22" t="n">
        <v>1985</v>
      </c>
    </row>
    <row r="6">
      <c r="A6" s="21" t="inlineStr">
        <is>
          <t>Купить</t>
        </is>
      </c>
      <c r="B6" s="21" t="inlineStr">
        <is>
          <t>Квартира</t>
        </is>
      </c>
      <c r="C6" s="21" t="inlineStr">
        <is>
          <t>Архангельская</t>
        </is>
      </c>
      <c r="D6" s="22" t="n">
        <v>4850</v>
      </c>
    </row>
    <row r="7">
      <c r="A7" s="21" t="inlineStr">
        <is>
          <t>Купить</t>
        </is>
      </c>
      <c r="B7" s="21" t="inlineStr">
        <is>
          <t>Квартира</t>
        </is>
      </c>
      <c r="C7" s="21" t="inlineStr">
        <is>
          <t>Астраханская</t>
        </is>
      </c>
      <c r="D7" s="22" t="n">
        <v>5302</v>
      </c>
    </row>
    <row r="8">
      <c r="A8" s="21" t="inlineStr">
        <is>
          <t>Купить</t>
        </is>
      </c>
      <c r="B8" s="21" t="inlineStr">
        <is>
          <t>Квартира</t>
        </is>
      </c>
      <c r="C8" s="21" t="inlineStr">
        <is>
          <t>Башкортостан</t>
        </is>
      </c>
      <c r="D8" s="22" t="n">
        <v>23898</v>
      </c>
    </row>
    <row r="9">
      <c r="A9" s="21" t="inlineStr">
        <is>
          <t>Купить</t>
        </is>
      </c>
      <c r="B9" s="21" t="inlineStr">
        <is>
          <t>Квартира</t>
        </is>
      </c>
      <c r="C9" s="21" t="inlineStr">
        <is>
          <t>Белгородская</t>
        </is>
      </c>
      <c r="D9" s="22" t="n">
        <v>5343</v>
      </c>
    </row>
    <row r="10">
      <c r="A10" s="21" t="inlineStr">
        <is>
          <t>Купить</t>
        </is>
      </c>
      <c r="B10" s="21" t="inlineStr">
        <is>
          <t>Квартира</t>
        </is>
      </c>
      <c r="C10" s="21" t="inlineStr">
        <is>
          <t>Брянская</t>
        </is>
      </c>
      <c r="D10" s="22" t="n">
        <v>4668</v>
      </c>
    </row>
    <row r="11">
      <c r="A11" s="21" t="inlineStr">
        <is>
          <t>Купить</t>
        </is>
      </c>
      <c r="B11" s="21" t="inlineStr">
        <is>
          <t>Квартира</t>
        </is>
      </c>
      <c r="C11" s="21" t="inlineStr">
        <is>
          <t>Бурятия</t>
        </is>
      </c>
      <c r="D11" s="22" t="n">
        <v>2663</v>
      </c>
    </row>
    <row r="12">
      <c r="A12" s="21" t="inlineStr">
        <is>
          <t>Купить</t>
        </is>
      </c>
      <c r="B12" s="21" t="inlineStr">
        <is>
          <t>Квартира</t>
        </is>
      </c>
      <c r="C12" s="21" t="inlineStr">
        <is>
          <t>Владимирская</t>
        </is>
      </c>
      <c r="D12" s="22" t="n">
        <v>7918</v>
      </c>
    </row>
    <row r="13">
      <c r="A13" s="21" t="inlineStr">
        <is>
          <t>Купить</t>
        </is>
      </c>
      <c r="B13" s="21" t="inlineStr">
        <is>
          <t>Квартира</t>
        </is>
      </c>
      <c r="C13" s="21" t="inlineStr">
        <is>
          <t>Волгоградская</t>
        </is>
      </c>
      <c r="D13" s="22" t="n">
        <v>9605</v>
      </c>
    </row>
    <row r="14">
      <c r="A14" s="21" t="inlineStr">
        <is>
          <t>Купить</t>
        </is>
      </c>
      <c r="B14" s="21" t="inlineStr">
        <is>
          <t>Квартира</t>
        </is>
      </c>
      <c r="C14" s="21" t="inlineStr">
        <is>
          <t>Вологодская</t>
        </is>
      </c>
      <c r="D14" s="22" t="n">
        <v>2862</v>
      </c>
    </row>
    <row r="15">
      <c r="A15" s="21" t="inlineStr">
        <is>
          <t>Купить</t>
        </is>
      </c>
      <c r="B15" s="21" t="inlineStr">
        <is>
          <t>Квартира</t>
        </is>
      </c>
      <c r="C15" s="21" t="inlineStr">
        <is>
          <t>Воронежская</t>
        </is>
      </c>
      <c r="D15" s="22" t="n">
        <v>15115</v>
      </c>
    </row>
    <row r="16">
      <c r="A16" s="21" t="inlineStr">
        <is>
          <t>Купить</t>
        </is>
      </c>
      <c r="B16" s="21" t="inlineStr">
        <is>
          <t>Квартира</t>
        </is>
      </c>
      <c r="C16" s="21" t="inlineStr">
        <is>
          <t>Дагестан</t>
        </is>
      </c>
      <c r="D16" s="22" t="n">
        <v>4710</v>
      </c>
    </row>
    <row r="17">
      <c r="A17" s="21" t="inlineStr">
        <is>
          <t>Купить</t>
        </is>
      </c>
      <c r="B17" s="21" t="inlineStr">
        <is>
          <t>Квартира</t>
        </is>
      </c>
      <c r="C17" s="21" t="inlineStr">
        <is>
          <t>Еврейская</t>
        </is>
      </c>
      <c r="D17" s="22" t="n">
        <v>147</v>
      </c>
    </row>
    <row r="18">
      <c r="A18" s="21" t="inlineStr">
        <is>
          <t>Купить</t>
        </is>
      </c>
      <c r="B18" s="21" t="inlineStr">
        <is>
          <t>Квартира</t>
        </is>
      </c>
      <c r="C18" s="21" t="inlineStr">
        <is>
          <t>Забайкальский</t>
        </is>
      </c>
      <c r="D18" s="22" t="n">
        <v>3079</v>
      </c>
    </row>
    <row r="19">
      <c r="A19" s="21" t="inlineStr">
        <is>
          <t>Купить</t>
        </is>
      </c>
      <c r="B19" s="21" t="inlineStr">
        <is>
          <t>Квартира</t>
        </is>
      </c>
      <c r="C19" s="21" t="inlineStr">
        <is>
          <t>Ивановская</t>
        </is>
      </c>
      <c r="D19" s="22" t="n">
        <v>2594</v>
      </c>
    </row>
    <row r="20">
      <c r="A20" s="21" t="inlineStr">
        <is>
          <t>Купить</t>
        </is>
      </c>
      <c r="B20" s="21" t="inlineStr">
        <is>
          <t>Квартира</t>
        </is>
      </c>
      <c r="C20" s="21" t="inlineStr">
        <is>
          <t>Ингушетия</t>
        </is>
      </c>
      <c r="D20" s="22" t="n">
        <v>200</v>
      </c>
    </row>
    <row r="21">
      <c r="A21" s="21" t="inlineStr">
        <is>
          <t>Купить</t>
        </is>
      </c>
      <c r="B21" s="21" t="inlineStr">
        <is>
          <t>Квартира</t>
        </is>
      </c>
      <c r="C21" s="21" t="inlineStr">
        <is>
          <t>Иркутская</t>
        </is>
      </c>
      <c r="D21" s="22" t="n">
        <v>9278</v>
      </c>
    </row>
    <row r="22">
      <c r="A22" s="21" t="inlineStr">
        <is>
          <t>Купить</t>
        </is>
      </c>
      <c r="B22" s="21" t="inlineStr">
        <is>
          <t>Квартира</t>
        </is>
      </c>
      <c r="C22" s="21" t="inlineStr">
        <is>
          <t>Кабардино-Балкарская</t>
        </is>
      </c>
      <c r="D22" s="22" t="n">
        <v>1856</v>
      </c>
    </row>
    <row r="23">
      <c r="A23" s="21" t="inlineStr">
        <is>
          <t>Купить</t>
        </is>
      </c>
      <c r="B23" s="21" t="inlineStr">
        <is>
          <t>Квартира</t>
        </is>
      </c>
      <c r="C23" s="21" t="inlineStr">
        <is>
          <t>Калининградская</t>
        </is>
      </c>
      <c r="D23" s="22" t="n">
        <v>19479</v>
      </c>
    </row>
    <row r="24">
      <c r="A24" s="21" t="inlineStr">
        <is>
          <t>Купить</t>
        </is>
      </c>
      <c r="B24" s="21" t="inlineStr">
        <is>
          <t>Квартира</t>
        </is>
      </c>
      <c r="C24" s="21" t="inlineStr">
        <is>
          <t>Калмыкия</t>
        </is>
      </c>
      <c r="D24" s="22" t="n">
        <v>634</v>
      </c>
    </row>
    <row r="25">
      <c r="A25" s="21" t="inlineStr">
        <is>
          <t>Купить</t>
        </is>
      </c>
      <c r="B25" s="21" t="inlineStr">
        <is>
          <t>Квартира</t>
        </is>
      </c>
      <c r="C25" s="21" t="inlineStr">
        <is>
          <t>Калужская</t>
        </is>
      </c>
      <c r="D25" s="22" t="n">
        <v>4532</v>
      </c>
    </row>
    <row r="26">
      <c r="A26" s="21" t="inlineStr">
        <is>
          <t>Купить</t>
        </is>
      </c>
      <c r="B26" s="21" t="inlineStr">
        <is>
          <t>Квартира</t>
        </is>
      </c>
      <c r="C26" s="21" t="inlineStr">
        <is>
          <t>Камчатский</t>
        </is>
      </c>
      <c r="D26" s="22" t="n">
        <v>798</v>
      </c>
    </row>
    <row r="27">
      <c r="A27" s="21" t="inlineStr">
        <is>
          <t>Купить</t>
        </is>
      </c>
      <c r="B27" s="21" t="inlineStr">
        <is>
          <t>Квартира</t>
        </is>
      </c>
      <c r="C27" s="21" t="inlineStr">
        <is>
          <t>Карачаево-Черкесская</t>
        </is>
      </c>
      <c r="D27" s="22" t="n">
        <v>1123</v>
      </c>
    </row>
    <row r="28">
      <c r="A28" s="21" t="inlineStr">
        <is>
          <t>Купить</t>
        </is>
      </c>
      <c r="B28" s="21" t="inlineStr">
        <is>
          <t>Квартира</t>
        </is>
      </c>
      <c r="C28" s="21" t="inlineStr">
        <is>
          <t>Карелия</t>
        </is>
      </c>
      <c r="D28" s="22" t="n">
        <v>543</v>
      </c>
    </row>
    <row r="29">
      <c r="A29" s="21" t="inlineStr">
        <is>
          <t>Купить</t>
        </is>
      </c>
      <c r="B29" s="21" t="inlineStr">
        <is>
          <t>Квартира</t>
        </is>
      </c>
      <c r="C29" s="21" t="inlineStr">
        <is>
          <t>Кемеровская</t>
        </is>
      </c>
      <c r="D29" s="22" t="n">
        <v>9538</v>
      </c>
    </row>
    <row r="30">
      <c r="A30" s="21" t="inlineStr">
        <is>
          <t>Купить</t>
        </is>
      </c>
      <c r="B30" s="21" t="inlineStr">
        <is>
          <t>Квартира</t>
        </is>
      </c>
      <c r="C30" s="21" t="inlineStr">
        <is>
          <t>Кировская</t>
        </is>
      </c>
      <c r="D30" s="22" t="n">
        <v>2073</v>
      </c>
    </row>
    <row r="31">
      <c r="A31" s="21" t="inlineStr">
        <is>
          <t>Купить</t>
        </is>
      </c>
      <c r="B31" s="21" t="inlineStr">
        <is>
          <t>Квартира</t>
        </is>
      </c>
      <c r="C31" s="21" t="inlineStr">
        <is>
          <t>Коми</t>
        </is>
      </c>
      <c r="D31" s="22" t="n">
        <v>1881</v>
      </c>
    </row>
    <row r="32">
      <c r="A32" s="21" t="inlineStr">
        <is>
          <t>Купить</t>
        </is>
      </c>
      <c r="B32" s="21" t="inlineStr">
        <is>
          <t>Квартира</t>
        </is>
      </c>
      <c r="C32" s="21" t="inlineStr">
        <is>
          <t>Костромская</t>
        </is>
      </c>
      <c r="D32" s="22" t="n">
        <v>2316</v>
      </c>
    </row>
    <row r="33">
      <c r="A33" s="21" t="inlineStr">
        <is>
          <t>Купить</t>
        </is>
      </c>
      <c r="B33" s="21" t="inlineStr">
        <is>
          <t>Квартира</t>
        </is>
      </c>
      <c r="C33" s="21" t="inlineStr">
        <is>
          <t>Краснодарский</t>
        </is>
      </c>
      <c r="D33" s="22" t="n">
        <v>113041</v>
      </c>
    </row>
    <row r="34">
      <c r="A34" s="21" t="inlineStr">
        <is>
          <t>Купить</t>
        </is>
      </c>
      <c r="B34" s="21" t="inlineStr">
        <is>
          <t>Квартира</t>
        </is>
      </c>
      <c r="C34" s="21" t="inlineStr">
        <is>
          <t>Красноярский</t>
        </is>
      </c>
      <c r="D34" s="22" t="n">
        <v>14416</v>
      </c>
    </row>
    <row r="35">
      <c r="A35" s="21" t="inlineStr">
        <is>
          <t>Купить</t>
        </is>
      </c>
      <c r="B35" s="21" t="inlineStr">
        <is>
          <t>Квартира</t>
        </is>
      </c>
      <c r="C35" s="21" t="inlineStr">
        <is>
          <t>Крым</t>
        </is>
      </c>
      <c r="D35" s="22" t="n">
        <v>22720</v>
      </c>
    </row>
    <row r="36">
      <c r="A36" s="21" t="inlineStr">
        <is>
          <t>Купить</t>
        </is>
      </c>
      <c r="B36" s="21" t="inlineStr">
        <is>
          <t>Квартира</t>
        </is>
      </c>
      <c r="C36" s="21" t="inlineStr">
        <is>
          <t>Курганская</t>
        </is>
      </c>
      <c r="D36" s="22" t="n">
        <v>3823</v>
      </c>
    </row>
    <row r="37">
      <c r="A37" s="21" t="inlineStr">
        <is>
          <t>Купить</t>
        </is>
      </c>
      <c r="B37" s="21" t="inlineStr">
        <is>
          <t>Квартира</t>
        </is>
      </c>
      <c r="C37" s="21" t="inlineStr">
        <is>
          <t>Курская</t>
        </is>
      </c>
      <c r="D37" s="22" t="n">
        <v>3267</v>
      </c>
    </row>
    <row r="38">
      <c r="A38" s="21" t="inlineStr">
        <is>
          <t>Купить</t>
        </is>
      </c>
      <c r="B38" s="21" t="inlineStr">
        <is>
          <t>Квартира</t>
        </is>
      </c>
      <c r="C38" s="21" t="inlineStr">
        <is>
          <t>Ленинградская</t>
        </is>
      </c>
      <c r="D38" s="22" t="n">
        <v>25972</v>
      </c>
    </row>
    <row r="39">
      <c r="A39" s="21" t="inlineStr">
        <is>
          <t>Купить</t>
        </is>
      </c>
      <c r="B39" s="21" t="inlineStr">
        <is>
          <t>Квартира</t>
        </is>
      </c>
      <c r="C39" s="21" t="inlineStr">
        <is>
          <t>Липецкая</t>
        </is>
      </c>
      <c r="D39" s="22" t="n">
        <v>5293</v>
      </c>
    </row>
    <row r="40">
      <c r="A40" s="21" t="inlineStr">
        <is>
          <t>Купить</t>
        </is>
      </c>
      <c r="B40" s="21" t="inlineStr">
        <is>
          <t>Квартира</t>
        </is>
      </c>
      <c r="C40" s="21" t="inlineStr">
        <is>
          <t>Магаданская</t>
        </is>
      </c>
      <c r="D40" s="22" t="n">
        <v>278</v>
      </c>
    </row>
    <row r="41">
      <c r="A41" s="21" t="inlineStr">
        <is>
          <t>Купить</t>
        </is>
      </c>
      <c r="B41" s="21" t="inlineStr">
        <is>
          <t>Квартира</t>
        </is>
      </c>
      <c r="C41" s="21" t="inlineStr">
        <is>
          <t>Марий Эл</t>
        </is>
      </c>
      <c r="D41" s="22" t="n">
        <v>1627</v>
      </c>
    </row>
    <row r="42">
      <c r="A42" s="21" t="inlineStr">
        <is>
          <t>Купить</t>
        </is>
      </c>
      <c r="B42" s="21" t="inlineStr">
        <is>
          <t>Квартира</t>
        </is>
      </c>
      <c r="C42" s="21" t="inlineStr">
        <is>
          <t>Мордовия</t>
        </is>
      </c>
      <c r="D42" s="22" t="n">
        <v>1970</v>
      </c>
    </row>
    <row r="43">
      <c r="A43" s="21" t="inlineStr">
        <is>
          <t>Купить</t>
        </is>
      </c>
      <c r="B43" s="21" t="inlineStr">
        <is>
          <t>Квартира</t>
        </is>
      </c>
      <c r="C43" s="21" t="inlineStr">
        <is>
          <t>Москва</t>
        </is>
      </c>
      <c r="D43" s="22" t="n">
        <v>68602</v>
      </c>
    </row>
    <row r="44">
      <c r="A44" s="21" t="inlineStr">
        <is>
          <t>Купить</t>
        </is>
      </c>
      <c r="B44" s="21" t="inlineStr">
        <is>
          <t>Квартира</t>
        </is>
      </c>
      <c r="C44" s="21" t="inlineStr">
        <is>
          <t>Московская</t>
        </is>
      </c>
      <c r="D44" s="22" t="n">
        <v>49109</v>
      </c>
    </row>
    <row r="45">
      <c r="A45" s="21" t="inlineStr">
        <is>
          <t>Купить</t>
        </is>
      </c>
      <c r="B45" s="21" t="inlineStr">
        <is>
          <t>Квартира</t>
        </is>
      </c>
      <c r="C45" s="21" t="inlineStr">
        <is>
          <t>Мурманская</t>
        </is>
      </c>
      <c r="D45" s="22" t="n">
        <v>935</v>
      </c>
    </row>
    <row r="46">
      <c r="A46" s="21" t="inlineStr">
        <is>
          <t>Купить</t>
        </is>
      </c>
      <c r="B46" s="21" t="inlineStr">
        <is>
          <t>Квартира</t>
        </is>
      </c>
      <c r="C46" s="21" t="inlineStr">
        <is>
          <t>Ненецкий</t>
        </is>
      </c>
      <c r="D46" s="22" t="n">
        <v>0</v>
      </c>
    </row>
    <row r="47">
      <c r="A47" s="21" t="inlineStr">
        <is>
          <t>Купить</t>
        </is>
      </c>
      <c r="B47" s="21" t="inlineStr">
        <is>
          <t>Квартира</t>
        </is>
      </c>
      <c r="C47" s="21" t="inlineStr">
        <is>
          <t>Нижегородская</t>
        </is>
      </c>
      <c r="D47" s="22" t="n">
        <v>0</v>
      </c>
    </row>
    <row r="48">
      <c r="A48" s="21" t="inlineStr">
        <is>
          <t>Купить</t>
        </is>
      </c>
      <c r="B48" s="21" t="inlineStr">
        <is>
          <t>Квартира</t>
        </is>
      </c>
      <c r="C48" s="21" t="inlineStr">
        <is>
          <t>Новгородская</t>
        </is>
      </c>
      <c r="D48" s="22" t="n">
        <v>728</v>
      </c>
    </row>
    <row r="49">
      <c r="A49" s="21" t="inlineStr">
        <is>
          <t>Купить</t>
        </is>
      </c>
      <c r="B49" s="21" t="inlineStr">
        <is>
          <t>Квартира</t>
        </is>
      </c>
      <c r="C49" s="21" t="inlineStr">
        <is>
          <t>Новосибирская</t>
        </is>
      </c>
      <c r="D49" s="22" t="n">
        <v>33302</v>
      </c>
    </row>
    <row r="50">
      <c r="A50" s="21" t="inlineStr">
        <is>
          <t>Купить</t>
        </is>
      </c>
      <c r="B50" s="21" t="inlineStr">
        <is>
          <t>Квартира</t>
        </is>
      </c>
      <c r="C50" s="21" t="inlineStr">
        <is>
          <t>Омская</t>
        </is>
      </c>
      <c r="D50" s="22" t="n">
        <v>5259</v>
      </c>
    </row>
    <row r="51">
      <c r="A51" s="21" t="inlineStr">
        <is>
          <t>Купить</t>
        </is>
      </c>
      <c r="B51" s="21" t="inlineStr">
        <is>
          <t>Квартира</t>
        </is>
      </c>
      <c r="C51" s="21" t="inlineStr">
        <is>
          <t>Оренбургская</t>
        </is>
      </c>
      <c r="D51" s="22" t="n">
        <v>6456</v>
      </c>
    </row>
    <row r="52">
      <c r="A52" s="21" t="inlineStr">
        <is>
          <t>Купить</t>
        </is>
      </c>
      <c r="B52" s="21" t="inlineStr">
        <is>
          <t>Квартира</t>
        </is>
      </c>
      <c r="C52" s="21" t="inlineStr">
        <is>
          <t>Орловская</t>
        </is>
      </c>
      <c r="D52" s="22" t="n">
        <v>1849</v>
      </c>
    </row>
    <row r="53">
      <c r="A53" s="21" t="inlineStr">
        <is>
          <t>Купить</t>
        </is>
      </c>
      <c r="B53" s="21" t="inlineStr">
        <is>
          <t>Квартира</t>
        </is>
      </c>
      <c r="C53" s="21" t="inlineStr">
        <is>
          <t>Пензенская</t>
        </is>
      </c>
      <c r="D53" s="22" t="n">
        <v>13214</v>
      </c>
    </row>
    <row r="54">
      <c r="A54" s="21" t="inlineStr">
        <is>
          <t>Купить</t>
        </is>
      </c>
      <c r="B54" s="21" t="inlineStr">
        <is>
          <t>Квартира</t>
        </is>
      </c>
      <c r="C54" s="21" t="inlineStr">
        <is>
          <t>Пермский</t>
        </is>
      </c>
      <c r="D54" s="22" t="n">
        <v>15812</v>
      </c>
    </row>
    <row r="55">
      <c r="A55" s="21" t="inlineStr">
        <is>
          <t>Купить</t>
        </is>
      </c>
      <c r="B55" s="21" t="inlineStr">
        <is>
          <t>Квартира</t>
        </is>
      </c>
      <c r="C55" s="21" t="inlineStr">
        <is>
          <t>Приморский</t>
        </is>
      </c>
      <c r="D55" s="22" t="n">
        <v>13328</v>
      </c>
    </row>
    <row r="56">
      <c r="A56" s="21" t="inlineStr">
        <is>
          <t>Купить</t>
        </is>
      </c>
      <c r="B56" s="21" t="inlineStr">
        <is>
          <t>Квартира</t>
        </is>
      </c>
      <c r="C56" s="21" t="inlineStr">
        <is>
          <t>Псковская</t>
        </is>
      </c>
      <c r="D56" s="22" t="n">
        <v>2384</v>
      </c>
    </row>
    <row r="57">
      <c r="A57" s="21" t="inlineStr">
        <is>
          <t>Купить</t>
        </is>
      </c>
      <c r="B57" s="21" t="inlineStr">
        <is>
          <t>Квартира</t>
        </is>
      </c>
      <c r="C57" s="21" t="inlineStr">
        <is>
          <t>Ростовская</t>
        </is>
      </c>
      <c r="D57" s="22" t="n">
        <v>52931</v>
      </c>
    </row>
    <row r="58">
      <c r="A58" s="21" t="inlineStr">
        <is>
          <t>Купить</t>
        </is>
      </c>
      <c r="B58" s="21" t="inlineStr">
        <is>
          <t>Квартира</t>
        </is>
      </c>
      <c r="C58" s="21" t="inlineStr">
        <is>
          <t>Рязанская</t>
        </is>
      </c>
      <c r="D58" s="22" t="n">
        <v>12266</v>
      </c>
    </row>
    <row r="59">
      <c r="A59" s="21" t="inlineStr">
        <is>
          <t>Купить</t>
        </is>
      </c>
      <c r="B59" s="21" t="inlineStr">
        <is>
          <t>Квартира</t>
        </is>
      </c>
      <c r="C59" s="21" t="inlineStr">
        <is>
          <t>Самарская</t>
        </is>
      </c>
      <c r="D59" s="22" t="n">
        <v>7569</v>
      </c>
    </row>
    <row r="60">
      <c r="A60" s="21" t="inlineStr">
        <is>
          <t>Купить</t>
        </is>
      </c>
      <c r="B60" s="21" t="inlineStr">
        <is>
          <t>Квартира</t>
        </is>
      </c>
      <c r="C60" s="21" t="inlineStr">
        <is>
          <t>Санкт-Петербург</t>
        </is>
      </c>
      <c r="D60" s="22" t="n">
        <v>39472</v>
      </c>
    </row>
    <row r="61">
      <c r="A61" s="21" t="inlineStr">
        <is>
          <t>Купить</t>
        </is>
      </c>
      <c r="B61" s="21" t="inlineStr">
        <is>
          <t>Квартира</t>
        </is>
      </c>
      <c r="C61" s="21" t="inlineStr">
        <is>
          <t>Саратовская</t>
        </is>
      </c>
      <c r="D61" s="22" t="n">
        <v>6526</v>
      </c>
    </row>
    <row r="62">
      <c r="A62" s="21" t="inlineStr">
        <is>
          <t>Купить</t>
        </is>
      </c>
      <c r="B62" s="21" t="inlineStr">
        <is>
          <t>Квартира</t>
        </is>
      </c>
      <c r="C62" s="21" t="inlineStr">
        <is>
          <t>Саха (Якутия)</t>
        </is>
      </c>
      <c r="D62" s="22" t="n">
        <v>2625</v>
      </c>
    </row>
    <row r="63">
      <c r="A63" s="21" t="inlineStr">
        <is>
          <t>Купить</t>
        </is>
      </c>
      <c r="B63" s="21" t="inlineStr">
        <is>
          <t>Квартира</t>
        </is>
      </c>
      <c r="C63" s="21" t="inlineStr">
        <is>
          <t>Сахалинская</t>
        </is>
      </c>
      <c r="D63" s="22" t="n">
        <v>2878</v>
      </c>
    </row>
    <row r="64">
      <c r="A64" s="21" t="inlineStr">
        <is>
          <t>Купить</t>
        </is>
      </c>
      <c r="B64" s="21" t="inlineStr">
        <is>
          <t>Квартира</t>
        </is>
      </c>
      <c r="C64" s="21" t="inlineStr">
        <is>
          <t>Свердловская</t>
        </is>
      </c>
      <c r="D64" s="22" t="n">
        <v>43263</v>
      </c>
    </row>
    <row r="65">
      <c r="A65" s="21" t="inlineStr">
        <is>
          <t>Купить</t>
        </is>
      </c>
      <c r="B65" s="21" t="inlineStr">
        <is>
          <t>Квартира</t>
        </is>
      </c>
      <c r="C65" s="21" t="inlineStr">
        <is>
          <t>Севастополь</t>
        </is>
      </c>
      <c r="D65" s="22" t="n">
        <v>4451</v>
      </c>
    </row>
    <row r="66">
      <c r="A66" s="21" t="inlineStr">
        <is>
          <t>Купить</t>
        </is>
      </c>
      <c r="B66" s="21" t="inlineStr">
        <is>
          <t>Квартира</t>
        </is>
      </c>
      <c r="C66" s="21" t="inlineStr">
        <is>
          <t>Северная Осетия - Алания</t>
        </is>
      </c>
      <c r="D66" s="22" t="n">
        <v>2831</v>
      </c>
    </row>
    <row r="67">
      <c r="A67" s="21" t="inlineStr">
        <is>
          <t>Купить</t>
        </is>
      </c>
      <c r="B67" s="21" t="inlineStr">
        <is>
          <t>Квартира</t>
        </is>
      </c>
      <c r="C67" s="21" t="inlineStr">
        <is>
          <t>Смоленская</t>
        </is>
      </c>
      <c r="D67" s="22" t="n">
        <v>3466</v>
      </c>
    </row>
    <row r="68">
      <c r="A68" s="21" t="inlineStr">
        <is>
          <t>Купить</t>
        </is>
      </c>
      <c r="B68" s="21" t="inlineStr">
        <is>
          <t>Квартира</t>
        </is>
      </c>
      <c r="C68" s="21" t="inlineStr">
        <is>
          <t>Ставропольский</t>
        </is>
      </c>
      <c r="D68" s="22" t="n">
        <v>24121</v>
      </c>
    </row>
    <row r="69">
      <c r="A69" s="21" t="inlineStr">
        <is>
          <t>Купить</t>
        </is>
      </c>
      <c r="B69" s="21" t="inlineStr">
        <is>
          <t>Квартира</t>
        </is>
      </c>
      <c r="C69" s="21" t="inlineStr">
        <is>
          <t>Тамбовская</t>
        </is>
      </c>
      <c r="D69" s="22" t="n">
        <v>2539</v>
      </c>
    </row>
    <row r="70">
      <c r="A70" s="21" t="inlineStr">
        <is>
          <t>Купить</t>
        </is>
      </c>
      <c r="B70" s="21" t="inlineStr">
        <is>
          <t>Квартира</t>
        </is>
      </c>
      <c r="C70" s="21" t="inlineStr">
        <is>
          <t>Татарстан</t>
        </is>
      </c>
      <c r="D70" s="22" t="n">
        <v>21303</v>
      </c>
    </row>
    <row r="71">
      <c r="A71" s="21" t="inlineStr">
        <is>
          <t>Купить</t>
        </is>
      </c>
      <c r="B71" s="21" t="inlineStr">
        <is>
          <t>Квартира</t>
        </is>
      </c>
      <c r="C71" s="21" t="inlineStr">
        <is>
          <t>Тверская</t>
        </is>
      </c>
      <c r="D71" s="22" t="n">
        <v>2699</v>
      </c>
    </row>
    <row r="72">
      <c r="A72" s="21" t="inlineStr">
        <is>
          <t>Купить</t>
        </is>
      </c>
      <c r="B72" s="21" t="inlineStr">
        <is>
          <t>Квартира</t>
        </is>
      </c>
      <c r="C72" s="21" t="inlineStr">
        <is>
          <t>Томская</t>
        </is>
      </c>
      <c r="D72" s="22" t="n">
        <v>4231</v>
      </c>
    </row>
    <row r="73">
      <c r="A73" s="21" t="inlineStr">
        <is>
          <t>Купить</t>
        </is>
      </c>
      <c r="B73" s="21" t="inlineStr">
        <is>
          <t>Квартира</t>
        </is>
      </c>
      <c r="C73" s="21" t="inlineStr">
        <is>
          <t>Тульская</t>
        </is>
      </c>
      <c r="D73" s="22" t="n">
        <v>12694</v>
      </c>
    </row>
    <row r="74">
      <c r="A74" s="21" t="inlineStr">
        <is>
          <t>Купить</t>
        </is>
      </c>
      <c r="B74" s="21" t="inlineStr">
        <is>
          <t>Квартира</t>
        </is>
      </c>
      <c r="C74" s="21" t="inlineStr">
        <is>
          <t>Тыва</t>
        </is>
      </c>
      <c r="D74" s="22" t="n">
        <v>684</v>
      </c>
    </row>
    <row r="75">
      <c r="A75" s="21" t="inlineStr">
        <is>
          <t>Купить</t>
        </is>
      </c>
      <c r="B75" s="21" t="inlineStr">
        <is>
          <t>Квартира</t>
        </is>
      </c>
      <c r="C75" s="21" t="inlineStr">
        <is>
          <t>Тюменская</t>
        </is>
      </c>
      <c r="D75" s="22" t="n">
        <v>55001</v>
      </c>
    </row>
    <row r="76">
      <c r="A76" s="21" t="inlineStr">
        <is>
          <t>Купить</t>
        </is>
      </c>
      <c r="B76" s="21" t="inlineStr">
        <is>
          <t>Квартира</t>
        </is>
      </c>
      <c r="C76" s="21" t="inlineStr">
        <is>
          <t>Удмуртская</t>
        </is>
      </c>
      <c r="D76" s="22" t="n">
        <v>9136</v>
      </c>
    </row>
    <row r="77">
      <c r="A77" s="21" t="inlineStr">
        <is>
          <t>Купить</t>
        </is>
      </c>
      <c r="B77" s="21" t="inlineStr">
        <is>
          <t>Квартира</t>
        </is>
      </c>
      <c r="C77" s="21" t="inlineStr">
        <is>
          <t>Ульяновская</t>
        </is>
      </c>
      <c r="D77" s="22" t="n">
        <v>4298</v>
      </c>
    </row>
    <row r="78">
      <c r="A78" s="21" t="inlineStr">
        <is>
          <t>Купить</t>
        </is>
      </c>
      <c r="B78" s="21" t="inlineStr">
        <is>
          <t>Квартира</t>
        </is>
      </c>
      <c r="C78" s="21" t="inlineStr">
        <is>
          <t>Хабаровский</t>
        </is>
      </c>
      <c r="D78" s="22" t="n">
        <v>5821</v>
      </c>
    </row>
    <row r="79">
      <c r="A79" s="21" t="inlineStr">
        <is>
          <t>Купить</t>
        </is>
      </c>
      <c r="B79" s="21" t="inlineStr">
        <is>
          <t>Квартира</t>
        </is>
      </c>
      <c r="C79" s="21" t="inlineStr">
        <is>
          <t>Хакасия</t>
        </is>
      </c>
      <c r="D79" s="22" t="n">
        <v>3017</v>
      </c>
    </row>
    <row r="80">
      <c r="A80" s="21" t="inlineStr">
        <is>
          <t>Купить</t>
        </is>
      </c>
      <c r="B80" s="21" t="inlineStr">
        <is>
          <t>Квартира</t>
        </is>
      </c>
      <c r="C80" s="21" t="inlineStr">
        <is>
          <t>Ханты-Мансийский</t>
        </is>
      </c>
      <c r="D80" s="22" t="n">
        <v>10760</v>
      </c>
    </row>
    <row r="81">
      <c r="A81" s="21" t="inlineStr">
        <is>
          <t>Купить</t>
        </is>
      </c>
      <c r="B81" s="21" t="inlineStr">
        <is>
          <t>Квартира</t>
        </is>
      </c>
      <c r="C81" s="21" t="inlineStr">
        <is>
          <t>Челябинская</t>
        </is>
      </c>
      <c r="D81" s="22" t="n">
        <v>11851</v>
      </c>
    </row>
    <row r="82">
      <c r="A82" s="21" t="inlineStr">
        <is>
          <t>Купить</t>
        </is>
      </c>
      <c r="B82" s="21" t="inlineStr">
        <is>
          <t>Квартира</t>
        </is>
      </c>
      <c r="C82" s="21" t="inlineStr">
        <is>
          <t>Чеченская</t>
        </is>
      </c>
      <c r="D82" s="22" t="n">
        <v>745</v>
      </c>
    </row>
    <row r="83">
      <c r="A83" s="21" t="inlineStr">
        <is>
          <t>Купить</t>
        </is>
      </c>
      <c r="B83" s="21" t="inlineStr">
        <is>
          <t>Квартира</t>
        </is>
      </c>
      <c r="C83" s="21" t="inlineStr">
        <is>
          <t>Чувашская</t>
        </is>
      </c>
      <c r="D83" s="22" t="n">
        <v>2172</v>
      </c>
    </row>
    <row r="84">
      <c r="A84" s="21" t="inlineStr">
        <is>
          <t>Купить</t>
        </is>
      </c>
      <c r="B84" s="21" t="inlineStr">
        <is>
          <t>Квартира</t>
        </is>
      </c>
      <c r="C84" s="21" t="inlineStr">
        <is>
          <t>Чукотский</t>
        </is>
      </c>
      <c r="D84" s="22" t="n">
        <v>0</v>
      </c>
    </row>
    <row r="85">
      <c r="A85" s="21" t="inlineStr">
        <is>
          <t>Купить</t>
        </is>
      </c>
      <c r="B85" s="21" t="inlineStr">
        <is>
          <t>Квартира</t>
        </is>
      </c>
      <c r="C85" s="21" t="inlineStr">
        <is>
          <t>Ямало-Ненецкий</t>
        </is>
      </c>
      <c r="D85" s="22" t="n">
        <v>3329</v>
      </c>
    </row>
    <row r="86">
      <c r="A86" s="21" t="inlineStr">
        <is>
          <t>Купить</t>
        </is>
      </c>
      <c r="B86" s="21" t="inlineStr">
        <is>
          <t>Квартира</t>
        </is>
      </c>
      <c r="C86" s="21" t="inlineStr">
        <is>
          <t>Ярославская</t>
        </is>
      </c>
      <c r="D86" s="22" t="n">
        <v>6351</v>
      </c>
    </row>
    <row r="87">
      <c r="A87" s="27" t="inlineStr">
        <is>
          <t>Купить</t>
        </is>
      </c>
      <c r="B87" s="17" t="inlineStr">
        <is>
          <t>Квартира в новостройке</t>
        </is>
      </c>
      <c r="C87" s="28" t="inlineStr">
        <is>
          <t>Адыгея</t>
        </is>
      </c>
      <c r="D87" s="19" t="n">
        <v>7556</v>
      </c>
    </row>
    <row r="88">
      <c r="A88" s="21" t="inlineStr">
        <is>
          <t>Купить</t>
        </is>
      </c>
      <c r="B88" s="21" t="inlineStr">
        <is>
          <t>Квартира в новостройке</t>
        </is>
      </c>
      <c r="C88" s="21" t="inlineStr">
        <is>
          <t>Алтай</t>
        </is>
      </c>
      <c r="D88" s="22" t="n">
        <v>274</v>
      </c>
    </row>
    <row r="89">
      <c r="A89" s="21" t="inlineStr">
        <is>
          <t>Купить</t>
        </is>
      </c>
      <c r="B89" s="21" t="inlineStr">
        <is>
          <t>Квартира в новостройке</t>
        </is>
      </c>
      <c r="C89" s="21" t="inlineStr">
        <is>
          <t>Алтайский</t>
        </is>
      </c>
      <c r="D89" s="22" t="n">
        <v>945</v>
      </c>
    </row>
    <row r="90">
      <c r="A90" s="21" t="inlineStr">
        <is>
          <t>Купить</t>
        </is>
      </c>
      <c r="B90" s="21" t="inlineStr">
        <is>
          <t>Квартира в новостройке</t>
        </is>
      </c>
      <c r="C90" s="21" t="inlineStr">
        <is>
          <t>Амурская</t>
        </is>
      </c>
      <c r="D90" s="22" t="n">
        <v>288</v>
      </c>
    </row>
    <row r="91">
      <c r="A91" s="21" t="inlineStr">
        <is>
          <t>Купить</t>
        </is>
      </c>
      <c r="B91" s="21" t="inlineStr">
        <is>
          <t>Квартира в новостройке</t>
        </is>
      </c>
      <c r="C91" s="21" t="inlineStr">
        <is>
          <t>Архангельская</t>
        </is>
      </c>
      <c r="D91" s="22" t="n">
        <v>3189</v>
      </c>
    </row>
    <row r="92">
      <c r="A92" s="21" t="inlineStr">
        <is>
          <t>Купить</t>
        </is>
      </c>
      <c r="B92" s="21" t="inlineStr">
        <is>
          <t>Квартира в новостройке</t>
        </is>
      </c>
      <c r="C92" s="21" t="inlineStr">
        <is>
          <t>Астраханская</t>
        </is>
      </c>
      <c r="D92" s="22" t="n">
        <v>4001</v>
      </c>
    </row>
    <row r="93">
      <c r="A93" s="21" t="inlineStr">
        <is>
          <t>Купить</t>
        </is>
      </c>
      <c r="B93" s="21" t="inlineStr">
        <is>
          <t>Квартира в новостройке</t>
        </is>
      </c>
      <c r="C93" s="21" t="inlineStr">
        <is>
          <t>Башкортостан</t>
        </is>
      </c>
      <c r="D93" s="22" t="n">
        <v>17987</v>
      </c>
    </row>
    <row r="94">
      <c r="A94" s="21" t="inlineStr">
        <is>
          <t>Купить</t>
        </is>
      </c>
      <c r="B94" s="21" t="inlineStr">
        <is>
          <t>Квартира в новостройке</t>
        </is>
      </c>
      <c r="C94" s="21" t="inlineStr">
        <is>
          <t>Белгородская</t>
        </is>
      </c>
      <c r="D94" s="22" t="n">
        <v>294</v>
      </c>
    </row>
    <row r="95">
      <c r="A95" s="21" t="inlineStr">
        <is>
          <t>Купить</t>
        </is>
      </c>
      <c r="B95" s="21" t="inlineStr">
        <is>
          <t>Квартира в новостройке</t>
        </is>
      </c>
      <c r="C95" s="21" t="inlineStr">
        <is>
          <t>Брянская</t>
        </is>
      </c>
      <c r="D95" s="22" t="n">
        <v>3126</v>
      </c>
    </row>
    <row r="96">
      <c r="A96" s="21" t="inlineStr">
        <is>
          <t>Купить</t>
        </is>
      </c>
      <c r="B96" s="21" t="inlineStr">
        <is>
          <t>Квартира в новостройке</t>
        </is>
      </c>
      <c r="C96" s="21" t="inlineStr">
        <is>
          <t>Бурятия</t>
        </is>
      </c>
      <c r="D96" s="22" t="n">
        <v>732</v>
      </c>
    </row>
    <row r="97">
      <c r="A97" s="21" t="inlineStr">
        <is>
          <t>Купить</t>
        </is>
      </c>
      <c r="B97" s="21" t="inlineStr">
        <is>
          <t>Квартира в новостройке</t>
        </is>
      </c>
      <c r="C97" s="21" t="inlineStr">
        <is>
          <t>Владимирская</t>
        </is>
      </c>
      <c r="D97" s="22" t="n">
        <v>3206</v>
      </c>
    </row>
    <row r="98">
      <c r="A98" s="21" t="inlineStr">
        <is>
          <t>Купить</t>
        </is>
      </c>
      <c r="B98" s="21" t="inlineStr">
        <is>
          <t>Квартира в новостройке</t>
        </is>
      </c>
      <c r="C98" s="21" t="inlineStr">
        <is>
          <t>Волгоградская</t>
        </is>
      </c>
      <c r="D98" s="22" t="n">
        <v>4771</v>
      </c>
    </row>
    <row r="99">
      <c r="A99" s="21" t="inlineStr">
        <is>
          <t>Купить</t>
        </is>
      </c>
      <c r="B99" s="21" t="inlineStr">
        <is>
          <t>Квартира в новостройке</t>
        </is>
      </c>
      <c r="C99" s="21" t="inlineStr">
        <is>
          <t>Вологодская</t>
        </is>
      </c>
      <c r="D99" s="22" t="n">
        <v>681</v>
      </c>
    </row>
    <row r="100">
      <c r="A100" s="21" t="inlineStr">
        <is>
          <t>Купить</t>
        </is>
      </c>
      <c r="B100" s="21" t="inlineStr">
        <is>
          <t>Квартира в новостройке</t>
        </is>
      </c>
      <c r="C100" s="21" t="inlineStr">
        <is>
          <t>Воронежская</t>
        </is>
      </c>
      <c r="D100" s="22" t="n">
        <v>9829</v>
      </c>
    </row>
    <row r="101">
      <c r="A101" s="21" t="inlineStr">
        <is>
          <t>Купить</t>
        </is>
      </c>
      <c r="B101" s="21" t="inlineStr">
        <is>
          <t>Квартира в новостройке</t>
        </is>
      </c>
      <c r="C101" s="21" t="inlineStr">
        <is>
          <t>Дагестан</t>
        </is>
      </c>
      <c r="D101" s="22" t="n">
        <v>1811</v>
      </c>
    </row>
    <row r="102">
      <c r="A102" s="21" t="inlineStr">
        <is>
          <t>Купить</t>
        </is>
      </c>
      <c r="B102" s="21" t="inlineStr">
        <is>
          <t>Квартира в новостройке</t>
        </is>
      </c>
      <c r="C102" s="21" t="inlineStr">
        <is>
          <t>Еврейская</t>
        </is>
      </c>
      <c r="D102" s="22" t="n">
        <v>84</v>
      </c>
    </row>
    <row r="103">
      <c r="A103" s="21" t="inlineStr">
        <is>
          <t>Купить</t>
        </is>
      </c>
      <c r="B103" s="21" t="inlineStr">
        <is>
          <t>Квартира в новостройке</t>
        </is>
      </c>
      <c r="C103" s="21" t="inlineStr">
        <is>
          <t>Забайкальский</t>
        </is>
      </c>
      <c r="D103" s="22" t="n">
        <v>1376</v>
      </c>
    </row>
    <row r="104">
      <c r="A104" s="21" t="inlineStr">
        <is>
          <t>Купить</t>
        </is>
      </c>
      <c r="B104" s="21" t="inlineStr">
        <is>
          <t>Квартира в новостройке</t>
        </is>
      </c>
      <c r="C104" s="21" t="inlineStr">
        <is>
          <t>Ивановская</t>
        </is>
      </c>
      <c r="D104" s="22" t="n">
        <v>831</v>
      </c>
    </row>
    <row r="105">
      <c r="A105" s="21" t="inlineStr">
        <is>
          <t>Купить</t>
        </is>
      </c>
      <c r="B105" s="21" t="inlineStr">
        <is>
          <t>Квартира в новостройке</t>
        </is>
      </c>
      <c r="C105" s="21" t="inlineStr">
        <is>
          <t>Ингушетия</t>
        </is>
      </c>
      <c r="D105" s="22" t="n">
        <v>0</v>
      </c>
    </row>
    <row r="106">
      <c r="A106" s="21" t="inlineStr">
        <is>
          <t>Купить</t>
        </is>
      </c>
      <c r="B106" s="21" t="inlineStr">
        <is>
          <t>Квартира в новостройке</t>
        </is>
      </c>
      <c r="C106" s="21" t="inlineStr">
        <is>
          <t>Иркутская</t>
        </is>
      </c>
      <c r="D106" s="22" t="n">
        <v>5462</v>
      </c>
    </row>
    <row r="107">
      <c r="A107" s="21" t="inlineStr">
        <is>
          <t>Купить</t>
        </is>
      </c>
      <c r="B107" s="21" t="inlineStr">
        <is>
          <t>Квартира в новостройке</t>
        </is>
      </c>
      <c r="C107" s="21" t="inlineStr">
        <is>
          <t>Кабардино-Балкарская</t>
        </is>
      </c>
      <c r="D107" s="22" t="n">
        <v>77</v>
      </c>
    </row>
    <row r="108">
      <c r="A108" s="21" t="inlineStr">
        <is>
          <t>Купить</t>
        </is>
      </c>
      <c r="B108" s="21" t="inlineStr">
        <is>
          <t>Квартира в новостройке</t>
        </is>
      </c>
      <c r="C108" s="21" t="inlineStr">
        <is>
          <t>Калининградская</t>
        </is>
      </c>
      <c r="D108" s="22" t="n">
        <v>11340</v>
      </c>
    </row>
    <row r="109">
      <c r="A109" s="21" t="inlineStr">
        <is>
          <t>Купить</t>
        </is>
      </c>
      <c r="B109" s="21" t="inlineStr">
        <is>
          <t>Квартира в новостройке</t>
        </is>
      </c>
      <c r="C109" s="21" t="inlineStr">
        <is>
          <t>Калмыкия</t>
        </is>
      </c>
      <c r="D109" s="22" t="n">
        <v>54</v>
      </c>
    </row>
    <row r="110">
      <c r="A110" s="21" t="inlineStr">
        <is>
          <t>Купить</t>
        </is>
      </c>
      <c r="B110" s="21" t="inlineStr">
        <is>
          <t>Квартира в новостройке</t>
        </is>
      </c>
      <c r="C110" s="21" t="inlineStr">
        <is>
          <t>Калужская</t>
        </is>
      </c>
      <c r="D110" s="22" t="n">
        <v>1732</v>
      </c>
    </row>
    <row r="111">
      <c r="A111" s="21" t="inlineStr">
        <is>
          <t>Купить</t>
        </is>
      </c>
      <c r="B111" s="21" t="inlineStr">
        <is>
          <t>Квартира в новостройке</t>
        </is>
      </c>
      <c r="C111" s="21" t="inlineStr">
        <is>
          <t>Камчатский</t>
        </is>
      </c>
      <c r="D111" s="22" t="n">
        <v>126</v>
      </c>
    </row>
    <row r="112">
      <c r="A112" s="21" t="inlineStr">
        <is>
          <t>Купить</t>
        </is>
      </c>
      <c r="B112" s="21" t="inlineStr">
        <is>
          <t>Квартира в новостройке</t>
        </is>
      </c>
      <c r="C112" s="21" t="inlineStr">
        <is>
          <t>Карачаево-Черкесская</t>
        </is>
      </c>
      <c r="D112" s="22" t="n">
        <v>682</v>
      </c>
    </row>
    <row r="113">
      <c r="A113" s="21" t="inlineStr">
        <is>
          <t>Купить</t>
        </is>
      </c>
      <c r="B113" s="21" t="inlineStr">
        <is>
          <t>Квартира в новостройке</t>
        </is>
      </c>
      <c r="C113" s="21" t="inlineStr">
        <is>
          <t>Карелия</t>
        </is>
      </c>
      <c r="D113" s="22" t="n">
        <v>25</v>
      </c>
    </row>
    <row r="114">
      <c r="A114" s="21" t="inlineStr">
        <is>
          <t>Купить</t>
        </is>
      </c>
      <c r="B114" s="21" t="inlineStr">
        <is>
          <t>Квартира в новостройке</t>
        </is>
      </c>
      <c r="C114" s="21" t="inlineStr">
        <is>
          <t>Кемеровская</t>
        </is>
      </c>
      <c r="D114" s="22" t="n">
        <v>1899</v>
      </c>
    </row>
    <row r="115">
      <c r="A115" s="21" t="inlineStr">
        <is>
          <t>Купить</t>
        </is>
      </c>
      <c r="B115" s="21" t="inlineStr">
        <is>
          <t>Квартира в новостройке</t>
        </is>
      </c>
      <c r="C115" s="21" t="inlineStr">
        <is>
          <t>Кировская</t>
        </is>
      </c>
      <c r="D115" s="22" t="n">
        <v>1152</v>
      </c>
    </row>
    <row r="116">
      <c r="A116" s="21" t="inlineStr">
        <is>
          <t>Купить</t>
        </is>
      </c>
      <c r="B116" s="21" t="inlineStr">
        <is>
          <t>Квартира в новостройке</t>
        </is>
      </c>
      <c r="C116" s="21" t="inlineStr">
        <is>
          <t>Коми</t>
        </is>
      </c>
      <c r="D116" s="22" t="n">
        <v>218</v>
      </c>
    </row>
    <row r="117">
      <c r="A117" s="21" t="inlineStr">
        <is>
          <t>Купить</t>
        </is>
      </c>
      <c r="B117" s="21" t="inlineStr">
        <is>
          <t>Квартира в новостройке</t>
        </is>
      </c>
      <c r="C117" s="21" t="inlineStr">
        <is>
          <t>Костромская</t>
        </is>
      </c>
      <c r="D117" s="22" t="n">
        <v>569</v>
      </c>
    </row>
    <row r="118">
      <c r="A118" s="21" t="inlineStr">
        <is>
          <t>Купить</t>
        </is>
      </c>
      <c r="B118" s="21" t="inlineStr">
        <is>
          <t>Квартира в новостройке</t>
        </is>
      </c>
      <c r="C118" s="21" t="inlineStr">
        <is>
          <t>Краснодарский</t>
        </is>
      </c>
      <c r="D118" s="22" t="n">
        <v>62671</v>
      </c>
    </row>
    <row r="119">
      <c r="A119" s="21" t="inlineStr">
        <is>
          <t>Купить</t>
        </is>
      </c>
      <c r="B119" s="21" t="inlineStr">
        <is>
          <t>Квартира в новостройке</t>
        </is>
      </c>
      <c r="C119" s="21" t="inlineStr">
        <is>
          <t>Красноярский</t>
        </is>
      </c>
      <c r="D119" s="22" t="n">
        <v>6917</v>
      </c>
    </row>
    <row r="120">
      <c r="A120" s="21" t="inlineStr">
        <is>
          <t>Купить</t>
        </is>
      </c>
      <c r="B120" s="21" t="inlineStr">
        <is>
          <t>Квартира в новостройке</t>
        </is>
      </c>
      <c r="C120" s="21" t="inlineStr">
        <is>
          <t>Крым</t>
        </is>
      </c>
      <c r="D120" s="22" t="n">
        <v>12470</v>
      </c>
    </row>
    <row r="121">
      <c r="A121" s="21" t="inlineStr">
        <is>
          <t>Купить</t>
        </is>
      </c>
      <c r="B121" s="21" t="inlineStr">
        <is>
          <t>Квартира в новостройке</t>
        </is>
      </c>
      <c r="C121" s="21" t="inlineStr">
        <is>
          <t>Курганская</t>
        </is>
      </c>
      <c r="D121" s="22" t="n">
        <v>2196</v>
      </c>
    </row>
    <row r="122">
      <c r="A122" s="21" t="inlineStr">
        <is>
          <t>Купить</t>
        </is>
      </c>
      <c r="B122" s="21" t="inlineStr">
        <is>
          <t>Квартира в новостройке</t>
        </is>
      </c>
      <c r="C122" s="21" t="inlineStr">
        <is>
          <t>Курская</t>
        </is>
      </c>
      <c r="D122" s="22" t="n">
        <v>2222</v>
      </c>
    </row>
    <row r="123">
      <c r="A123" s="21" t="inlineStr">
        <is>
          <t>Купить</t>
        </is>
      </c>
      <c r="B123" s="21" t="inlineStr">
        <is>
          <t>Квартира в новостройке</t>
        </is>
      </c>
      <c r="C123" s="21" t="inlineStr">
        <is>
          <t>Ленинградская</t>
        </is>
      </c>
      <c r="D123" s="22" t="n">
        <v>20769</v>
      </c>
    </row>
    <row r="124">
      <c r="A124" s="21" t="inlineStr">
        <is>
          <t>Купить</t>
        </is>
      </c>
      <c r="B124" s="21" t="inlineStr">
        <is>
          <t>Квартира в новостройке</t>
        </is>
      </c>
      <c r="C124" s="21" t="inlineStr">
        <is>
          <t>Липецкая</t>
        </is>
      </c>
      <c r="D124" s="22" t="n">
        <v>3520</v>
      </c>
    </row>
    <row r="125">
      <c r="A125" s="21" t="inlineStr">
        <is>
          <t>Купить</t>
        </is>
      </c>
      <c r="B125" s="21" t="inlineStr">
        <is>
          <t>Квартира в новостройке</t>
        </is>
      </c>
      <c r="C125" s="21" t="inlineStr">
        <is>
          <t>Магаданская</t>
        </is>
      </c>
      <c r="D125" s="22" t="n">
        <v>0</v>
      </c>
    </row>
    <row r="126">
      <c r="A126" s="21" t="inlineStr">
        <is>
          <t>Купить</t>
        </is>
      </c>
      <c r="B126" s="21" t="inlineStr">
        <is>
          <t>Квартира в новостройке</t>
        </is>
      </c>
      <c r="C126" s="21" t="inlineStr">
        <is>
          <t>Марий Эл</t>
        </is>
      </c>
      <c r="D126" s="22" t="n">
        <v>554</v>
      </c>
    </row>
    <row r="127">
      <c r="A127" s="21" t="inlineStr">
        <is>
          <t>Купить</t>
        </is>
      </c>
      <c r="B127" s="21" t="inlineStr">
        <is>
          <t>Квартира в новостройке</t>
        </is>
      </c>
      <c r="C127" s="21" t="inlineStr">
        <is>
          <t>Мордовия</t>
        </is>
      </c>
      <c r="D127" s="22" t="n">
        <v>980</v>
      </c>
    </row>
    <row r="128">
      <c r="A128" s="21" t="inlineStr">
        <is>
          <t>Купить</t>
        </is>
      </c>
      <c r="B128" s="21" t="inlineStr">
        <is>
          <t>Квартира в новостройке</t>
        </is>
      </c>
      <c r="C128" s="21" t="inlineStr">
        <is>
          <t>Москва</t>
        </is>
      </c>
      <c r="D128" s="22" t="n">
        <v>48194</v>
      </c>
    </row>
    <row r="129">
      <c r="A129" s="21" t="inlineStr">
        <is>
          <t>Купить</t>
        </is>
      </c>
      <c r="B129" s="21" t="inlineStr">
        <is>
          <t>Квартира в новостройке</t>
        </is>
      </c>
      <c r="C129" s="21" t="inlineStr">
        <is>
          <t>Московская</t>
        </is>
      </c>
      <c r="D129" s="22" t="n">
        <v>32134</v>
      </c>
    </row>
    <row r="130">
      <c r="A130" s="21" t="inlineStr">
        <is>
          <t>Купить</t>
        </is>
      </c>
      <c r="B130" s="21" t="inlineStr">
        <is>
          <t>Квартира в новостройке</t>
        </is>
      </c>
      <c r="C130" s="21" t="inlineStr">
        <is>
          <t>Мурманская</t>
        </is>
      </c>
      <c r="D130" s="22" t="n">
        <v>257</v>
      </c>
    </row>
    <row r="131">
      <c r="A131" s="21" t="inlineStr">
        <is>
          <t>Купить</t>
        </is>
      </c>
      <c r="B131" s="21" t="inlineStr">
        <is>
          <t>Квартира в новостройке</t>
        </is>
      </c>
      <c r="C131" s="21" t="inlineStr">
        <is>
          <t>Ненецкий</t>
        </is>
      </c>
      <c r="D131" s="22" t="n">
        <v>0</v>
      </c>
    </row>
    <row r="132">
      <c r="A132" s="21" t="inlineStr">
        <is>
          <t>Купить</t>
        </is>
      </c>
      <c r="B132" s="21" t="inlineStr">
        <is>
          <t>Квартира в новостройке</t>
        </is>
      </c>
      <c r="C132" s="21" t="inlineStr">
        <is>
          <t>Нижегородская</t>
        </is>
      </c>
      <c r="D132" s="22" t="n">
        <v>0</v>
      </c>
    </row>
    <row r="133">
      <c r="A133" s="21" t="inlineStr">
        <is>
          <t>Купить</t>
        </is>
      </c>
      <c r="B133" s="21" t="inlineStr">
        <is>
          <t>Квартира в новостройке</t>
        </is>
      </c>
      <c r="C133" s="21" t="inlineStr">
        <is>
          <t>Новгородская</t>
        </is>
      </c>
      <c r="D133" s="22" t="n">
        <v>192</v>
      </c>
    </row>
    <row r="134">
      <c r="A134" s="21" t="inlineStr">
        <is>
          <t>Купить</t>
        </is>
      </c>
      <c r="B134" s="21" t="inlineStr">
        <is>
          <t>Квартира в новостройке</t>
        </is>
      </c>
      <c r="C134" s="21" t="inlineStr">
        <is>
          <t>Новосибирская</t>
        </is>
      </c>
      <c r="D134" s="22" t="n">
        <v>21327</v>
      </c>
    </row>
    <row r="135">
      <c r="A135" s="21" t="inlineStr">
        <is>
          <t>Купить</t>
        </is>
      </c>
      <c r="B135" s="21" t="inlineStr">
        <is>
          <t>Квартира в новостройке</t>
        </is>
      </c>
      <c r="C135" s="21" t="inlineStr">
        <is>
          <t>Омская</t>
        </is>
      </c>
      <c r="D135" s="22" t="n">
        <v>1131</v>
      </c>
    </row>
    <row r="136">
      <c r="A136" s="21" t="inlineStr">
        <is>
          <t>Купить</t>
        </is>
      </c>
      <c r="B136" s="21" t="inlineStr">
        <is>
          <t>Квартира в новостройке</t>
        </is>
      </c>
      <c r="C136" s="21" t="inlineStr">
        <is>
          <t>Оренбургская</t>
        </is>
      </c>
      <c r="D136" s="22" t="n">
        <v>1576</v>
      </c>
    </row>
    <row r="137">
      <c r="A137" s="21" t="inlineStr">
        <is>
          <t>Купить</t>
        </is>
      </c>
      <c r="B137" s="21" t="inlineStr">
        <is>
          <t>Квартира в новостройке</t>
        </is>
      </c>
      <c r="C137" s="21" t="inlineStr">
        <is>
          <t>Орловская</t>
        </is>
      </c>
      <c r="D137" s="22" t="n">
        <v>770</v>
      </c>
    </row>
    <row r="138">
      <c r="A138" s="21" t="inlineStr">
        <is>
          <t>Купить</t>
        </is>
      </c>
      <c r="B138" s="21" t="inlineStr">
        <is>
          <t>Квартира в новостройке</t>
        </is>
      </c>
      <c r="C138" s="21" t="inlineStr">
        <is>
          <t>Пензенская</t>
        </is>
      </c>
      <c r="D138" s="22" t="n">
        <v>11113</v>
      </c>
    </row>
    <row r="139">
      <c r="A139" s="21" t="inlineStr">
        <is>
          <t>Купить</t>
        </is>
      </c>
      <c r="B139" s="21" t="inlineStr">
        <is>
          <t>Квартира в новостройке</t>
        </is>
      </c>
      <c r="C139" s="21" t="inlineStr">
        <is>
          <t>Пермский</t>
        </is>
      </c>
      <c r="D139" s="22" t="n">
        <v>12338</v>
      </c>
    </row>
    <row r="140">
      <c r="A140" s="21" t="inlineStr">
        <is>
          <t>Купить</t>
        </is>
      </c>
      <c r="B140" s="21" t="inlineStr">
        <is>
          <t>Квартира в новостройке</t>
        </is>
      </c>
      <c r="C140" s="21" t="inlineStr">
        <is>
          <t>Приморский</t>
        </is>
      </c>
      <c r="D140" s="22" t="n">
        <v>12112</v>
      </c>
    </row>
    <row r="141">
      <c r="A141" s="21" t="inlineStr">
        <is>
          <t>Купить</t>
        </is>
      </c>
      <c r="B141" s="21" t="inlineStr">
        <is>
          <t>Квартира в новостройке</t>
        </is>
      </c>
      <c r="C141" s="21" t="inlineStr">
        <is>
          <t>Псковская</t>
        </is>
      </c>
      <c r="D141" s="22" t="n">
        <v>1910</v>
      </c>
    </row>
    <row r="142">
      <c r="A142" s="21" t="inlineStr">
        <is>
          <t>Купить</t>
        </is>
      </c>
      <c r="B142" s="21" t="inlineStr">
        <is>
          <t>Квартира в новостройке</t>
        </is>
      </c>
      <c r="C142" s="21" t="inlineStr">
        <is>
          <t>Ростовская</t>
        </is>
      </c>
      <c r="D142" s="22" t="n">
        <v>35511</v>
      </c>
    </row>
    <row r="143">
      <c r="A143" s="21" t="inlineStr">
        <is>
          <t>Купить</t>
        </is>
      </c>
      <c r="B143" s="21" t="inlineStr">
        <is>
          <t>Квартира в новостройке</t>
        </is>
      </c>
      <c r="C143" s="21" t="inlineStr">
        <is>
          <t>Рязанская</t>
        </is>
      </c>
      <c r="D143" s="22" t="n">
        <v>10312</v>
      </c>
    </row>
    <row r="144">
      <c r="A144" s="21" t="inlineStr">
        <is>
          <t>Купить</t>
        </is>
      </c>
      <c r="B144" s="21" t="inlineStr">
        <is>
          <t>Квартира в новостройке</t>
        </is>
      </c>
      <c r="C144" s="21" t="inlineStr">
        <is>
          <t>Самарская</t>
        </is>
      </c>
      <c r="D144" s="22" t="n">
        <v>3877</v>
      </c>
    </row>
    <row r="145">
      <c r="A145" s="21" t="inlineStr">
        <is>
          <t>Купить</t>
        </is>
      </c>
      <c r="B145" s="21" t="inlineStr">
        <is>
          <t>Квартира в новостройке</t>
        </is>
      </c>
      <c r="C145" s="21" t="inlineStr">
        <is>
          <t>Санкт-Петербург</t>
        </is>
      </c>
      <c r="D145" s="22" t="n">
        <v>26609</v>
      </c>
    </row>
    <row r="146">
      <c r="A146" s="21" t="inlineStr">
        <is>
          <t>Купить</t>
        </is>
      </c>
      <c r="B146" s="21" t="inlineStr">
        <is>
          <t>Квартира в новостройке</t>
        </is>
      </c>
      <c r="C146" s="21" t="inlineStr">
        <is>
          <t>Саратовская</t>
        </is>
      </c>
      <c r="D146" s="22" t="n">
        <v>786</v>
      </c>
    </row>
    <row r="147">
      <c r="A147" s="21" t="inlineStr">
        <is>
          <t>Купить</t>
        </is>
      </c>
      <c r="B147" s="21" t="inlineStr">
        <is>
          <t>Квартира в новостройке</t>
        </is>
      </c>
      <c r="C147" s="21" t="inlineStr">
        <is>
          <t>Саха (Якутия)</t>
        </is>
      </c>
      <c r="D147" s="22" t="n">
        <v>509</v>
      </c>
    </row>
    <row r="148">
      <c r="A148" s="21" t="inlineStr">
        <is>
          <t>Купить</t>
        </is>
      </c>
      <c r="B148" s="21" t="inlineStr">
        <is>
          <t>Квартира в новостройке</t>
        </is>
      </c>
      <c r="C148" s="21" t="inlineStr">
        <is>
          <t>Сахалинская</t>
        </is>
      </c>
      <c r="D148" s="22" t="n">
        <v>1296</v>
      </c>
    </row>
    <row r="149">
      <c r="A149" s="21" t="inlineStr">
        <is>
          <t>Купить</t>
        </is>
      </c>
      <c r="B149" s="21" t="inlineStr">
        <is>
          <t>Квартира в новостройке</t>
        </is>
      </c>
      <c r="C149" s="21" t="inlineStr">
        <is>
          <t>Свердловская</t>
        </is>
      </c>
      <c r="D149" s="22" t="n">
        <v>34084</v>
      </c>
    </row>
    <row r="150">
      <c r="A150" s="21" t="inlineStr">
        <is>
          <t>Купить</t>
        </is>
      </c>
      <c r="B150" s="21" t="inlineStr">
        <is>
          <t>Квартира в новостройке</t>
        </is>
      </c>
      <c r="C150" s="21" t="inlineStr">
        <is>
          <t>Севастополь</t>
        </is>
      </c>
      <c r="D150" s="22" t="n">
        <v>1442</v>
      </c>
    </row>
    <row r="151">
      <c r="A151" s="21" t="inlineStr">
        <is>
          <t>Купить</t>
        </is>
      </c>
      <c r="B151" s="21" t="inlineStr">
        <is>
          <t>Квартира в новостройке</t>
        </is>
      </c>
      <c r="C151" s="21" t="inlineStr">
        <is>
          <t>Северная Осетия - Алания</t>
        </is>
      </c>
      <c r="D151" s="22" t="n">
        <v>881</v>
      </c>
    </row>
    <row r="152">
      <c r="A152" s="21" t="inlineStr">
        <is>
          <t>Купить</t>
        </is>
      </c>
      <c r="B152" s="21" t="inlineStr">
        <is>
          <t>Квартира в новостройке</t>
        </is>
      </c>
      <c r="C152" s="21" t="inlineStr">
        <is>
          <t>Смоленская</t>
        </is>
      </c>
      <c r="D152" s="22" t="n">
        <v>1084</v>
      </c>
    </row>
    <row r="153">
      <c r="A153" s="21" t="inlineStr">
        <is>
          <t>Купить</t>
        </is>
      </c>
      <c r="B153" s="21" t="inlineStr">
        <is>
          <t>Квартира в новостройке</t>
        </is>
      </c>
      <c r="C153" s="21" t="inlineStr">
        <is>
          <t>Ставропольский</t>
        </is>
      </c>
      <c r="D153" s="22" t="n">
        <v>8777</v>
      </c>
    </row>
    <row r="154">
      <c r="A154" s="21" t="inlineStr">
        <is>
          <t>Купить</t>
        </is>
      </c>
      <c r="B154" s="21" t="inlineStr">
        <is>
          <t>Квартира в новостройке</t>
        </is>
      </c>
      <c r="C154" s="21" t="inlineStr">
        <is>
          <t>Тамбовская</t>
        </is>
      </c>
      <c r="D154" s="22" t="n">
        <v>1075</v>
      </c>
    </row>
    <row r="155">
      <c r="A155" s="21" t="inlineStr">
        <is>
          <t>Купить</t>
        </is>
      </c>
      <c r="B155" s="21" t="inlineStr">
        <is>
          <t>Квартира в новостройке</t>
        </is>
      </c>
      <c r="C155" s="21" t="inlineStr">
        <is>
          <t>Татарстан</t>
        </is>
      </c>
      <c r="D155" s="22" t="n">
        <v>16666</v>
      </c>
    </row>
    <row r="156">
      <c r="A156" s="21" t="inlineStr">
        <is>
          <t>Купить</t>
        </is>
      </c>
      <c r="B156" s="21" t="inlineStr">
        <is>
          <t>Квартира в новостройке</t>
        </is>
      </c>
      <c r="C156" s="21" t="inlineStr">
        <is>
          <t>Тверская</t>
        </is>
      </c>
      <c r="D156" s="22" t="n">
        <v>1041</v>
      </c>
    </row>
    <row r="157">
      <c r="A157" s="21" t="inlineStr">
        <is>
          <t>Купить</t>
        </is>
      </c>
      <c r="B157" s="21" t="inlineStr">
        <is>
          <t>Квартира в новостройке</t>
        </is>
      </c>
      <c r="C157" s="21" t="inlineStr">
        <is>
          <t>Томская</t>
        </is>
      </c>
      <c r="D157" s="22" t="n">
        <v>1051</v>
      </c>
    </row>
    <row r="158">
      <c r="A158" s="21" t="inlineStr">
        <is>
          <t>Купить</t>
        </is>
      </c>
      <c r="B158" s="21" t="inlineStr">
        <is>
          <t>Квартира в новостройке</t>
        </is>
      </c>
      <c r="C158" s="21" t="inlineStr">
        <is>
          <t>Тульская</t>
        </is>
      </c>
      <c r="D158" s="22" t="n">
        <v>10196</v>
      </c>
    </row>
    <row r="159">
      <c r="A159" s="21" t="inlineStr">
        <is>
          <t>Купить</t>
        </is>
      </c>
      <c r="B159" s="21" t="inlineStr">
        <is>
          <t>Квартира в новостройке</t>
        </is>
      </c>
      <c r="C159" s="21" t="inlineStr">
        <is>
          <t>Тыва</t>
        </is>
      </c>
      <c r="D159" s="22" t="n">
        <v>80</v>
      </c>
    </row>
    <row r="160">
      <c r="A160" s="21" t="inlineStr">
        <is>
          <t>Купить</t>
        </is>
      </c>
      <c r="B160" s="21" t="inlineStr">
        <is>
          <t>Квартира в новостройке</t>
        </is>
      </c>
      <c r="C160" s="21" t="inlineStr">
        <is>
          <t>Тюменская</t>
        </is>
      </c>
      <c r="D160" s="22" t="n">
        <v>27536</v>
      </c>
    </row>
    <row r="161">
      <c r="A161" s="21" t="inlineStr">
        <is>
          <t>Купить</t>
        </is>
      </c>
      <c r="B161" s="21" t="inlineStr">
        <is>
          <t>Квартира в новостройке</t>
        </is>
      </c>
      <c r="C161" s="21" t="inlineStr">
        <is>
          <t>Удмуртская</t>
        </is>
      </c>
      <c r="D161" s="22" t="n">
        <v>7780</v>
      </c>
    </row>
    <row r="162">
      <c r="A162" s="21" t="inlineStr">
        <is>
          <t>Купить</t>
        </is>
      </c>
      <c r="B162" s="21" t="inlineStr">
        <is>
          <t>Квартира в новостройке</t>
        </is>
      </c>
      <c r="C162" s="21" t="inlineStr">
        <is>
          <t>Ульяновская</t>
        </is>
      </c>
      <c r="D162" s="22" t="n">
        <v>1925</v>
      </c>
    </row>
    <row r="163">
      <c r="A163" s="21" t="inlineStr">
        <is>
          <t>Купить</t>
        </is>
      </c>
      <c r="B163" s="21" t="inlineStr">
        <is>
          <t>Квартира в новостройке</t>
        </is>
      </c>
      <c r="C163" s="21" t="inlineStr">
        <is>
          <t>Хабаровский</t>
        </is>
      </c>
      <c r="D163" s="22" t="n">
        <v>3805</v>
      </c>
    </row>
    <row r="164">
      <c r="A164" s="21" t="inlineStr">
        <is>
          <t>Купить</t>
        </is>
      </c>
      <c r="B164" s="21" t="inlineStr">
        <is>
          <t>Квартира в новостройке</t>
        </is>
      </c>
      <c r="C164" s="21" t="inlineStr">
        <is>
          <t>Хакасия</t>
        </is>
      </c>
      <c r="D164" s="22" t="n">
        <v>579</v>
      </c>
    </row>
    <row r="165">
      <c r="A165" s="21" t="inlineStr">
        <is>
          <t>Купить</t>
        </is>
      </c>
      <c r="B165" s="21" t="inlineStr">
        <is>
          <t>Квартира в новостройке</t>
        </is>
      </c>
      <c r="C165" s="21" t="inlineStr">
        <is>
          <t>Ханты-Мансийский</t>
        </is>
      </c>
      <c r="D165" s="22" t="n">
        <v>2497</v>
      </c>
    </row>
    <row r="166">
      <c r="A166" s="21" t="inlineStr">
        <is>
          <t>Купить</t>
        </is>
      </c>
      <c r="B166" s="21" t="inlineStr">
        <is>
          <t>Квартира в новостройке</t>
        </is>
      </c>
      <c r="C166" s="21" t="inlineStr">
        <is>
          <t>Челябинская</t>
        </is>
      </c>
      <c r="D166" s="22" t="n">
        <v>4697</v>
      </c>
    </row>
    <row r="167">
      <c r="A167" s="21" t="inlineStr">
        <is>
          <t>Купить</t>
        </is>
      </c>
      <c r="B167" s="21" t="inlineStr">
        <is>
          <t>Квартира в новостройке</t>
        </is>
      </c>
      <c r="C167" s="21" t="inlineStr">
        <is>
          <t>Чеченская</t>
        </is>
      </c>
      <c r="D167" s="22" t="n">
        <v>5</v>
      </c>
    </row>
    <row r="168">
      <c r="A168" s="21" t="inlineStr">
        <is>
          <t>Купить</t>
        </is>
      </c>
      <c r="B168" s="21" t="inlineStr">
        <is>
          <t>Квартира в новостройке</t>
        </is>
      </c>
      <c r="C168" s="21" t="inlineStr">
        <is>
          <t>Чувашская</t>
        </is>
      </c>
      <c r="D168" s="22" t="n">
        <v>1127</v>
      </c>
    </row>
    <row r="169">
      <c r="A169" s="21" t="inlineStr">
        <is>
          <t>Купить</t>
        </is>
      </c>
      <c r="B169" s="21" t="inlineStr">
        <is>
          <t>Квартира в новостройке</t>
        </is>
      </c>
      <c r="C169" s="21" t="inlineStr">
        <is>
          <t>Чукотский</t>
        </is>
      </c>
      <c r="D169" s="22" t="n">
        <v>0</v>
      </c>
    </row>
    <row r="170">
      <c r="A170" s="21" t="inlineStr">
        <is>
          <t>Купить</t>
        </is>
      </c>
      <c r="B170" s="21" t="inlineStr">
        <is>
          <t>Квартира в новостройке</t>
        </is>
      </c>
      <c r="C170" s="21" t="inlineStr">
        <is>
          <t>Ямало-Ненецкий</t>
        </is>
      </c>
      <c r="D170" s="22" t="n">
        <v>647</v>
      </c>
    </row>
    <row r="171">
      <c r="A171" s="21" t="inlineStr">
        <is>
          <t>Купить</t>
        </is>
      </c>
      <c r="B171" s="21" t="inlineStr">
        <is>
          <t>Квартира в новостройке</t>
        </is>
      </c>
      <c r="C171" s="21" t="inlineStr">
        <is>
          <t>Ярославская</t>
        </is>
      </c>
      <c r="D171" s="22" t="n">
        <v>2186</v>
      </c>
    </row>
    <row r="172">
      <c r="A172" s="27" t="inlineStr">
        <is>
          <t>Купить</t>
        </is>
      </c>
      <c r="B172" s="17" t="inlineStr">
        <is>
          <t>Квартира во вторичке</t>
        </is>
      </c>
      <c r="C172" s="28" t="inlineStr">
        <is>
          <t>Адыгея</t>
        </is>
      </c>
      <c r="D172" s="19" t="n">
        <v>1918</v>
      </c>
    </row>
    <row r="173">
      <c r="A173" s="21" t="inlineStr">
        <is>
          <t>Купить</t>
        </is>
      </c>
      <c r="B173" s="21" t="inlineStr">
        <is>
          <t>Квартира во вторичке</t>
        </is>
      </c>
      <c r="C173" s="21" t="inlineStr">
        <is>
          <t>Алтай</t>
        </is>
      </c>
      <c r="D173" s="22" t="n">
        <v>513</v>
      </c>
    </row>
    <row r="174">
      <c r="A174" s="21" t="inlineStr">
        <is>
          <t>Купить</t>
        </is>
      </c>
      <c r="B174" s="21" t="inlineStr">
        <is>
          <t>Квартира во вторичке</t>
        </is>
      </c>
      <c r="C174" s="21" t="inlineStr">
        <is>
          <t>Алтайский</t>
        </is>
      </c>
      <c r="D174" s="22" t="n">
        <v>2580</v>
      </c>
    </row>
    <row r="175">
      <c r="A175" s="21" t="inlineStr">
        <is>
          <t>Купить</t>
        </is>
      </c>
      <c r="B175" s="21" t="inlineStr">
        <is>
          <t>Квартира во вторичке</t>
        </is>
      </c>
      <c r="C175" s="21" t="inlineStr">
        <is>
          <t>Амурская</t>
        </is>
      </c>
      <c r="D175" s="22" t="n">
        <v>1697</v>
      </c>
    </row>
    <row r="176">
      <c r="A176" s="21" t="inlineStr">
        <is>
          <t>Купить</t>
        </is>
      </c>
      <c r="B176" s="21" t="inlineStr">
        <is>
          <t>Квартира во вторичке</t>
        </is>
      </c>
      <c r="C176" s="21" t="inlineStr">
        <is>
          <t>Архангельская</t>
        </is>
      </c>
      <c r="D176" s="22" t="n">
        <v>1661</v>
      </c>
    </row>
    <row r="177">
      <c r="A177" s="21" t="inlineStr">
        <is>
          <t>Купить</t>
        </is>
      </c>
      <c r="B177" s="21" t="inlineStr">
        <is>
          <t>Квартира во вторичке</t>
        </is>
      </c>
      <c r="C177" s="21" t="inlineStr">
        <is>
          <t>Астраханская</t>
        </is>
      </c>
      <c r="D177" s="22" t="n">
        <v>1301</v>
      </c>
    </row>
    <row r="178">
      <c r="A178" s="21" t="inlineStr">
        <is>
          <t>Купить</t>
        </is>
      </c>
      <c r="B178" s="21" t="inlineStr">
        <is>
          <t>Квартира во вторичке</t>
        </is>
      </c>
      <c r="C178" s="21" t="inlineStr">
        <is>
          <t>Башкортостан</t>
        </is>
      </c>
      <c r="D178" s="22" t="n">
        <v>5911</v>
      </c>
    </row>
    <row r="179">
      <c r="A179" s="21" t="inlineStr">
        <is>
          <t>Купить</t>
        </is>
      </c>
      <c r="B179" s="21" t="inlineStr">
        <is>
          <t>Квартира во вторичке</t>
        </is>
      </c>
      <c r="C179" s="21" t="inlineStr">
        <is>
          <t>Белгородская</t>
        </is>
      </c>
      <c r="D179" s="22" t="n">
        <v>5049</v>
      </c>
    </row>
    <row r="180">
      <c r="A180" s="21" t="inlineStr">
        <is>
          <t>Купить</t>
        </is>
      </c>
      <c r="B180" s="21" t="inlineStr">
        <is>
          <t>Квартира во вторичке</t>
        </is>
      </c>
      <c r="C180" s="21" t="inlineStr">
        <is>
          <t>Брянская</t>
        </is>
      </c>
      <c r="D180" s="22" t="n">
        <v>1542</v>
      </c>
    </row>
    <row r="181">
      <c r="A181" s="21" t="inlineStr">
        <is>
          <t>Купить</t>
        </is>
      </c>
      <c r="B181" s="21" t="inlineStr">
        <is>
          <t>Квартира во вторичке</t>
        </is>
      </c>
      <c r="C181" s="21" t="inlineStr">
        <is>
          <t>Бурятия</t>
        </is>
      </c>
      <c r="D181" s="22" t="n">
        <v>1931</v>
      </c>
    </row>
    <row r="182">
      <c r="A182" s="21" t="inlineStr">
        <is>
          <t>Купить</t>
        </is>
      </c>
      <c r="B182" s="21" t="inlineStr">
        <is>
          <t>Квартира во вторичке</t>
        </is>
      </c>
      <c r="C182" s="21" t="inlineStr">
        <is>
          <t>Владимирская</t>
        </is>
      </c>
      <c r="D182" s="22" t="n">
        <v>4712</v>
      </c>
    </row>
    <row r="183">
      <c r="A183" s="21" t="inlineStr">
        <is>
          <t>Купить</t>
        </is>
      </c>
      <c r="B183" s="21" t="inlineStr">
        <is>
          <t>Квартира во вторичке</t>
        </is>
      </c>
      <c r="C183" s="21" t="inlineStr">
        <is>
          <t>Волгоградская</t>
        </is>
      </c>
      <c r="D183" s="22" t="n">
        <v>4834</v>
      </c>
    </row>
    <row r="184">
      <c r="A184" s="21" t="inlineStr">
        <is>
          <t>Купить</t>
        </is>
      </c>
      <c r="B184" s="21" t="inlineStr">
        <is>
          <t>Квартира во вторичке</t>
        </is>
      </c>
      <c r="C184" s="21" t="inlineStr">
        <is>
          <t>Вологодская</t>
        </is>
      </c>
      <c r="D184" s="22" t="n">
        <v>2181</v>
      </c>
    </row>
    <row r="185">
      <c r="A185" s="21" t="inlineStr">
        <is>
          <t>Купить</t>
        </is>
      </c>
      <c r="B185" s="21" t="inlineStr">
        <is>
          <t>Квартира во вторичке</t>
        </is>
      </c>
      <c r="C185" s="21" t="inlineStr">
        <is>
          <t>Воронежская</t>
        </is>
      </c>
      <c r="D185" s="22" t="n">
        <v>5287</v>
      </c>
    </row>
    <row r="186">
      <c r="A186" s="21" t="inlineStr">
        <is>
          <t>Купить</t>
        </is>
      </c>
      <c r="B186" s="21" t="inlineStr">
        <is>
          <t>Квартира во вторичке</t>
        </is>
      </c>
      <c r="C186" s="21" t="inlineStr">
        <is>
          <t>Дагестан</t>
        </is>
      </c>
      <c r="D186" s="22" t="n">
        <v>2899</v>
      </c>
    </row>
    <row r="187">
      <c r="A187" s="21" t="inlineStr">
        <is>
          <t>Купить</t>
        </is>
      </c>
      <c r="B187" s="21" t="inlineStr">
        <is>
          <t>Квартира во вторичке</t>
        </is>
      </c>
      <c r="C187" s="21" t="inlineStr">
        <is>
          <t>Еврейская</t>
        </is>
      </c>
      <c r="D187" s="22" t="n">
        <v>63</v>
      </c>
    </row>
    <row r="188">
      <c r="A188" s="21" t="inlineStr">
        <is>
          <t>Купить</t>
        </is>
      </c>
      <c r="B188" s="21" t="inlineStr">
        <is>
          <t>Квартира во вторичке</t>
        </is>
      </c>
      <c r="C188" s="21" t="inlineStr">
        <is>
          <t>Забайкальский</t>
        </is>
      </c>
      <c r="D188" s="22" t="n">
        <v>1703</v>
      </c>
    </row>
    <row r="189">
      <c r="A189" s="21" t="inlineStr">
        <is>
          <t>Купить</t>
        </is>
      </c>
      <c r="B189" s="21" t="inlineStr">
        <is>
          <t>Квартира во вторичке</t>
        </is>
      </c>
      <c r="C189" s="21" t="inlineStr">
        <is>
          <t>Ивановская</t>
        </is>
      </c>
      <c r="D189" s="22" t="n">
        <v>1763</v>
      </c>
    </row>
    <row r="190">
      <c r="A190" s="21" t="inlineStr">
        <is>
          <t>Купить</t>
        </is>
      </c>
      <c r="B190" s="21" t="inlineStr">
        <is>
          <t>Квартира во вторичке</t>
        </is>
      </c>
      <c r="C190" s="21" t="inlineStr">
        <is>
          <t>Ингушетия</t>
        </is>
      </c>
      <c r="D190" s="22" t="n">
        <v>200</v>
      </c>
    </row>
    <row r="191">
      <c r="A191" s="21" t="inlineStr">
        <is>
          <t>Купить</t>
        </is>
      </c>
      <c r="B191" s="21" t="inlineStr">
        <is>
          <t>Квартира во вторичке</t>
        </is>
      </c>
      <c r="C191" s="21" t="inlineStr">
        <is>
          <t>Иркутская</t>
        </is>
      </c>
      <c r="D191" s="22" t="n">
        <v>3816</v>
      </c>
    </row>
    <row r="192">
      <c r="A192" s="21" t="inlineStr">
        <is>
          <t>Купить</t>
        </is>
      </c>
      <c r="B192" s="21" t="inlineStr">
        <is>
          <t>Квартира во вторичке</t>
        </is>
      </c>
      <c r="C192" s="21" t="inlineStr">
        <is>
          <t>Кабардино-Балкарская</t>
        </is>
      </c>
      <c r="D192" s="22" t="n">
        <v>1779</v>
      </c>
    </row>
    <row r="193">
      <c r="A193" s="21" t="inlineStr">
        <is>
          <t>Купить</t>
        </is>
      </c>
      <c r="B193" s="21" t="inlineStr">
        <is>
          <t>Квартира во вторичке</t>
        </is>
      </c>
      <c r="C193" s="21" t="inlineStr">
        <is>
          <t>Калининградская</t>
        </is>
      </c>
      <c r="D193" s="22" t="n">
        <v>8138</v>
      </c>
    </row>
    <row r="194">
      <c r="A194" s="21" t="inlineStr">
        <is>
          <t>Купить</t>
        </is>
      </c>
      <c r="B194" s="21" t="inlineStr">
        <is>
          <t>Квартира во вторичке</t>
        </is>
      </c>
      <c r="C194" s="21" t="inlineStr">
        <is>
          <t>Калмыкия</t>
        </is>
      </c>
      <c r="D194" s="22" t="n">
        <v>580</v>
      </c>
    </row>
    <row r="195">
      <c r="A195" s="21" t="inlineStr">
        <is>
          <t>Купить</t>
        </is>
      </c>
      <c r="B195" s="21" t="inlineStr">
        <is>
          <t>Квартира во вторичке</t>
        </is>
      </c>
      <c r="C195" s="21" t="inlineStr">
        <is>
          <t>Калужская</t>
        </is>
      </c>
      <c r="D195" s="22" t="n">
        <v>2800</v>
      </c>
    </row>
    <row r="196">
      <c r="A196" s="21" t="inlineStr">
        <is>
          <t>Купить</t>
        </is>
      </c>
      <c r="B196" s="21" t="inlineStr">
        <is>
          <t>Квартира во вторичке</t>
        </is>
      </c>
      <c r="C196" s="21" t="inlineStr">
        <is>
          <t>Камчатский</t>
        </is>
      </c>
      <c r="D196" s="22" t="n">
        <v>672</v>
      </c>
    </row>
    <row r="197">
      <c r="A197" s="21" t="inlineStr">
        <is>
          <t>Купить</t>
        </is>
      </c>
      <c r="B197" s="21" t="inlineStr">
        <is>
          <t>Квартира во вторичке</t>
        </is>
      </c>
      <c r="C197" s="21" t="inlineStr">
        <is>
          <t>Карачаево-Черкесская</t>
        </is>
      </c>
      <c r="D197" s="22" t="n">
        <v>441</v>
      </c>
    </row>
    <row r="198">
      <c r="A198" s="21" t="inlineStr">
        <is>
          <t>Купить</t>
        </is>
      </c>
      <c r="B198" s="21" t="inlineStr">
        <is>
          <t>Квартира во вторичке</t>
        </is>
      </c>
      <c r="C198" s="21" t="inlineStr">
        <is>
          <t>Карелия</t>
        </is>
      </c>
      <c r="D198" s="22" t="n">
        <v>518</v>
      </c>
    </row>
    <row r="199">
      <c r="A199" s="21" t="inlineStr">
        <is>
          <t>Купить</t>
        </is>
      </c>
      <c r="B199" s="21" t="inlineStr">
        <is>
          <t>Квартира во вторичке</t>
        </is>
      </c>
      <c r="C199" s="21" t="inlineStr">
        <is>
          <t>Кемеровская</t>
        </is>
      </c>
      <c r="D199" s="22" t="n">
        <v>7639</v>
      </c>
    </row>
    <row r="200">
      <c r="A200" s="21" t="inlineStr">
        <is>
          <t>Купить</t>
        </is>
      </c>
      <c r="B200" s="21" t="inlineStr">
        <is>
          <t>Квартира во вторичке</t>
        </is>
      </c>
      <c r="C200" s="21" t="inlineStr">
        <is>
          <t>Кировская</t>
        </is>
      </c>
      <c r="D200" s="22" t="n">
        <v>921</v>
      </c>
    </row>
    <row r="201">
      <c r="A201" s="21" t="inlineStr">
        <is>
          <t>Купить</t>
        </is>
      </c>
      <c r="B201" s="21" t="inlineStr">
        <is>
          <t>Квартира во вторичке</t>
        </is>
      </c>
      <c r="C201" s="21" t="inlineStr">
        <is>
          <t>Коми</t>
        </is>
      </c>
      <c r="D201" s="22" t="n">
        <v>1663</v>
      </c>
    </row>
    <row r="202">
      <c r="A202" s="21" t="inlineStr">
        <is>
          <t>Купить</t>
        </is>
      </c>
      <c r="B202" s="21" t="inlineStr">
        <is>
          <t>Квартира во вторичке</t>
        </is>
      </c>
      <c r="C202" s="21" t="inlineStr">
        <is>
          <t>Костромская</t>
        </is>
      </c>
      <c r="D202" s="22" t="n">
        <v>1747</v>
      </c>
    </row>
    <row r="203">
      <c r="A203" s="21" t="inlineStr">
        <is>
          <t>Купить</t>
        </is>
      </c>
      <c r="B203" s="21" t="inlineStr">
        <is>
          <t>Квартира во вторичке</t>
        </is>
      </c>
      <c r="C203" s="21" t="inlineStr">
        <is>
          <t>Краснодарский</t>
        </is>
      </c>
      <c r="D203" s="22" t="n">
        <v>50370</v>
      </c>
    </row>
    <row r="204">
      <c r="A204" s="21" t="inlineStr">
        <is>
          <t>Купить</t>
        </is>
      </c>
      <c r="B204" s="21" t="inlineStr">
        <is>
          <t>Квартира во вторичке</t>
        </is>
      </c>
      <c r="C204" s="21" t="inlineStr">
        <is>
          <t>Красноярский</t>
        </is>
      </c>
      <c r="D204" s="22" t="n">
        <v>7499</v>
      </c>
    </row>
    <row r="205">
      <c r="A205" s="21" t="inlineStr">
        <is>
          <t>Купить</t>
        </is>
      </c>
      <c r="B205" s="21" t="inlineStr">
        <is>
          <t>Квартира во вторичке</t>
        </is>
      </c>
      <c r="C205" s="21" t="inlineStr">
        <is>
          <t>Крым</t>
        </is>
      </c>
      <c r="D205" s="22" t="n">
        <v>10250</v>
      </c>
    </row>
    <row r="206">
      <c r="A206" s="21" t="inlineStr">
        <is>
          <t>Купить</t>
        </is>
      </c>
      <c r="B206" s="21" t="inlineStr">
        <is>
          <t>Квартира во вторичке</t>
        </is>
      </c>
      <c r="C206" s="21" t="inlineStr">
        <is>
          <t>Курганская</t>
        </is>
      </c>
      <c r="D206" s="22" t="n">
        <v>1627</v>
      </c>
    </row>
    <row r="207">
      <c r="A207" s="21" t="inlineStr">
        <is>
          <t>Купить</t>
        </is>
      </c>
      <c r="B207" s="21" t="inlineStr">
        <is>
          <t>Квартира во вторичке</t>
        </is>
      </c>
      <c r="C207" s="21" t="inlineStr">
        <is>
          <t>Курская</t>
        </is>
      </c>
      <c r="D207" s="22" t="n">
        <v>1045</v>
      </c>
    </row>
    <row r="208">
      <c r="A208" s="21" t="inlineStr">
        <is>
          <t>Купить</t>
        </is>
      </c>
      <c r="B208" s="21" t="inlineStr">
        <is>
          <t>Квартира во вторичке</t>
        </is>
      </c>
      <c r="C208" s="21" t="inlineStr">
        <is>
          <t>Ленинградская</t>
        </is>
      </c>
      <c r="D208" s="22" t="n">
        <v>5203</v>
      </c>
    </row>
    <row r="209">
      <c r="A209" s="21" t="inlineStr">
        <is>
          <t>Купить</t>
        </is>
      </c>
      <c r="B209" s="21" t="inlineStr">
        <is>
          <t>Квартира во вторичке</t>
        </is>
      </c>
      <c r="C209" s="21" t="inlineStr">
        <is>
          <t>Липецкая</t>
        </is>
      </c>
      <c r="D209" s="22" t="n">
        <v>1773</v>
      </c>
    </row>
    <row r="210">
      <c r="A210" s="21" t="inlineStr">
        <is>
          <t>Купить</t>
        </is>
      </c>
      <c r="B210" s="21" t="inlineStr">
        <is>
          <t>Квартира во вторичке</t>
        </is>
      </c>
      <c r="C210" s="21" t="inlineStr">
        <is>
          <t>Магаданская</t>
        </is>
      </c>
      <c r="D210" s="22" t="n">
        <v>278</v>
      </c>
    </row>
    <row r="211">
      <c r="A211" s="21" t="inlineStr">
        <is>
          <t>Купить</t>
        </is>
      </c>
      <c r="B211" s="21" t="inlineStr">
        <is>
          <t>Квартира во вторичке</t>
        </is>
      </c>
      <c r="C211" s="21" t="inlineStr">
        <is>
          <t>Марий Эл</t>
        </is>
      </c>
      <c r="D211" s="22" t="n">
        <v>1073</v>
      </c>
    </row>
    <row r="212">
      <c r="A212" s="21" t="inlineStr">
        <is>
          <t>Купить</t>
        </is>
      </c>
      <c r="B212" s="21" t="inlineStr">
        <is>
          <t>Квартира во вторичке</t>
        </is>
      </c>
      <c r="C212" s="21" t="inlineStr">
        <is>
          <t>Мордовия</t>
        </is>
      </c>
      <c r="D212" s="22" t="n">
        <v>990</v>
      </c>
    </row>
    <row r="213">
      <c r="A213" s="21" t="inlineStr">
        <is>
          <t>Купить</t>
        </is>
      </c>
      <c r="B213" s="21" t="inlineStr">
        <is>
          <t>Квартира во вторичке</t>
        </is>
      </c>
      <c r="C213" s="21" t="inlineStr">
        <is>
          <t>Москва</t>
        </is>
      </c>
      <c r="D213" s="22" t="n">
        <v>20408</v>
      </c>
    </row>
    <row r="214">
      <c r="A214" s="21" t="inlineStr">
        <is>
          <t>Купить</t>
        </is>
      </c>
      <c r="B214" s="21" t="inlineStr">
        <is>
          <t>Квартира во вторичке</t>
        </is>
      </c>
      <c r="C214" s="21" t="inlineStr">
        <is>
          <t>Московская</t>
        </is>
      </c>
      <c r="D214" s="22" t="n">
        <v>16975</v>
      </c>
    </row>
    <row r="215">
      <c r="A215" s="21" t="inlineStr">
        <is>
          <t>Купить</t>
        </is>
      </c>
      <c r="B215" s="21" t="inlineStr">
        <is>
          <t>Квартира во вторичке</t>
        </is>
      </c>
      <c r="C215" s="21" t="inlineStr">
        <is>
          <t>Мурманская</t>
        </is>
      </c>
      <c r="D215" s="22" t="n">
        <v>678</v>
      </c>
    </row>
    <row r="216">
      <c r="A216" s="21" t="inlineStr">
        <is>
          <t>Купить</t>
        </is>
      </c>
      <c r="B216" s="21" t="inlineStr">
        <is>
          <t>Квартира во вторичке</t>
        </is>
      </c>
      <c r="C216" s="21" t="inlineStr">
        <is>
          <t>Ненецкий</t>
        </is>
      </c>
      <c r="D216" s="22" t="n">
        <v>0</v>
      </c>
    </row>
    <row r="217">
      <c r="A217" s="21" t="inlineStr">
        <is>
          <t>Купить</t>
        </is>
      </c>
      <c r="B217" s="21" t="inlineStr">
        <is>
          <t>Квартира во вторичке</t>
        </is>
      </c>
      <c r="C217" s="21" t="inlineStr">
        <is>
          <t>Нижегородская</t>
        </is>
      </c>
      <c r="D217" s="22" t="n">
        <v>0</v>
      </c>
    </row>
    <row r="218">
      <c r="A218" s="21" t="inlineStr">
        <is>
          <t>Купить</t>
        </is>
      </c>
      <c r="B218" s="21" t="inlineStr">
        <is>
          <t>Квартира во вторичке</t>
        </is>
      </c>
      <c r="C218" s="21" t="inlineStr">
        <is>
          <t>Новгородская</t>
        </is>
      </c>
      <c r="D218" s="22" t="n">
        <v>536</v>
      </c>
    </row>
    <row r="219">
      <c r="A219" s="21" t="inlineStr">
        <is>
          <t>Купить</t>
        </is>
      </c>
      <c r="B219" s="21" t="inlineStr">
        <is>
          <t>Квартира во вторичке</t>
        </is>
      </c>
      <c r="C219" s="21" t="inlineStr">
        <is>
          <t>Новосибирская</t>
        </is>
      </c>
      <c r="D219" s="22" t="n">
        <v>11975</v>
      </c>
    </row>
    <row r="220">
      <c r="A220" s="21" t="inlineStr">
        <is>
          <t>Купить</t>
        </is>
      </c>
      <c r="B220" s="21" t="inlineStr">
        <is>
          <t>Квартира во вторичке</t>
        </is>
      </c>
      <c r="C220" s="21" t="inlineStr">
        <is>
          <t>Омская</t>
        </is>
      </c>
      <c r="D220" s="22" t="n">
        <v>4128</v>
      </c>
    </row>
    <row r="221">
      <c r="A221" s="21" t="inlineStr">
        <is>
          <t>Купить</t>
        </is>
      </c>
      <c r="B221" s="21" t="inlineStr">
        <is>
          <t>Квартира во вторичке</t>
        </is>
      </c>
      <c r="C221" s="21" t="inlineStr">
        <is>
          <t>Оренбургская</t>
        </is>
      </c>
      <c r="D221" s="22" t="n">
        <v>4880</v>
      </c>
    </row>
    <row r="222">
      <c r="A222" s="21" t="inlineStr">
        <is>
          <t>Купить</t>
        </is>
      </c>
      <c r="B222" s="21" t="inlineStr">
        <is>
          <t>Квартира во вторичке</t>
        </is>
      </c>
      <c r="C222" s="21" t="inlineStr">
        <is>
          <t>Орловская</t>
        </is>
      </c>
      <c r="D222" s="22" t="n">
        <v>1079</v>
      </c>
    </row>
    <row r="223">
      <c r="A223" s="21" t="inlineStr">
        <is>
          <t>Купить</t>
        </is>
      </c>
      <c r="B223" s="21" t="inlineStr">
        <is>
          <t>Квартира во вторичке</t>
        </is>
      </c>
      <c r="C223" s="21" t="inlineStr">
        <is>
          <t>Пензенская</t>
        </is>
      </c>
      <c r="D223" s="22" t="n">
        <v>2101</v>
      </c>
    </row>
    <row r="224">
      <c r="A224" s="21" t="inlineStr">
        <is>
          <t>Купить</t>
        </is>
      </c>
      <c r="B224" s="21" t="inlineStr">
        <is>
          <t>Квартира во вторичке</t>
        </is>
      </c>
      <c r="C224" s="21" t="inlineStr">
        <is>
          <t>Пермский</t>
        </is>
      </c>
      <c r="D224" s="22" t="n">
        <v>3474</v>
      </c>
    </row>
    <row r="225">
      <c r="A225" s="21" t="inlineStr">
        <is>
          <t>Купить</t>
        </is>
      </c>
      <c r="B225" s="21" t="inlineStr">
        <is>
          <t>Квартира во вторичке</t>
        </is>
      </c>
      <c r="C225" s="21" t="inlineStr">
        <is>
          <t>Приморский</t>
        </is>
      </c>
      <c r="D225" s="22" t="n">
        <v>1216</v>
      </c>
    </row>
    <row r="226">
      <c r="A226" s="21" t="inlineStr">
        <is>
          <t>Купить</t>
        </is>
      </c>
      <c r="B226" s="21" t="inlineStr">
        <is>
          <t>Квартира во вторичке</t>
        </is>
      </c>
      <c r="C226" s="21" t="inlineStr">
        <is>
          <t>Псковская</t>
        </is>
      </c>
      <c r="D226" s="22" t="n">
        <v>474</v>
      </c>
    </row>
    <row r="227">
      <c r="A227" s="21" t="inlineStr">
        <is>
          <t>Купить</t>
        </is>
      </c>
      <c r="B227" s="21" t="inlineStr">
        <is>
          <t>Квартира во вторичке</t>
        </is>
      </c>
      <c r="C227" s="21" t="inlineStr">
        <is>
          <t>Ростовская</t>
        </is>
      </c>
      <c r="D227" s="22" t="n">
        <v>17420</v>
      </c>
    </row>
    <row r="228">
      <c r="A228" s="21" t="inlineStr">
        <is>
          <t>Купить</t>
        </is>
      </c>
      <c r="B228" s="21" t="inlineStr">
        <is>
          <t>Квартира во вторичке</t>
        </is>
      </c>
      <c r="C228" s="21" t="inlineStr">
        <is>
          <t>Рязанская</t>
        </is>
      </c>
      <c r="D228" s="22" t="n">
        <v>1954</v>
      </c>
    </row>
    <row r="229">
      <c r="A229" s="21" t="inlineStr">
        <is>
          <t>Купить</t>
        </is>
      </c>
      <c r="B229" s="21" t="inlineStr">
        <is>
          <t>Квартира во вторичке</t>
        </is>
      </c>
      <c r="C229" s="21" t="inlineStr">
        <is>
          <t>Самарская</t>
        </is>
      </c>
      <c r="D229" s="22" t="n">
        <v>3692</v>
      </c>
    </row>
    <row r="230">
      <c r="A230" s="21" t="inlineStr">
        <is>
          <t>Купить</t>
        </is>
      </c>
      <c r="B230" s="21" t="inlineStr">
        <is>
          <t>Квартира во вторичке</t>
        </is>
      </c>
      <c r="C230" s="21" t="inlineStr">
        <is>
          <t>Санкт-Петербург</t>
        </is>
      </c>
      <c r="D230" s="22" t="n">
        <v>12863</v>
      </c>
    </row>
    <row r="231">
      <c r="A231" s="21" t="inlineStr">
        <is>
          <t>Купить</t>
        </is>
      </c>
      <c r="B231" s="21" t="inlineStr">
        <is>
          <t>Квартира во вторичке</t>
        </is>
      </c>
      <c r="C231" s="21" t="inlineStr">
        <is>
          <t>Саратовская</t>
        </is>
      </c>
      <c r="D231" s="22" t="n">
        <v>5740</v>
      </c>
    </row>
    <row r="232">
      <c r="A232" s="21" t="inlineStr">
        <is>
          <t>Купить</t>
        </is>
      </c>
      <c r="B232" s="21" t="inlineStr">
        <is>
          <t>Квартира во вторичке</t>
        </is>
      </c>
      <c r="C232" s="21" t="inlineStr">
        <is>
          <t>Саха (Якутия)</t>
        </is>
      </c>
      <c r="D232" s="22" t="n">
        <v>2116</v>
      </c>
    </row>
    <row r="233">
      <c r="A233" s="21" t="inlineStr">
        <is>
          <t>Купить</t>
        </is>
      </c>
      <c r="B233" s="21" t="inlineStr">
        <is>
          <t>Квартира во вторичке</t>
        </is>
      </c>
      <c r="C233" s="21" t="inlineStr">
        <is>
          <t>Сахалинская</t>
        </is>
      </c>
      <c r="D233" s="22" t="n">
        <v>1582</v>
      </c>
    </row>
    <row r="234">
      <c r="A234" s="21" t="inlineStr">
        <is>
          <t>Купить</t>
        </is>
      </c>
      <c r="B234" s="21" t="inlineStr">
        <is>
          <t>Квартира во вторичке</t>
        </is>
      </c>
      <c r="C234" s="21" t="inlineStr">
        <is>
          <t>Свердловская</t>
        </is>
      </c>
      <c r="D234" s="22" t="n">
        <v>9179</v>
      </c>
    </row>
    <row r="235">
      <c r="A235" s="21" t="inlineStr">
        <is>
          <t>Купить</t>
        </is>
      </c>
      <c r="B235" s="21" t="inlineStr">
        <is>
          <t>Квартира во вторичке</t>
        </is>
      </c>
      <c r="C235" s="21" t="inlineStr">
        <is>
          <t>Севастополь</t>
        </is>
      </c>
      <c r="D235" s="22" t="n">
        <v>3009</v>
      </c>
    </row>
    <row r="236">
      <c r="A236" s="21" t="inlineStr">
        <is>
          <t>Купить</t>
        </is>
      </c>
      <c r="B236" s="21" t="inlineStr">
        <is>
          <t>Квартира во вторичке</t>
        </is>
      </c>
      <c r="C236" s="21" t="inlineStr">
        <is>
          <t>Северная Осетия - Алания</t>
        </is>
      </c>
      <c r="D236" s="22" t="n">
        <v>1950</v>
      </c>
    </row>
    <row r="237">
      <c r="A237" s="21" t="inlineStr">
        <is>
          <t>Купить</t>
        </is>
      </c>
      <c r="B237" s="21" t="inlineStr">
        <is>
          <t>Квартира во вторичке</t>
        </is>
      </c>
      <c r="C237" s="21" t="inlineStr">
        <is>
          <t>Смоленская</t>
        </is>
      </c>
      <c r="D237" s="22" t="n">
        <v>2382</v>
      </c>
    </row>
    <row r="238">
      <c r="A238" s="21" t="inlineStr">
        <is>
          <t>Купить</t>
        </is>
      </c>
      <c r="B238" s="21" t="inlineStr">
        <is>
          <t>Квартира во вторичке</t>
        </is>
      </c>
      <c r="C238" s="21" t="inlineStr">
        <is>
          <t>Ставропольский</t>
        </is>
      </c>
      <c r="D238" s="22" t="n">
        <v>15344</v>
      </c>
    </row>
    <row r="239">
      <c r="A239" s="21" t="inlineStr">
        <is>
          <t>Купить</t>
        </is>
      </c>
      <c r="B239" s="21" t="inlineStr">
        <is>
          <t>Квартира во вторичке</t>
        </is>
      </c>
      <c r="C239" s="21" t="inlineStr">
        <is>
          <t>Тамбовская</t>
        </is>
      </c>
      <c r="D239" s="22" t="n">
        <v>1464</v>
      </c>
    </row>
    <row r="240">
      <c r="A240" s="21" t="inlineStr">
        <is>
          <t>Купить</t>
        </is>
      </c>
      <c r="B240" s="21" t="inlineStr">
        <is>
          <t>Квартира во вторичке</t>
        </is>
      </c>
      <c r="C240" s="21" t="inlineStr">
        <is>
          <t>Татарстан</t>
        </is>
      </c>
      <c r="D240" s="22" t="n">
        <v>4637</v>
      </c>
    </row>
    <row r="241">
      <c r="A241" s="21" t="inlineStr">
        <is>
          <t>Купить</t>
        </is>
      </c>
      <c r="B241" s="21" t="inlineStr">
        <is>
          <t>Квартира во вторичке</t>
        </is>
      </c>
      <c r="C241" s="21" t="inlineStr">
        <is>
          <t>Тверская</t>
        </is>
      </c>
      <c r="D241" s="22" t="n">
        <v>1658</v>
      </c>
    </row>
    <row r="242">
      <c r="A242" s="21" t="inlineStr">
        <is>
          <t>Купить</t>
        </is>
      </c>
      <c r="B242" s="21" t="inlineStr">
        <is>
          <t>Квартира во вторичке</t>
        </is>
      </c>
      <c r="C242" s="21" t="inlineStr">
        <is>
          <t>Томская</t>
        </is>
      </c>
      <c r="D242" s="22" t="n">
        <v>3180</v>
      </c>
    </row>
    <row r="243">
      <c r="A243" s="21" t="inlineStr">
        <is>
          <t>Купить</t>
        </is>
      </c>
      <c r="B243" s="21" t="inlineStr">
        <is>
          <t>Квартира во вторичке</t>
        </is>
      </c>
      <c r="C243" s="21" t="inlineStr">
        <is>
          <t>Тульская</t>
        </is>
      </c>
      <c r="D243" s="22" t="n">
        <v>2498</v>
      </c>
    </row>
    <row r="244">
      <c r="A244" s="21" t="inlineStr">
        <is>
          <t>Купить</t>
        </is>
      </c>
      <c r="B244" s="21" t="inlineStr">
        <is>
          <t>Квартира во вторичке</t>
        </is>
      </c>
      <c r="C244" s="21" t="inlineStr">
        <is>
          <t>Тыва</t>
        </is>
      </c>
      <c r="D244" s="22" t="n">
        <v>604</v>
      </c>
    </row>
    <row r="245">
      <c r="A245" s="21" t="inlineStr">
        <is>
          <t>Купить</t>
        </is>
      </c>
      <c r="B245" s="21" t="inlineStr">
        <is>
          <t>Квартира во вторичке</t>
        </is>
      </c>
      <c r="C245" s="21" t="inlineStr">
        <is>
          <t>Тюменская</t>
        </is>
      </c>
      <c r="D245" s="22" t="n">
        <v>27465</v>
      </c>
    </row>
    <row r="246">
      <c r="A246" s="21" t="inlineStr">
        <is>
          <t>Купить</t>
        </is>
      </c>
      <c r="B246" s="21" t="inlineStr">
        <is>
          <t>Квартира во вторичке</t>
        </is>
      </c>
      <c r="C246" s="21" t="inlineStr">
        <is>
          <t>Удмуртская</t>
        </is>
      </c>
      <c r="D246" s="22" t="n">
        <v>1356</v>
      </c>
    </row>
    <row r="247">
      <c r="A247" s="21" t="inlineStr">
        <is>
          <t>Купить</t>
        </is>
      </c>
      <c r="B247" s="21" t="inlineStr">
        <is>
          <t>Квартира во вторичке</t>
        </is>
      </c>
      <c r="C247" s="21" t="inlineStr">
        <is>
          <t>Ульяновская</t>
        </is>
      </c>
      <c r="D247" s="22" t="n">
        <v>2373</v>
      </c>
    </row>
    <row r="248">
      <c r="A248" s="21" t="inlineStr">
        <is>
          <t>Купить</t>
        </is>
      </c>
      <c r="B248" s="21" t="inlineStr">
        <is>
          <t>Квартира во вторичке</t>
        </is>
      </c>
      <c r="C248" s="21" t="inlineStr">
        <is>
          <t>Хабаровский</t>
        </is>
      </c>
      <c r="D248" s="22" t="n">
        <v>2016</v>
      </c>
    </row>
    <row r="249">
      <c r="A249" s="21" t="inlineStr">
        <is>
          <t>Купить</t>
        </is>
      </c>
      <c r="B249" s="21" t="inlineStr">
        <is>
          <t>Квартира во вторичке</t>
        </is>
      </c>
      <c r="C249" s="21" t="inlineStr">
        <is>
          <t>Хакасия</t>
        </is>
      </c>
      <c r="D249" s="22" t="n">
        <v>2438</v>
      </c>
    </row>
    <row r="250">
      <c r="A250" s="21" t="inlineStr">
        <is>
          <t>Купить</t>
        </is>
      </c>
      <c r="B250" s="21" t="inlineStr">
        <is>
          <t>Квартира во вторичке</t>
        </is>
      </c>
      <c r="C250" s="21" t="inlineStr">
        <is>
          <t>Ханты-Мансийский</t>
        </is>
      </c>
      <c r="D250" s="22" t="n">
        <v>8263</v>
      </c>
    </row>
    <row r="251">
      <c r="A251" s="21" t="inlineStr">
        <is>
          <t>Купить</t>
        </is>
      </c>
      <c r="B251" s="21" t="inlineStr">
        <is>
          <t>Квартира во вторичке</t>
        </is>
      </c>
      <c r="C251" s="21" t="inlineStr">
        <is>
          <t>Челябинская</t>
        </is>
      </c>
      <c r="D251" s="22" t="n">
        <v>7154</v>
      </c>
    </row>
    <row r="252">
      <c r="A252" s="21" t="inlineStr">
        <is>
          <t>Купить</t>
        </is>
      </c>
      <c r="B252" s="21" t="inlineStr">
        <is>
          <t>Квартира во вторичке</t>
        </is>
      </c>
      <c r="C252" s="21" t="inlineStr">
        <is>
          <t>Чеченская</t>
        </is>
      </c>
      <c r="D252" s="22" t="n">
        <v>740</v>
      </c>
    </row>
    <row r="253">
      <c r="A253" s="21" t="inlineStr">
        <is>
          <t>Купить</t>
        </is>
      </c>
      <c r="B253" s="21" t="inlineStr">
        <is>
          <t>Квартира во вторичке</t>
        </is>
      </c>
      <c r="C253" s="21" t="inlineStr">
        <is>
          <t>Чувашская</t>
        </is>
      </c>
      <c r="D253" s="22" t="n">
        <v>1045</v>
      </c>
    </row>
    <row r="254">
      <c r="A254" s="21" t="inlineStr">
        <is>
          <t>Купить</t>
        </is>
      </c>
      <c r="B254" s="21" t="inlineStr">
        <is>
          <t>Квартира во вторичке</t>
        </is>
      </c>
      <c r="C254" s="21" t="inlineStr">
        <is>
          <t>Чукотский</t>
        </is>
      </c>
      <c r="D254" s="22" t="n">
        <v>0</v>
      </c>
    </row>
    <row r="255">
      <c r="A255" s="21" t="inlineStr">
        <is>
          <t>Купить</t>
        </is>
      </c>
      <c r="B255" s="21" t="inlineStr">
        <is>
          <t>Квартира во вторичке</t>
        </is>
      </c>
      <c r="C255" s="21" t="inlineStr">
        <is>
          <t>Ямало-Ненецкий</t>
        </is>
      </c>
      <c r="D255" s="22" t="n">
        <v>2682</v>
      </c>
    </row>
    <row r="256">
      <c r="A256" s="21" t="inlineStr">
        <is>
          <t>Купить</t>
        </is>
      </c>
      <c r="B256" s="21" t="inlineStr">
        <is>
          <t>Квартира во вторичке</t>
        </is>
      </c>
      <c r="C256" s="21" t="inlineStr">
        <is>
          <t>Ярославская</t>
        </is>
      </c>
      <c r="D256" s="22" t="n">
        <v>4165</v>
      </c>
    </row>
    <row r="257">
      <c r="A257" s="27" t="inlineStr">
        <is>
          <t>Купить</t>
        </is>
      </c>
      <c r="B257" s="17" t="inlineStr">
        <is>
          <t>Комната</t>
        </is>
      </c>
      <c r="C257" s="28" t="inlineStr">
        <is>
          <t>Адыгея</t>
        </is>
      </c>
      <c r="D257" s="19" t="n">
        <v>20</v>
      </c>
    </row>
    <row r="258">
      <c r="A258" s="21" t="inlineStr">
        <is>
          <t>Купить</t>
        </is>
      </c>
      <c r="B258" s="21" t="inlineStr">
        <is>
          <t>Комната</t>
        </is>
      </c>
      <c r="C258" s="21" t="inlineStr">
        <is>
          <t>Алтай</t>
        </is>
      </c>
      <c r="D258" s="22" t="n">
        <v>27</v>
      </c>
    </row>
    <row r="259">
      <c r="A259" s="21" t="inlineStr">
        <is>
          <t>Купить</t>
        </is>
      </c>
      <c r="B259" s="21" t="inlineStr">
        <is>
          <t>Комната</t>
        </is>
      </c>
      <c r="C259" s="21" t="inlineStr">
        <is>
          <t>Алтайский</t>
        </is>
      </c>
      <c r="D259" s="22" t="n">
        <v>109</v>
      </c>
    </row>
    <row r="260">
      <c r="A260" s="21" t="inlineStr">
        <is>
          <t>Купить</t>
        </is>
      </c>
      <c r="B260" s="21" t="inlineStr">
        <is>
          <t>Комната</t>
        </is>
      </c>
      <c r="C260" s="21" t="inlineStr">
        <is>
          <t>Амурская</t>
        </is>
      </c>
      <c r="D260" s="22" t="n">
        <v>88</v>
      </c>
    </row>
    <row r="261">
      <c r="A261" s="21" t="inlineStr">
        <is>
          <t>Купить</t>
        </is>
      </c>
      <c r="B261" s="21" t="inlineStr">
        <is>
          <t>Комната</t>
        </is>
      </c>
      <c r="C261" s="21" t="inlineStr">
        <is>
          <t>Архангельская</t>
        </is>
      </c>
      <c r="D261" s="22" t="n">
        <v>216</v>
      </c>
    </row>
    <row r="262">
      <c r="A262" s="21" t="inlineStr">
        <is>
          <t>Купить</t>
        </is>
      </c>
      <c r="B262" s="21" t="inlineStr">
        <is>
          <t>Комната</t>
        </is>
      </c>
      <c r="C262" s="21" t="inlineStr">
        <is>
          <t>Астраханская</t>
        </is>
      </c>
      <c r="D262" s="22" t="n">
        <v>32</v>
      </c>
    </row>
    <row r="263">
      <c r="A263" s="21" t="inlineStr">
        <is>
          <t>Купить</t>
        </is>
      </c>
      <c r="B263" s="21" t="inlineStr">
        <is>
          <t>Комната</t>
        </is>
      </c>
      <c r="C263" s="21" t="inlineStr">
        <is>
          <t>Башкортостан</t>
        </is>
      </c>
      <c r="D263" s="22" t="n">
        <v>465</v>
      </c>
    </row>
    <row r="264">
      <c r="A264" s="21" t="inlineStr">
        <is>
          <t>Купить</t>
        </is>
      </c>
      <c r="B264" s="21" t="inlineStr">
        <is>
          <t>Комната</t>
        </is>
      </c>
      <c r="C264" s="21" t="inlineStr">
        <is>
          <t>Белгородская</t>
        </is>
      </c>
      <c r="D264" s="22" t="n">
        <v>229</v>
      </c>
    </row>
    <row r="265">
      <c r="A265" s="21" t="inlineStr">
        <is>
          <t>Купить</t>
        </is>
      </c>
      <c r="B265" s="21" t="inlineStr">
        <is>
          <t>Комната</t>
        </is>
      </c>
      <c r="C265" s="21" t="inlineStr">
        <is>
          <t>Брянская</t>
        </is>
      </c>
      <c r="D265" s="22" t="n">
        <v>137</v>
      </c>
    </row>
    <row r="266">
      <c r="A266" s="21" t="inlineStr">
        <is>
          <t>Купить</t>
        </is>
      </c>
      <c r="B266" s="21" t="inlineStr">
        <is>
          <t>Комната</t>
        </is>
      </c>
      <c r="C266" s="21" t="inlineStr">
        <is>
          <t>Бурятия</t>
        </is>
      </c>
      <c r="D266" s="22" t="n">
        <v>77</v>
      </c>
    </row>
    <row r="267">
      <c r="A267" s="21" t="inlineStr">
        <is>
          <t>Купить</t>
        </is>
      </c>
      <c r="B267" s="21" t="inlineStr">
        <is>
          <t>Комната</t>
        </is>
      </c>
      <c r="C267" s="21" t="inlineStr">
        <is>
          <t>Владимирская</t>
        </is>
      </c>
      <c r="D267" s="22" t="n">
        <v>301</v>
      </c>
    </row>
    <row r="268">
      <c r="A268" s="21" t="inlineStr">
        <is>
          <t>Купить</t>
        </is>
      </c>
      <c r="B268" s="21" t="inlineStr">
        <is>
          <t>Комната</t>
        </is>
      </c>
      <c r="C268" s="21" t="inlineStr">
        <is>
          <t>Волгоградская</t>
        </is>
      </c>
      <c r="D268" s="22" t="n">
        <v>298</v>
      </c>
    </row>
    <row r="269">
      <c r="A269" s="21" t="inlineStr">
        <is>
          <t>Купить</t>
        </is>
      </c>
      <c r="B269" s="21" t="inlineStr">
        <is>
          <t>Комната</t>
        </is>
      </c>
      <c r="C269" s="21" t="inlineStr">
        <is>
          <t>Вологодская</t>
        </is>
      </c>
      <c r="D269" s="22" t="n">
        <v>197</v>
      </c>
    </row>
    <row r="270">
      <c r="A270" s="21" t="inlineStr">
        <is>
          <t>Купить</t>
        </is>
      </c>
      <c r="B270" s="21" t="inlineStr">
        <is>
          <t>Комната</t>
        </is>
      </c>
      <c r="C270" s="21" t="inlineStr">
        <is>
          <t>Воронежская</t>
        </is>
      </c>
      <c r="D270" s="22" t="n">
        <v>213</v>
      </c>
    </row>
    <row r="271">
      <c r="A271" s="21" t="inlineStr">
        <is>
          <t>Купить</t>
        </is>
      </c>
      <c r="B271" s="21" t="inlineStr">
        <is>
          <t>Комната</t>
        </is>
      </c>
      <c r="C271" s="21" t="inlineStr">
        <is>
          <t>Дагестан</t>
        </is>
      </c>
      <c r="D271" s="22" t="n">
        <v>0</v>
      </c>
    </row>
    <row r="272">
      <c r="A272" s="21" t="inlineStr">
        <is>
          <t>Купить</t>
        </is>
      </c>
      <c r="B272" s="21" t="inlineStr">
        <is>
          <t>Комната</t>
        </is>
      </c>
      <c r="C272" s="21" t="inlineStr">
        <is>
          <t>Еврейская</t>
        </is>
      </c>
      <c r="D272" s="22" t="n">
        <v>0</v>
      </c>
    </row>
    <row r="273">
      <c r="A273" s="21" t="inlineStr">
        <is>
          <t>Купить</t>
        </is>
      </c>
      <c r="B273" s="21" t="inlineStr">
        <is>
          <t>Комната</t>
        </is>
      </c>
      <c r="C273" s="21" t="inlineStr">
        <is>
          <t>Забайкальский</t>
        </is>
      </c>
      <c r="D273" s="22" t="n">
        <v>58</v>
      </c>
    </row>
    <row r="274">
      <c r="A274" s="21" t="inlineStr">
        <is>
          <t>Купить</t>
        </is>
      </c>
      <c r="B274" s="21" t="inlineStr">
        <is>
          <t>Комната</t>
        </is>
      </c>
      <c r="C274" s="21" t="inlineStr">
        <is>
          <t>Ивановская</t>
        </is>
      </c>
      <c r="D274" s="22" t="n">
        <v>69</v>
      </c>
    </row>
    <row r="275">
      <c r="A275" s="21" t="inlineStr">
        <is>
          <t>Купить</t>
        </is>
      </c>
      <c r="B275" s="21" t="inlineStr">
        <is>
          <t>Комната</t>
        </is>
      </c>
      <c r="C275" s="21" t="inlineStr">
        <is>
          <t>Ингушетия</t>
        </is>
      </c>
      <c r="D275" s="22" t="n">
        <v>0</v>
      </c>
    </row>
    <row r="276">
      <c r="A276" s="21" t="inlineStr">
        <is>
          <t>Купить</t>
        </is>
      </c>
      <c r="B276" s="21" t="inlineStr">
        <is>
          <t>Комната</t>
        </is>
      </c>
      <c r="C276" s="21" t="inlineStr">
        <is>
          <t>Иркутская</t>
        </is>
      </c>
      <c r="D276" s="22" t="n">
        <v>119</v>
      </c>
    </row>
    <row r="277">
      <c r="A277" s="21" t="inlineStr">
        <is>
          <t>Купить</t>
        </is>
      </c>
      <c r="B277" s="21" t="inlineStr">
        <is>
          <t>Комната</t>
        </is>
      </c>
      <c r="C277" s="21" t="inlineStr">
        <is>
          <t>Кабардино-Балкарская</t>
        </is>
      </c>
      <c r="D277" s="22" t="n">
        <v>0</v>
      </c>
    </row>
    <row r="278">
      <c r="A278" s="21" t="inlineStr">
        <is>
          <t>Купить</t>
        </is>
      </c>
      <c r="B278" s="21" t="inlineStr">
        <is>
          <t>Комната</t>
        </is>
      </c>
      <c r="C278" s="21" t="inlineStr">
        <is>
          <t>Калининградская</t>
        </is>
      </c>
      <c r="D278" s="22" t="n">
        <v>83</v>
      </c>
    </row>
    <row r="279">
      <c r="A279" s="21" t="inlineStr">
        <is>
          <t>Купить</t>
        </is>
      </c>
      <c r="B279" s="21" t="inlineStr">
        <is>
          <t>Комната</t>
        </is>
      </c>
      <c r="C279" s="21" t="inlineStr">
        <is>
          <t>Калмыкия</t>
        </is>
      </c>
      <c r="D279" s="22" t="n">
        <v>0</v>
      </c>
    </row>
    <row r="280">
      <c r="A280" s="21" t="inlineStr">
        <is>
          <t>Купить</t>
        </is>
      </c>
      <c r="B280" s="21" t="inlineStr">
        <is>
          <t>Комната</t>
        </is>
      </c>
      <c r="C280" s="21" t="inlineStr">
        <is>
          <t>Калужская</t>
        </is>
      </c>
      <c r="D280" s="22" t="n">
        <v>237</v>
      </c>
    </row>
    <row r="281">
      <c r="A281" s="21" t="inlineStr">
        <is>
          <t>Купить</t>
        </is>
      </c>
      <c r="B281" s="21" t="inlineStr">
        <is>
          <t>Комната</t>
        </is>
      </c>
      <c r="C281" s="21" t="inlineStr">
        <is>
          <t>Камчатский</t>
        </is>
      </c>
      <c r="D281" s="22" t="n">
        <v>0</v>
      </c>
    </row>
    <row r="282">
      <c r="A282" s="21" t="inlineStr">
        <is>
          <t>Купить</t>
        </is>
      </c>
      <c r="B282" s="21" t="inlineStr">
        <is>
          <t>Комната</t>
        </is>
      </c>
      <c r="C282" s="21" t="inlineStr">
        <is>
          <t>Карачаево-Черкесская</t>
        </is>
      </c>
      <c r="D282" s="22" t="n">
        <v>0</v>
      </c>
    </row>
    <row r="283">
      <c r="A283" s="21" t="inlineStr">
        <is>
          <t>Купить</t>
        </is>
      </c>
      <c r="B283" s="21" t="inlineStr">
        <is>
          <t>Комната</t>
        </is>
      </c>
      <c r="C283" s="21" t="inlineStr">
        <is>
          <t>Карелия</t>
        </is>
      </c>
      <c r="D283" s="22" t="n">
        <v>44</v>
      </c>
    </row>
    <row r="284">
      <c r="A284" s="21" t="inlineStr">
        <is>
          <t>Купить</t>
        </is>
      </c>
      <c r="B284" s="21" t="inlineStr">
        <is>
          <t>Комната</t>
        </is>
      </c>
      <c r="C284" s="21" t="inlineStr">
        <is>
          <t>Кемеровская</t>
        </is>
      </c>
      <c r="D284" s="22" t="n">
        <v>65</v>
      </c>
    </row>
    <row r="285">
      <c r="A285" s="21" t="inlineStr">
        <is>
          <t>Купить</t>
        </is>
      </c>
      <c r="B285" s="21" t="inlineStr">
        <is>
          <t>Комната</t>
        </is>
      </c>
      <c r="C285" s="21" t="inlineStr">
        <is>
          <t>Кировская</t>
        </is>
      </c>
      <c r="D285" s="22" t="n">
        <v>77</v>
      </c>
    </row>
    <row r="286">
      <c r="A286" s="21" t="inlineStr">
        <is>
          <t>Купить</t>
        </is>
      </c>
      <c r="B286" s="21" t="inlineStr">
        <is>
          <t>Комната</t>
        </is>
      </c>
      <c r="C286" s="21" t="inlineStr">
        <is>
          <t>Коми</t>
        </is>
      </c>
      <c r="D286" s="22" t="n">
        <v>164</v>
      </c>
    </row>
    <row r="287">
      <c r="A287" s="21" t="inlineStr">
        <is>
          <t>Купить</t>
        </is>
      </c>
      <c r="B287" s="21" t="inlineStr">
        <is>
          <t>Комната</t>
        </is>
      </c>
      <c r="C287" s="21" t="inlineStr">
        <is>
          <t>Костромская</t>
        </is>
      </c>
      <c r="D287" s="22" t="n">
        <v>129</v>
      </c>
    </row>
    <row r="288">
      <c r="A288" s="21" t="inlineStr">
        <is>
          <t>Купить</t>
        </is>
      </c>
      <c r="B288" s="21" t="inlineStr">
        <is>
          <t>Комната</t>
        </is>
      </c>
      <c r="C288" s="21" t="inlineStr">
        <is>
          <t>Краснодарский</t>
        </is>
      </c>
      <c r="D288" s="22" t="n">
        <v>342</v>
      </c>
    </row>
    <row r="289">
      <c r="A289" s="21" t="inlineStr">
        <is>
          <t>Купить</t>
        </is>
      </c>
      <c r="B289" s="21" t="inlineStr">
        <is>
          <t>Комната</t>
        </is>
      </c>
      <c r="C289" s="21" t="inlineStr">
        <is>
          <t>Красноярский</t>
        </is>
      </c>
      <c r="D289" s="22" t="n">
        <v>267</v>
      </c>
    </row>
    <row r="290">
      <c r="A290" s="21" t="inlineStr">
        <is>
          <t>Купить</t>
        </is>
      </c>
      <c r="B290" s="21" t="inlineStr">
        <is>
          <t>Комната</t>
        </is>
      </c>
      <c r="C290" s="21" t="inlineStr">
        <is>
          <t>Крым</t>
        </is>
      </c>
      <c r="D290" s="22" t="n">
        <v>130</v>
      </c>
    </row>
    <row r="291">
      <c r="A291" s="21" t="inlineStr">
        <is>
          <t>Купить</t>
        </is>
      </c>
      <c r="B291" s="21" t="inlineStr">
        <is>
          <t>Комната</t>
        </is>
      </c>
      <c r="C291" s="21" t="inlineStr">
        <is>
          <t>Курганская</t>
        </is>
      </c>
      <c r="D291" s="22" t="n">
        <v>216</v>
      </c>
    </row>
    <row r="292">
      <c r="A292" s="21" t="inlineStr">
        <is>
          <t>Купить</t>
        </is>
      </c>
      <c r="B292" s="21" t="inlineStr">
        <is>
          <t>Комната</t>
        </is>
      </c>
      <c r="C292" s="21" t="inlineStr">
        <is>
          <t>Курская</t>
        </is>
      </c>
      <c r="D292" s="22" t="n">
        <v>30</v>
      </c>
    </row>
    <row r="293">
      <c r="A293" s="21" t="inlineStr">
        <is>
          <t>Купить</t>
        </is>
      </c>
      <c r="B293" s="21" t="inlineStr">
        <is>
          <t>Комната</t>
        </is>
      </c>
      <c r="C293" s="21" t="inlineStr">
        <is>
          <t>Ленинградская</t>
        </is>
      </c>
      <c r="D293" s="22" t="n">
        <v>131</v>
      </c>
    </row>
    <row r="294">
      <c r="A294" s="21" t="inlineStr">
        <is>
          <t>Купить</t>
        </is>
      </c>
      <c r="B294" s="21" t="inlineStr">
        <is>
          <t>Комната</t>
        </is>
      </c>
      <c r="C294" s="21" t="inlineStr">
        <is>
          <t>Липецкая</t>
        </is>
      </c>
      <c r="D294" s="22" t="n">
        <v>101</v>
      </c>
    </row>
    <row r="295">
      <c r="A295" s="21" t="inlineStr">
        <is>
          <t>Купить</t>
        </is>
      </c>
      <c r="B295" s="21" t="inlineStr">
        <is>
          <t>Комната</t>
        </is>
      </c>
      <c r="C295" s="21" t="inlineStr">
        <is>
          <t>Магаданская</t>
        </is>
      </c>
      <c r="D295" s="22" t="n">
        <v>0</v>
      </c>
    </row>
    <row r="296">
      <c r="A296" s="21" t="inlineStr">
        <is>
          <t>Купить</t>
        </is>
      </c>
      <c r="B296" s="21" t="inlineStr">
        <is>
          <t>Комната</t>
        </is>
      </c>
      <c r="C296" s="21" t="inlineStr">
        <is>
          <t>Марий Эл</t>
        </is>
      </c>
      <c r="D296" s="22" t="n">
        <v>77</v>
      </c>
    </row>
    <row r="297">
      <c r="A297" s="21" t="inlineStr">
        <is>
          <t>Купить</t>
        </is>
      </c>
      <c r="B297" s="21" t="inlineStr">
        <is>
          <t>Комната</t>
        </is>
      </c>
      <c r="C297" s="21" t="inlineStr">
        <is>
          <t>Мордовия</t>
        </is>
      </c>
      <c r="D297" s="22" t="n">
        <v>116</v>
      </c>
    </row>
    <row r="298">
      <c r="A298" s="21" t="inlineStr">
        <is>
          <t>Купить</t>
        </is>
      </c>
      <c r="B298" s="21" t="inlineStr">
        <is>
          <t>Комната</t>
        </is>
      </c>
      <c r="C298" s="21" t="inlineStr">
        <is>
          <t>Москва</t>
        </is>
      </c>
      <c r="D298" s="22" t="n">
        <v>348</v>
      </c>
    </row>
    <row r="299">
      <c r="A299" s="21" t="inlineStr">
        <is>
          <t>Купить</t>
        </is>
      </c>
      <c r="B299" s="21" t="inlineStr">
        <is>
          <t>Комната</t>
        </is>
      </c>
      <c r="C299" s="21" t="inlineStr">
        <is>
          <t>Московская</t>
        </is>
      </c>
      <c r="D299" s="22" t="n">
        <v>377</v>
      </c>
    </row>
    <row r="300">
      <c r="A300" s="21" t="inlineStr">
        <is>
          <t>Купить</t>
        </is>
      </c>
      <c r="B300" s="21" t="inlineStr">
        <is>
          <t>Комната</t>
        </is>
      </c>
      <c r="C300" s="21" t="inlineStr">
        <is>
          <t>Мурманская</t>
        </is>
      </c>
      <c r="D300" s="22" t="n">
        <v>19</v>
      </c>
    </row>
    <row r="301">
      <c r="A301" s="21" t="inlineStr">
        <is>
          <t>Купить</t>
        </is>
      </c>
      <c r="B301" s="21" t="inlineStr">
        <is>
          <t>Комната</t>
        </is>
      </c>
      <c r="C301" s="21" t="inlineStr">
        <is>
          <t>Ненецкий</t>
        </is>
      </c>
      <c r="D301" s="22" t="n">
        <v>0</v>
      </c>
    </row>
    <row r="302">
      <c r="A302" s="21" t="inlineStr">
        <is>
          <t>Купить</t>
        </is>
      </c>
      <c r="B302" s="21" t="inlineStr">
        <is>
          <t>Комната</t>
        </is>
      </c>
      <c r="C302" s="21" t="inlineStr">
        <is>
          <t>Нижегородская</t>
        </is>
      </c>
      <c r="D302" s="22" t="n">
        <v>0</v>
      </c>
    </row>
    <row r="303">
      <c r="A303" s="21" t="inlineStr">
        <is>
          <t>Купить</t>
        </is>
      </c>
      <c r="B303" s="21" t="inlineStr">
        <is>
          <t>Комната</t>
        </is>
      </c>
      <c r="C303" s="21" t="inlineStr">
        <is>
          <t>Новгородская</t>
        </is>
      </c>
      <c r="D303" s="22" t="n">
        <v>38</v>
      </c>
    </row>
    <row r="304">
      <c r="A304" s="21" t="inlineStr">
        <is>
          <t>Купить</t>
        </is>
      </c>
      <c r="B304" s="21" t="inlineStr">
        <is>
          <t>Комната</t>
        </is>
      </c>
      <c r="C304" s="21" t="inlineStr">
        <is>
          <t>Новосибирская</t>
        </is>
      </c>
      <c r="D304" s="22" t="n">
        <v>572</v>
      </c>
    </row>
    <row r="305">
      <c r="A305" s="21" t="inlineStr">
        <is>
          <t>Купить</t>
        </is>
      </c>
      <c r="B305" s="21" t="inlineStr">
        <is>
          <t>Комната</t>
        </is>
      </c>
      <c r="C305" s="21" t="inlineStr">
        <is>
          <t>Омская</t>
        </is>
      </c>
      <c r="D305" s="22" t="n">
        <v>196</v>
      </c>
    </row>
    <row r="306">
      <c r="A306" s="21" t="inlineStr">
        <is>
          <t>Купить</t>
        </is>
      </c>
      <c r="B306" s="21" t="inlineStr">
        <is>
          <t>Комната</t>
        </is>
      </c>
      <c r="C306" s="21" t="inlineStr">
        <is>
          <t>Оренбургская</t>
        </is>
      </c>
      <c r="D306" s="22" t="n">
        <v>108</v>
      </c>
    </row>
    <row r="307">
      <c r="A307" s="21" t="inlineStr">
        <is>
          <t>Купить</t>
        </is>
      </c>
      <c r="B307" s="21" t="inlineStr">
        <is>
          <t>Комната</t>
        </is>
      </c>
      <c r="C307" s="21" t="inlineStr">
        <is>
          <t>Орловская</t>
        </is>
      </c>
      <c r="D307" s="22" t="n">
        <v>66</v>
      </c>
    </row>
    <row r="308">
      <c r="A308" s="21" t="inlineStr">
        <is>
          <t>Купить</t>
        </is>
      </c>
      <c r="B308" s="21" t="inlineStr">
        <is>
          <t>Комната</t>
        </is>
      </c>
      <c r="C308" s="21" t="inlineStr">
        <is>
          <t>Пензенская</t>
        </is>
      </c>
      <c r="D308" s="22" t="n">
        <v>135</v>
      </c>
    </row>
    <row r="309">
      <c r="A309" s="21" t="inlineStr">
        <is>
          <t>Купить</t>
        </is>
      </c>
      <c r="B309" s="21" t="inlineStr">
        <is>
          <t>Комната</t>
        </is>
      </c>
      <c r="C309" s="21" t="inlineStr">
        <is>
          <t>Пермский</t>
        </is>
      </c>
      <c r="D309" s="22" t="n">
        <v>288</v>
      </c>
    </row>
    <row r="310">
      <c r="A310" s="21" t="inlineStr">
        <is>
          <t>Купить</t>
        </is>
      </c>
      <c r="B310" s="21" t="inlineStr">
        <is>
          <t>Комната</t>
        </is>
      </c>
      <c r="C310" s="21" t="inlineStr">
        <is>
          <t>Приморский</t>
        </is>
      </c>
      <c r="D310" s="22" t="n">
        <v>70</v>
      </c>
    </row>
    <row r="311">
      <c r="A311" s="21" t="inlineStr">
        <is>
          <t>Купить</t>
        </is>
      </c>
      <c r="B311" s="21" t="inlineStr">
        <is>
          <t>Комната</t>
        </is>
      </c>
      <c r="C311" s="21" t="inlineStr">
        <is>
          <t>Псковская</t>
        </is>
      </c>
      <c r="D311" s="22" t="n">
        <v>28</v>
      </c>
    </row>
    <row r="312">
      <c r="A312" s="21" t="inlineStr">
        <is>
          <t>Купить</t>
        </is>
      </c>
      <c r="B312" s="21" t="inlineStr">
        <is>
          <t>Комната</t>
        </is>
      </c>
      <c r="C312" s="21" t="inlineStr">
        <is>
          <t>Ростовская</t>
        </is>
      </c>
      <c r="D312" s="22" t="n">
        <v>304</v>
      </c>
    </row>
    <row r="313">
      <c r="A313" s="21" t="inlineStr">
        <is>
          <t>Купить</t>
        </is>
      </c>
      <c r="B313" s="21" t="inlineStr">
        <is>
          <t>Комната</t>
        </is>
      </c>
      <c r="C313" s="21" t="inlineStr">
        <is>
          <t>Рязанская</t>
        </is>
      </c>
      <c r="D313" s="22" t="n">
        <v>78</v>
      </c>
    </row>
    <row r="314">
      <c r="A314" s="21" t="inlineStr">
        <is>
          <t>Купить</t>
        </is>
      </c>
      <c r="B314" s="21" t="inlineStr">
        <is>
          <t>Комната</t>
        </is>
      </c>
      <c r="C314" s="21" t="inlineStr">
        <is>
          <t>Самарская</t>
        </is>
      </c>
      <c r="D314" s="22" t="n">
        <v>126</v>
      </c>
    </row>
    <row r="315">
      <c r="A315" s="21" t="inlineStr">
        <is>
          <t>Купить</t>
        </is>
      </c>
      <c r="B315" s="21" t="inlineStr">
        <is>
          <t>Комната</t>
        </is>
      </c>
      <c r="C315" s="21" t="inlineStr">
        <is>
          <t>Санкт-Петербург</t>
        </is>
      </c>
      <c r="D315" s="22" t="n">
        <v>1102</v>
      </c>
    </row>
    <row r="316">
      <c r="A316" s="21" t="inlineStr">
        <is>
          <t>Купить</t>
        </is>
      </c>
      <c r="B316" s="21" t="inlineStr">
        <is>
          <t>Комната</t>
        </is>
      </c>
      <c r="C316" s="21" t="inlineStr">
        <is>
          <t>Саратовская</t>
        </is>
      </c>
      <c r="D316" s="22" t="n">
        <v>195</v>
      </c>
    </row>
    <row r="317">
      <c r="A317" s="21" t="inlineStr">
        <is>
          <t>Купить</t>
        </is>
      </c>
      <c r="B317" s="21" t="inlineStr">
        <is>
          <t>Комната</t>
        </is>
      </c>
      <c r="C317" s="21" t="inlineStr">
        <is>
          <t>Саха (Якутия)</t>
        </is>
      </c>
      <c r="D317" s="22" t="n">
        <v>65</v>
      </c>
    </row>
    <row r="318">
      <c r="A318" s="21" t="inlineStr">
        <is>
          <t>Купить</t>
        </is>
      </c>
      <c r="B318" s="21" t="inlineStr">
        <is>
          <t>Комната</t>
        </is>
      </c>
      <c r="C318" s="21" t="inlineStr">
        <is>
          <t>Сахалинская</t>
        </is>
      </c>
      <c r="D318" s="22" t="n">
        <v>26</v>
      </c>
    </row>
    <row r="319">
      <c r="A319" s="21" t="inlineStr">
        <is>
          <t>Купить</t>
        </is>
      </c>
      <c r="B319" s="21" t="inlineStr">
        <is>
          <t>Комната</t>
        </is>
      </c>
      <c r="C319" s="21" t="inlineStr">
        <is>
          <t>Свердловская</t>
        </is>
      </c>
      <c r="D319" s="22" t="n">
        <v>536</v>
      </c>
    </row>
    <row r="320">
      <c r="A320" s="21" t="inlineStr">
        <is>
          <t>Купить</t>
        </is>
      </c>
      <c r="B320" s="21" t="inlineStr">
        <is>
          <t>Комната</t>
        </is>
      </c>
      <c r="C320" s="21" t="inlineStr">
        <is>
          <t>Севастополь</t>
        </is>
      </c>
      <c r="D320" s="22" t="n">
        <v>130</v>
      </c>
    </row>
    <row r="321">
      <c r="A321" s="21" t="inlineStr">
        <is>
          <t>Купить</t>
        </is>
      </c>
      <c r="B321" s="21" t="inlineStr">
        <is>
          <t>Комната</t>
        </is>
      </c>
      <c r="C321" s="21" t="inlineStr">
        <is>
          <t>Северная Осетия - Алания</t>
        </is>
      </c>
      <c r="D321" s="22" t="n">
        <v>0</v>
      </c>
    </row>
    <row r="322">
      <c r="A322" s="21" t="inlineStr">
        <is>
          <t>Купить</t>
        </is>
      </c>
      <c r="B322" s="21" t="inlineStr">
        <is>
          <t>Комната</t>
        </is>
      </c>
      <c r="C322" s="21" t="inlineStr">
        <is>
          <t>Смоленская</t>
        </is>
      </c>
      <c r="D322" s="22" t="n">
        <v>174</v>
      </c>
    </row>
    <row r="323">
      <c r="A323" s="21" t="inlineStr">
        <is>
          <t>Купить</t>
        </is>
      </c>
      <c r="B323" s="21" t="inlineStr">
        <is>
          <t>Комната</t>
        </is>
      </c>
      <c r="C323" s="21" t="inlineStr">
        <is>
          <t>Ставропольский</t>
        </is>
      </c>
      <c r="D323" s="22" t="n">
        <v>143</v>
      </c>
    </row>
    <row r="324">
      <c r="A324" s="21" t="inlineStr">
        <is>
          <t>Купить</t>
        </is>
      </c>
      <c r="B324" s="21" t="inlineStr">
        <is>
          <t>Комната</t>
        </is>
      </c>
      <c r="C324" s="21" t="inlineStr">
        <is>
          <t>Тамбовская</t>
        </is>
      </c>
      <c r="D324" s="22" t="n">
        <v>48</v>
      </c>
    </row>
    <row r="325">
      <c r="A325" s="21" t="inlineStr">
        <is>
          <t>Купить</t>
        </is>
      </c>
      <c r="B325" s="21" t="inlineStr">
        <is>
          <t>Комната</t>
        </is>
      </c>
      <c r="C325" s="21" t="inlineStr">
        <is>
          <t>Татарстан</t>
        </is>
      </c>
      <c r="D325" s="22" t="n">
        <v>190</v>
      </c>
    </row>
    <row r="326">
      <c r="A326" s="21" t="inlineStr">
        <is>
          <t>Купить</t>
        </is>
      </c>
      <c r="B326" s="21" t="inlineStr">
        <is>
          <t>Комната</t>
        </is>
      </c>
      <c r="C326" s="21" t="inlineStr">
        <is>
          <t>Тверская</t>
        </is>
      </c>
      <c r="D326" s="22" t="n">
        <v>76</v>
      </c>
    </row>
    <row r="327">
      <c r="A327" s="21" t="inlineStr">
        <is>
          <t>Купить</t>
        </is>
      </c>
      <c r="B327" s="21" t="inlineStr">
        <is>
          <t>Комната</t>
        </is>
      </c>
      <c r="C327" s="21" t="inlineStr">
        <is>
          <t>Томская</t>
        </is>
      </c>
      <c r="D327" s="22" t="n">
        <v>92</v>
      </c>
    </row>
    <row r="328">
      <c r="A328" s="21" t="inlineStr">
        <is>
          <t>Купить</t>
        </is>
      </c>
      <c r="B328" s="21" t="inlineStr">
        <is>
          <t>Комната</t>
        </is>
      </c>
      <c r="C328" s="21" t="inlineStr">
        <is>
          <t>Тульская</t>
        </is>
      </c>
      <c r="D328" s="22" t="n">
        <v>106</v>
      </c>
    </row>
    <row r="329">
      <c r="A329" s="21" t="inlineStr">
        <is>
          <t>Купить</t>
        </is>
      </c>
      <c r="B329" s="21" t="inlineStr">
        <is>
          <t>Комната</t>
        </is>
      </c>
      <c r="C329" s="21" t="inlineStr">
        <is>
          <t>Тыва</t>
        </is>
      </c>
      <c r="D329" s="22" t="n">
        <v>0</v>
      </c>
    </row>
    <row r="330">
      <c r="A330" s="21" t="inlineStr">
        <is>
          <t>Купить</t>
        </is>
      </c>
      <c r="B330" s="21" t="inlineStr">
        <is>
          <t>Комната</t>
        </is>
      </c>
      <c r="C330" s="21" t="inlineStr">
        <is>
          <t>Тюменская</t>
        </is>
      </c>
      <c r="D330" s="22" t="n">
        <v>755</v>
      </c>
    </row>
    <row r="331">
      <c r="A331" s="21" t="inlineStr">
        <is>
          <t>Купить</t>
        </is>
      </c>
      <c r="B331" s="21" t="inlineStr">
        <is>
          <t>Комната</t>
        </is>
      </c>
      <c r="C331" s="21" t="inlineStr">
        <is>
          <t>Удмуртская</t>
        </is>
      </c>
      <c r="D331" s="22" t="n">
        <v>180</v>
      </c>
    </row>
    <row r="332">
      <c r="A332" s="21" t="inlineStr">
        <is>
          <t>Купить</t>
        </is>
      </c>
      <c r="B332" s="21" t="inlineStr">
        <is>
          <t>Комната</t>
        </is>
      </c>
      <c r="C332" s="21" t="inlineStr">
        <is>
          <t>Ульяновская</t>
        </is>
      </c>
      <c r="D332" s="22" t="n">
        <v>124</v>
      </c>
    </row>
    <row r="333">
      <c r="A333" s="21" t="inlineStr">
        <is>
          <t>Купить</t>
        </is>
      </c>
      <c r="B333" s="21" t="inlineStr">
        <is>
          <t>Комната</t>
        </is>
      </c>
      <c r="C333" s="21" t="inlineStr">
        <is>
          <t>Хабаровский</t>
        </is>
      </c>
      <c r="D333" s="22" t="n">
        <v>99</v>
      </c>
    </row>
    <row r="334">
      <c r="A334" s="21" t="inlineStr">
        <is>
          <t>Купить</t>
        </is>
      </c>
      <c r="B334" s="21" t="inlineStr">
        <is>
          <t>Комната</t>
        </is>
      </c>
      <c r="C334" s="21" t="inlineStr">
        <is>
          <t>Хакасия</t>
        </is>
      </c>
      <c r="D334" s="22" t="n">
        <v>169</v>
      </c>
    </row>
    <row r="335">
      <c r="A335" s="21" t="inlineStr">
        <is>
          <t>Купить</t>
        </is>
      </c>
      <c r="B335" s="21" t="inlineStr">
        <is>
          <t>Комната</t>
        </is>
      </c>
      <c r="C335" s="21" t="inlineStr">
        <is>
          <t>Ханты-Мансийский</t>
        </is>
      </c>
      <c r="D335" s="22" t="n">
        <v>238</v>
      </c>
    </row>
    <row r="336">
      <c r="A336" s="21" t="inlineStr">
        <is>
          <t>Купить</t>
        </is>
      </c>
      <c r="B336" s="21" t="inlineStr">
        <is>
          <t>Комната</t>
        </is>
      </c>
      <c r="C336" s="21" t="inlineStr">
        <is>
          <t>Челябинская</t>
        </is>
      </c>
      <c r="D336" s="22" t="n">
        <v>341</v>
      </c>
    </row>
    <row r="337">
      <c r="A337" s="21" t="inlineStr">
        <is>
          <t>Купить</t>
        </is>
      </c>
      <c r="B337" s="21" t="inlineStr">
        <is>
          <t>Комната</t>
        </is>
      </c>
      <c r="C337" s="21" t="inlineStr">
        <is>
          <t>Чеченская</t>
        </is>
      </c>
      <c r="D337" s="22" t="n">
        <v>0</v>
      </c>
    </row>
    <row r="338">
      <c r="A338" s="21" t="inlineStr">
        <is>
          <t>Купить</t>
        </is>
      </c>
      <c r="B338" s="21" t="inlineStr">
        <is>
          <t>Комната</t>
        </is>
      </c>
      <c r="C338" s="21" t="inlineStr">
        <is>
          <t>Чувашская</t>
        </is>
      </c>
      <c r="D338" s="22" t="n">
        <v>109</v>
      </c>
    </row>
    <row r="339">
      <c r="A339" s="21" t="inlineStr">
        <is>
          <t>Купить</t>
        </is>
      </c>
      <c r="B339" s="21" t="inlineStr">
        <is>
          <t>Комната</t>
        </is>
      </c>
      <c r="C339" s="21" t="inlineStr">
        <is>
          <t>Чукотский</t>
        </is>
      </c>
      <c r="D339" s="22" t="n">
        <v>0</v>
      </c>
    </row>
    <row r="340">
      <c r="A340" s="21" t="inlineStr">
        <is>
          <t>Купить</t>
        </is>
      </c>
      <c r="B340" s="21" t="inlineStr">
        <is>
          <t>Комната</t>
        </is>
      </c>
      <c r="C340" s="21" t="inlineStr">
        <is>
          <t>Ямало-Ненецкий</t>
        </is>
      </c>
      <c r="D340" s="22" t="n">
        <v>42</v>
      </c>
    </row>
    <row r="341">
      <c r="A341" s="21" t="inlineStr">
        <is>
          <t>Купить</t>
        </is>
      </c>
      <c r="B341" s="21" t="inlineStr">
        <is>
          <t>Комната</t>
        </is>
      </c>
      <c r="C341" s="21" t="inlineStr">
        <is>
          <t>Ярославская</t>
        </is>
      </c>
      <c r="D341" s="22" t="n">
        <v>181</v>
      </c>
    </row>
    <row r="342">
      <c r="A342" s="27" t="inlineStr">
        <is>
          <t>Купить</t>
        </is>
      </c>
      <c r="B342" s="17" t="inlineStr">
        <is>
          <t>Дом или коттедж</t>
        </is>
      </c>
      <c r="C342" s="28" t="inlineStr">
        <is>
          <t>Адыгея</t>
        </is>
      </c>
      <c r="D342" s="19" t="n">
        <v>2369</v>
      </c>
    </row>
    <row r="343">
      <c r="A343" s="21" t="inlineStr">
        <is>
          <t>Купить</t>
        </is>
      </c>
      <c r="B343" s="21" t="inlineStr">
        <is>
          <t>Дом или коттедж</t>
        </is>
      </c>
      <c r="C343" s="21" t="inlineStr">
        <is>
          <t>Алтай</t>
        </is>
      </c>
      <c r="D343" s="22" t="n">
        <v>1296</v>
      </c>
    </row>
    <row r="344">
      <c r="A344" s="21" t="inlineStr">
        <is>
          <t>Купить</t>
        </is>
      </c>
      <c r="B344" s="21" t="inlineStr">
        <is>
          <t>Дом или коттедж</t>
        </is>
      </c>
      <c r="C344" s="21" t="inlineStr">
        <is>
          <t>Алтайский</t>
        </is>
      </c>
      <c r="D344" s="22" t="n">
        <v>2241</v>
      </c>
    </row>
    <row r="345">
      <c r="A345" s="21" t="inlineStr">
        <is>
          <t>Купить</t>
        </is>
      </c>
      <c r="B345" s="21" t="inlineStr">
        <is>
          <t>Дом или коттедж</t>
        </is>
      </c>
      <c r="C345" s="21" t="inlineStr">
        <is>
          <t>Амурская</t>
        </is>
      </c>
      <c r="D345" s="22" t="n">
        <v>733</v>
      </c>
    </row>
    <row r="346">
      <c r="A346" s="21" t="inlineStr">
        <is>
          <t>Купить</t>
        </is>
      </c>
      <c r="B346" s="21" t="inlineStr">
        <is>
          <t>Дом или коттедж</t>
        </is>
      </c>
      <c r="C346" s="21" t="inlineStr">
        <is>
          <t>Архангельская</t>
        </is>
      </c>
      <c r="D346" s="22" t="n">
        <v>585</v>
      </c>
    </row>
    <row r="347">
      <c r="A347" s="21" t="inlineStr">
        <is>
          <t>Купить</t>
        </is>
      </c>
      <c r="B347" s="21" t="inlineStr">
        <is>
          <t>Дом или коттедж</t>
        </is>
      </c>
      <c r="C347" s="21" t="inlineStr">
        <is>
          <t>Астраханская</t>
        </is>
      </c>
      <c r="D347" s="22" t="n">
        <v>718</v>
      </c>
    </row>
    <row r="348">
      <c r="A348" s="21" t="inlineStr">
        <is>
          <t>Купить</t>
        </is>
      </c>
      <c r="B348" s="21" t="inlineStr">
        <is>
          <t>Дом или коттедж</t>
        </is>
      </c>
      <c r="C348" s="21" t="inlineStr">
        <is>
          <t>Башкортостан</t>
        </is>
      </c>
      <c r="D348" s="22" t="n">
        <v>7486</v>
      </c>
    </row>
    <row r="349">
      <c r="A349" s="21" t="inlineStr">
        <is>
          <t>Купить</t>
        </is>
      </c>
      <c r="B349" s="21" t="inlineStr">
        <is>
          <t>Дом или коттедж</t>
        </is>
      </c>
      <c r="C349" s="21" t="inlineStr">
        <is>
          <t>Белгородская</t>
        </is>
      </c>
      <c r="D349" s="22" t="n">
        <v>7646</v>
      </c>
    </row>
    <row r="350">
      <c r="A350" s="21" t="inlineStr">
        <is>
          <t>Купить</t>
        </is>
      </c>
      <c r="B350" s="21" t="inlineStr">
        <is>
          <t>Дом или коттедж</t>
        </is>
      </c>
      <c r="C350" s="21" t="inlineStr">
        <is>
          <t>Брянская</t>
        </is>
      </c>
      <c r="D350" s="22" t="n">
        <v>1294</v>
      </c>
    </row>
    <row r="351">
      <c r="A351" s="21" t="inlineStr">
        <is>
          <t>Купить</t>
        </is>
      </c>
      <c r="B351" s="21" t="inlineStr">
        <is>
          <t>Дом или коттедж</t>
        </is>
      </c>
      <c r="C351" s="21" t="inlineStr">
        <is>
          <t>Бурятия</t>
        </is>
      </c>
      <c r="D351" s="22" t="n">
        <v>2187</v>
      </c>
    </row>
    <row r="352">
      <c r="A352" s="21" t="inlineStr">
        <is>
          <t>Купить</t>
        </is>
      </c>
      <c r="B352" s="21" t="inlineStr">
        <is>
          <t>Дом или коттедж</t>
        </is>
      </c>
      <c r="C352" s="21" t="inlineStr">
        <is>
          <t>Владимирская</t>
        </is>
      </c>
      <c r="D352" s="22" t="n">
        <v>4324</v>
      </c>
    </row>
    <row r="353">
      <c r="A353" s="21" t="inlineStr">
        <is>
          <t>Купить</t>
        </is>
      </c>
      <c r="B353" s="21" t="inlineStr">
        <is>
          <t>Дом или коттедж</t>
        </is>
      </c>
      <c r="C353" s="21" t="inlineStr">
        <is>
          <t>Волгоградская</t>
        </is>
      </c>
      <c r="D353" s="22" t="n">
        <v>2535</v>
      </c>
    </row>
    <row r="354">
      <c r="A354" s="21" t="inlineStr">
        <is>
          <t>Купить</t>
        </is>
      </c>
      <c r="B354" s="21" t="inlineStr">
        <is>
          <t>Дом или коттедж</t>
        </is>
      </c>
      <c r="C354" s="21" t="inlineStr">
        <is>
          <t>Вологодская</t>
        </is>
      </c>
      <c r="D354" s="22" t="n">
        <v>1328</v>
      </c>
    </row>
    <row r="355">
      <c r="A355" s="21" t="inlineStr">
        <is>
          <t>Купить</t>
        </is>
      </c>
      <c r="B355" s="21" t="inlineStr">
        <is>
          <t>Дом или коттедж</t>
        </is>
      </c>
      <c r="C355" s="21" t="inlineStr">
        <is>
          <t>Воронежская</t>
        </is>
      </c>
      <c r="D355" s="22" t="n">
        <v>3659</v>
      </c>
    </row>
    <row r="356">
      <c r="A356" s="21" t="inlineStr">
        <is>
          <t>Купить</t>
        </is>
      </c>
      <c r="B356" s="21" t="inlineStr">
        <is>
          <t>Дом или коттедж</t>
        </is>
      </c>
      <c r="C356" s="21" t="inlineStr">
        <is>
          <t>Дагестан</t>
        </is>
      </c>
      <c r="D356" s="22" t="n">
        <v>548</v>
      </c>
    </row>
    <row r="357">
      <c r="A357" s="21" t="inlineStr">
        <is>
          <t>Купить</t>
        </is>
      </c>
      <c r="B357" s="21" t="inlineStr">
        <is>
          <t>Дом или коттедж</t>
        </is>
      </c>
      <c r="C357" s="21" t="inlineStr">
        <is>
          <t>Еврейская</t>
        </is>
      </c>
      <c r="D357" s="22" t="n">
        <v>96</v>
      </c>
    </row>
    <row r="358">
      <c r="A358" s="21" t="inlineStr">
        <is>
          <t>Купить</t>
        </is>
      </c>
      <c r="B358" s="21" t="inlineStr">
        <is>
          <t>Дом или коттедж</t>
        </is>
      </c>
      <c r="C358" s="21" t="inlineStr">
        <is>
          <t>Забайкальский</t>
        </is>
      </c>
      <c r="D358" s="22" t="n">
        <v>1272</v>
      </c>
    </row>
    <row r="359">
      <c r="A359" s="21" t="inlineStr">
        <is>
          <t>Купить</t>
        </is>
      </c>
      <c r="B359" s="21" t="inlineStr">
        <is>
          <t>Дом или коттедж</t>
        </is>
      </c>
      <c r="C359" s="21" t="inlineStr">
        <is>
          <t>Ивановская</t>
        </is>
      </c>
      <c r="D359" s="22" t="n">
        <v>976</v>
      </c>
    </row>
    <row r="360">
      <c r="A360" s="21" t="inlineStr">
        <is>
          <t>Купить</t>
        </is>
      </c>
      <c r="B360" s="21" t="inlineStr">
        <is>
          <t>Дом или коттедж</t>
        </is>
      </c>
      <c r="C360" s="21" t="inlineStr">
        <is>
          <t>Ингушетия</t>
        </is>
      </c>
      <c r="D360" s="22" t="n">
        <v>214</v>
      </c>
    </row>
    <row r="361">
      <c r="A361" s="21" t="inlineStr">
        <is>
          <t>Купить</t>
        </is>
      </c>
      <c r="B361" s="21" t="inlineStr">
        <is>
          <t>Дом или коттедж</t>
        </is>
      </c>
      <c r="C361" s="21" t="inlineStr">
        <is>
          <t>Иркутская</t>
        </is>
      </c>
      <c r="D361" s="22" t="n">
        <v>3719</v>
      </c>
    </row>
    <row r="362">
      <c r="A362" s="21" t="inlineStr">
        <is>
          <t>Купить</t>
        </is>
      </c>
      <c r="B362" s="21" t="inlineStr">
        <is>
          <t>Дом или коттедж</t>
        </is>
      </c>
      <c r="C362" s="21" t="inlineStr">
        <is>
          <t>Кабардино-Балкарская</t>
        </is>
      </c>
      <c r="D362" s="22" t="n">
        <v>536</v>
      </c>
    </row>
    <row r="363">
      <c r="A363" s="21" t="inlineStr">
        <is>
          <t>Купить</t>
        </is>
      </c>
      <c r="B363" s="21" t="inlineStr">
        <is>
          <t>Дом или коттедж</t>
        </is>
      </c>
      <c r="C363" s="21" t="inlineStr">
        <is>
          <t>Калининградская</t>
        </is>
      </c>
      <c r="D363" s="22" t="n">
        <v>4671</v>
      </c>
    </row>
    <row r="364">
      <c r="A364" s="21" t="inlineStr">
        <is>
          <t>Купить</t>
        </is>
      </c>
      <c r="B364" s="21" t="inlineStr">
        <is>
          <t>Дом или коттедж</t>
        </is>
      </c>
      <c r="C364" s="21" t="inlineStr">
        <is>
          <t>Калмыкия</t>
        </is>
      </c>
      <c r="D364" s="22" t="n">
        <v>583</v>
      </c>
    </row>
    <row r="365">
      <c r="A365" s="21" t="inlineStr">
        <is>
          <t>Купить</t>
        </is>
      </c>
      <c r="B365" s="21" t="inlineStr">
        <is>
          <t>Дом или коттедж</t>
        </is>
      </c>
      <c r="C365" s="21" t="inlineStr">
        <is>
          <t>Калужская</t>
        </is>
      </c>
      <c r="D365" s="22" t="n">
        <v>4056</v>
      </c>
    </row>
    <row r="366">
      <c r="A366" s="21" t="inlineStr">
        <is>
          <t>Купить</t>
        </is>
      </c>
      <c r="B366" s="21" t="inlineStr">
        <is>
          <t>Дом или коттедж</t>
        </is>
      </c>
      <c r="C366" s="21" t="inlineStr">
        <is>
          <t>Камчатский</t>
        </is>
      </c>
      <c r="D366" s="22" t="n">
        <v>360</v>
      </c>
    </row>
    <row r="367">
      <c r="A367" s="21" t="inlineStr">
        <is>
          <t>Купить</t>
        </is>
      </c>
      <c r="B367" s="21" t="inlineStr">
        <is>
          <t>Дом или коттедж</t>
        </is>
      </c>
      <c r="C367" s="21" t="inlineStr">
        <is>
          <t>Карачаево-Черкесская</t>
        </is>
      </c>
      <c r="D367" s="22" t="n">
        <v>202</v>
      </c>
    </row>
    <row r="368">
      <c r="A368" s="21" t="inlineStr">
        <is>
          <t>Купить</t>
        </is>
      </c>
      <c r="B368" s="21" t="inlineStr">
        <is>
          <t>Дом или коттедж</t>
        </is>
      </c>
      <c r="C368" s="21" t="inlineStr">
        <is>
          <t>Карелия</t>
        </is>
      </c>
      <c r="D368" s="22" t="n">
        <v>455</v>
      </c>
    </row>
    <row r="369">
      <c r="A369" s="21" t="inlineStr">
        <is>
          <t>Купить</t>
        </is>
      </c>
      <c r="B369" s="21" t="inlineStr">
        <is>
          <t>Дом или коттедж</t>
        </is>
      </c>
      <c r="C369" s="21" t="inlineStr">
        <is>
          <t>Кемеровская</t>
        </is>
      </c>
      <c r="D369" s="22" t="n">
        <v>3355</v>
      </c>
    </row>
    <row r="370">
      <c r="A370" s="21" t="inlineStr">
        <is>
          <t>Купить</t>
        </is>
      </c>
      <c r="B370" s="21" t="inlineStr">
        <is>
          <t>Дом или коттедж</t>
        </is>
      </c>
      <c r="C370" s="21" t="inlineStr">
        <is>
          <t>Кировская</t>
        </is>
      </c>
      <c r="D370" s="22" t="n">
        <v>521</v>
      </c>
    </row>
    <row r="371">
      <c r="A371" s="21" t="inlineStr">
        <is>
          <t>Купить</t>
        </is>
      </c>
      <c r="B371" s="21" t="inlineStr">
        <is>
          <t>Дом или коттедж</t>
        </is>
      </c>
      <c r="C371" s="21" t="inlineStr">
        <is>
          <t>Коми</t>
        </is>
      </c>
      <c r="D371" s="22" t="n">
        <v>465</v>
      </c>
    </row>
    <row r="372">
      <c r="A372" s="21" t="inlineStr">
        <is>
          <t>Купить</t>
        </is>
      </c>
      <c r="B372" s="21" t="inlineStr">
        <is>
          <t>Дом или коттедж</t>
        </is>
      </c>
      <c r="C372" s="21" t="inlineStr">
        <is>
          <t>Костромская</t>
        </is>
      </c>
      <c r="D372" s="22" t="n">
        <v>1178</v>
      </c>
    </row>
    <row r="373">
      <c r="A373" s="21" t="inlineStr">
        <is>
          <t>Купить</t>
        </is>
      </c>
      <c r="B373" s="21" t="inlineStr">
        <is>
          <t>Дом или коттедж</t>
        </is>
      </c>
      <c r="C373" s="21" t="inlineStr">
        <is>
          <t>Краснодарский</t>
        </is>
      </c>
      <c r="D373" s="22" t="n">
        <v>38107</v>
      </c>
    </row>
    <row r="374">
      <c r="A374" s="21" t="inlineStr">
        <is>
          <t>Купить</t>
        </is>
      </c>
      <c r="B374" s="21" t="inlineStr">
        <is>
          <t>Дом или коттедж</t>
        </is>
      </c>
      <c r="C374" s="21" t="inlineStr">
        <is>
          <t>Красноярский</t>
        </is>
      </c>
      <c r="D374" s="22" t="n">
        <v>4262</v>
      </c>
    </row>
    <row r="375">
      <c r="A375" s="21" t="inlineStr">
        <is>
          <t>Купить</t>
        </is>
      </c>
      <c r="B375" s="21" t="inlineStr">
        <is>
          <t>Дом или коттедж</t>
        </is>
      </c>
      <c r="C375" s="21" t="inlineStr">
        <is>
          <t>Крым</t>
        </is>
      </c>
      <c r="D375" s="22" t="n">
        <v>10881</v>
      </c>
    </row>
    <row r="376">
      <c r="A376" s="21" t="inlineStr">
        <is>
          <t>Купить</t>
        </is>
      </c>
      <c r="B376" s="21" t="inlineStr">
        <is>
          <t>Дом или коттедж</t>
        </is>
      </c>
      <c r="C376" s="21" t="inlineStr">
        <is>
          <t>Курганская</t>
        </is>
      </c>
      <c r="D376" s="22" t="n">
        <v>1530</v>
      </c>
    </row>
    <row r="377">
      <c r="A377" s="21" t="inlineStr">
        <is>
          <t>Купить</t>
        </is>
      </c>
      <c r="B377" s="21" t="inlineStr">
        <is>
          <t>Дом или коттедж</t>
        </is>
      </c>
      <c r="C377" s="21" t="inlineStr">
        <is>
          <t>Курская</t>
        </is>
      </c>
      <c r="D377" s="22" t="n">
        <v>531</v>
      </c>
    </row>
    <row r="378">
      <c r="A378" s="21" t="inlineStr">
        <is>
          <t>Купить</t>
        </is>
      </c>
      <c r="B378" s="21" t="inlineStr">
        <is>
          <t>Дом или коттедж</t>
        </is>
      </c>
      <c r="C378" s="21" t="inlineStr">
        <is>
          <t>Ленинградская</t>
        </is>
      </c>
      <c r="D378" s="22" t="n">
        <v>7570</v>
      </c>
    </row>
    <row r="379">
      <c r="A379" s="21" t="inlineStr">
        <is>
          <t>Купить</t>
        </is>
      </c>
      <c r="B379" s="21" t="inlineStr">
        <is>
          <t>Дом или коттедж</t>
        </is>
      </c>
      <c r="C379" s="21" t="inlineStr">
        <is>
          <t>Липецкая</t>
        </is>
      </c>
      <c r="D379" s="22" t="n">
        <v>1472</v>
      </c>
    </row>
    <row r="380">
      <c r="A380" s="21" t="inlineStr">
        <is>
          <t>Купить</t>
        </is>
      </c>
      <c r="B380" s="21" t="inlineStr">
        <is>
          <t>Дом или коттедж</t>
        </is>
      </c>
      <c r="C380" s="21" t="inlineStr">
        <is>
          <t>Магаданская</t>
        </is>
      </c>
      <c r="D380" s="22" t="n">
        <v>12</v>
      </c>
    </row>
    <row r="381">
      <c r="A381" s="21" t="inlineStr">
        <is>
          <t>Купить</t>
        </is>
      </c>
      <c r="B381" s="21" t="inlineStr">
        <is>
          <t>Дом или коттедж</t>
        </is>
      </c>
      <c r="C381" s="21" t="inlineStr">
        <is>
          <t>Марий Эл</t>
        </is>
      </c>
      <c r="D381" s="22" t="n">
        <v>577</v>
      </c>
    </row>
    <row r="382">
      <c r="A382" s="21" t="inlineStr">
        <is>
          <t>Купить</t>
        </is>
      </c>
      <c r="B382" s="21" t="inlineStr">
        <is>
          <t>Дом или коттедж</t>
        </is>
      </c>
      <c r="C382" s="21" t="inlineStr">
        <is>
          <t>Мордовия</t>
        </is>
      </c>
      <c r="D382" s="22" t="n">
        <v>405</v>
      </c>
    </row>
    <row r="383">
      <c r="A383" s="21" t="inlineStr">
        <is>
          <t>Купить</t>
        </is>
      </c>
      <c r="B383" s="21" t="inlineStr">
        <is>
          <t>Дом или коттедж</t>
        </is>
      </c>
      <c r="C383" s="21" t="inlineStr">
        <is>
          <t>Москва</t>
        </is>
      </c>
      <c r="D383" s="22" t="n">
        <v>2225</v>
      </c>
    </row>
    <row r="384">
      <c r="A384" s="21" t="inlineStr">
        <is>
          <t>Купить</t>
        </is>
      </c>
      <c r="B384" s="21" t="inlineStr">
        <is>
          <t>Дом или коттедж</t>
        </is>
      </c>
      <c r="C384" s="21" t="inlineStr">
        <is>
          <t>Московская</t>
        </is>
      </c>
      <c r="D384" s="22" t="n">
        <v>24119</v>
      </c>
    </row>
    <row r="385">
      <c r="A385" s="21" t="inlineStr">
        <is>
          <t>Купить</t>
        </is>
      </c>
      <c r="B385" s="21" t="inlineStr">
        <is>
          <t>Дом или коттедж</t>
        </is>
      </c>
      <c r="C385" s="21" t="inlineStr">
        <is>
          <t>Мурманская</t>
        </is>
      </c>
      <c r="D385" s="22" t="n">
        <v>39</v>
      </c>
    </row>
    <row r="386">
      <c r="A386" s="21" t="inlineStr">
        <is>
          <t>Купить</t>
        </is>
      </c>
      <c r="B386" s="21" t="inlineStr">
        <is>
          <t>Дом или коттедж</t>
        </is>
      </c>
      <c r="C386" s="21" t="inlineStr">
        <is>
          <t>Ненецкий</t>
        </is>
      </c>
      <c r="D386" s="22" t="n">
        <v>0</v>
      </c>
    </row>
    <row r="387">
      <c r="A387" s="21" t="inlineStr">
        <is>
          <t>Купить</t>
        </is>
      </c>
      <c r="B387" s="21" t="inlineStr">
        <is>
          <t>Дом или коттедж</t>
        </is>
      </c>
      <c r="C387" s="21" t="inlineStr">
        <is>
          <t>Нижегородская</t>
        </is>
      </c>
      <c r="D387" s="22" t="n">
        <v>10</v>
      </c>
    </row>
    <row r="388">
      <c r="A388" s="21" t="inlineStr">
        <is>
          <t>Купить</t>
        </is>
      </c>
      <c r="B388" s="21" t="inlineStr">
        <is>
          <t>Дом или коттедж</t>
        </is>
      </c>
      <c r="C388" s="21" t="inlineStr">
        <is>
          <t>Новгородская</t>
        </is>
      </c>
      <c r="D388" s="22" t="n">
        <v>738</v>
      </c>
    </row>
    <row r="389">
      <c r="A389" s="21" t="inlineStr">
        <is>
          <t>Купить</t>
        </is>
      </c>
      <c r="B389" s="21" t="inlineStr">
        <is>
          <t>Дом или коттедж</t>
        </is>
      </c>
      <c r="C389" s="21" t="inlineStr">
        <is>
          <t>Новосибирская</t>
        </is>
      </c>
      <c r="D389" s="22" t="n">
        <v>8079</v>
      </c>
    </row>
    <row r="390">
      <c r="A390" s="21" t="inlineStr">
        <is>
          <t>Купить</t>
        </is>
      </c>
      <c r="B390" s="21" t="inlineStr">
        <is>
          <t>Дом или коттедж</t>
        </is>
      </c>
      <c r="C390" s="21" t="inlineStr">
        <is>
          <t>Омская</t>
        </is>
      </c>
      <c r="D390" s="22" t="n">
        <v>2421</v>
      </c>
    </row>
    <row r="391">
      <c r="A391" s="21" t="inlineStr">
        <is>
          <t>Купить</t>
        </is>
      </c>
      <c r="B391" s="21" t="inlineStr">
        <is>
          <t>Дом или коттедж</t>
        </is>
      </c>
      <c r="C391" s="21" t="inlineStr">
        <is>
          <t>Оренбургская</t>
        </is>
      </c>
      <c r="D391" s="22" t="n">
        <v>3051</v>
      </c>
    </row>
    <row r="392">
      <c r="A392" s="21" t="inlineStr">
        <is>
          <t>Купить</t>
        </is>
      </c>
      <c r="B392" s="21" t="inlineStr">
        <is>
          <t>Дом или коттедж</t>
        </is>
      </c>
      <c r="C392" s="21" t="inlineStr">
        <is>
          <t>Орловская</t>
        </is>
      </c>
      <c r="D392" s="22" t="n">
        <v>814</v>
      </c>
    </row>
    <row r="393">
      <c r="A393" s="21" t="inlineStr">
        <is>
          <t>Купить</t>
        </is>
      </c>
      <c r="B393" s="21" t="inlineStr">
        <is>
          <t>Дом или коттедж</t>
        </is>
      </c>
      <c r="C393" s="21" t="inlineStr">
        <is>
          <t>Пензенская</t>
        </is>
      </c>
      <c r="D393" s="22" t="n">
        <v>1376</v>
      </c>
    </row>
    <row r="394">
      <c r="A394" s="21" t="inlineStr">
        <is>
          <t>Купить</t>
        </is>
      </c>
      <c r="B394" s="21" t="inlineStr">
        <is>
          <t>Дом или коттедж</t>
        </is>
      </c>
      <c r="C394" s="21" t="inlineStr">
        <is>
          <t>Пермский</t>
        </is>
      </c>
      <c r="D394" s="22" t="n">
        <v>2597</v>
      </c>
    </row>
    <row r="395">
      <c r="A395" s="21" t="inlineStr">
        <is>
          <t>Купить</t>
        </is>
      </c>
      <c r="B395" s="21" t="inlineStr">
        <is>
          <t>Дом или коттедж</t>
        </is>
      </c>
      <c r="C395" s="21" t="inlineStr">
        <is>
          <t>Приморский</t>
        </is>
      </c>
      <c r="D395" s="22" t="n">
        <v>757</v>
      </c>
    </row>
    <row r="396">
      <c r="A396" s="21" t="inlineStr">
        <is>
          <t>Купить</t>
        </is>
      </c>
      <c r="B396" s="21" t="inlineStr">
        <is>
          <t>Дом или коттедж</t>
        </is>
      </c>
      <c r="C396" s="21" t="inlineStr">
        <is>
          <t>Псковская</t>
        </is>
      </c>
      <c r="D396" s="22" t="n">
        <v>548</v>
      </c>
    </row>
    <row r="397">
      <c r="A397" s="21" t="inlineStr">
        <is>
          <t>Купить</t>
        </is>
      </c>
      <c r="B397" s="21" t="inlineStr">
        <is>
          <t>Дом или коттедж</t>
        </is>
      </c>
      <c r="C397" s="21" t="inlineStr">
        <is>
          <t>Ростовская</t>
        </is>
      </c>
      <c r="D397" s="22" t="n">
        <v>13914</v>
      </c>
    </row>
    <row r="398">
      <c r="A398" s="21" t="inlineStr">
        <is>
          <t>Купить</t>
        </is>
      </c>
      <c r="B398" s="21" t="inlineStr">
        <is>
          <t>Дом или коттедж</t>
        </is>
      </c>
      <c r="C398" s="21" t="inlineStr">
        <is>
          <t>Рязанская</t>
        </is>
      </c>
      <c r="D398" s="22" t="n">
        <v>1577</v>
      </c>
    </row>
    <row r="399">
      <c r="A399" s="21" t="inlineStr">
        <is>
          <t>Купить</t>
        </is>
      </c>
      <c r="B399" s="21" t="inlineStr">
        <is>
          <t>Дом или коттедж</t>
        </is>
      </c>
      <c r="C399" s="21" t="inlineStr">
        <is>
          <t>Самарская</t>
        </is>
      </c>
      <c r="D399" s="22" t="n">
        <v>1964</v>
      </c>
    </row>
    <row r="400">
      <c r="A400" s="21" t="inlineStr">
        <is>
          <t>Купить</t>
        </is>
      </c>
      <c r="B400" s="21" t="inlineStr">
        <is>
          <t>Дом или коттедж</t>
        </is>
      </c>
      <c r="C400" s="21" t="inlineStr">
        <is>
          <t>Санкт-Петербург</t>
        </is>
      </c>
      <c r="D400" s="22" t="n">
        <v>619</v>
      </c>
    </row>
    <row r="401">
      <c r="A401" s="21" t="inlineStr">
        <is>
          <t>Купить</t>
        </is>
      </c>
      <c r="B401" s="21" t="inlineStr">
        <is>
          <t>Дом или коттедж</t>
        </is>
      </c>
      <c r="C401" s="21" t="inlineStr">
        <is>
          <t>Саратовская</t>
        </is>
      </c>
      <c r="D401" s="22" t="n">
        <v>3960</v>
      </c>
    </row>
    <row r="402">
      <c r="A402" s="21" t="inlineStr">
        <is>
          <t>Купить</t>
        </is>
      </c>
      <c r="B402" s="21" t="inlineStr">
        <is>
          <t>Дом или коттедж</t>
        </is>
      </c>
      <c r="C402" s="21" t="inlineStr">
        <is>
          <t>Саха (Якутия)</t>
        </is>
      </c>
      <c r="D402" s="22" t="n">
        <v>671</v>
      </c>
    </row>
    <row r="403">
      <c r="A403" s="21" t="inlineStr">
        <is>
          <t>Купить</t>
        </is>
      </c>
      <c r="B403" s="21" t="inlineStr">
        <is>
          <t>Дом или коттедж</t>
        </is>
      </c>
      <c r="C403" s="21" t="inlineStr">
        <is>
          <t>Сахалинская</t>
        </is>
      </c>
      <c r="D403" s="22" t="n">
        <v>744</v>
      </c>
    </row>
    <row r="404">
      <c r="A404" s="21" t="inlineStr">
        <is>
          <t>Купить</t>
        </is>
      </c>
      <c r="B404" s="21" t="inlineStr">
        <is>
          <t>Дом или коттедж</t>
        </is>
      </c>
      <c r="C404" s="21" t="inlineStr">
        <is>
          <t>Свердловская</t>
        </is>
      </c>
      <c r="D404" s="22" t="n">
        <v>6378</v>
      </c>
    </row>
    <row r="405">
      <c r="A405" s="21" t="inlineStr">
        <is>
          <t>Купить</t>
        </is>
      </c>
      <c r="B405" s="21" t="inlineStr">
        <is>
          <t>Дом или коттедж</t>
        </is>
      </c>
      <c r="C405" s="21" t="inlineStr">
        <is>
          <t>Севастополь</t>
        </is>
      </c>
      <c r="D405" s="22" t="n">
        <v>2841</v>
      </c>
    </row>
    <row r="406">
      <c r="A406" s="21" t="inlineStr">
        <is>
          <t>Купить</t>
        </is>
      </c>
      <c r="B406" s="21" t="inlineStr">
        <is>
          <t>Дом или коттедж</t>
        </is>
      </c>
      <c r="C406" s="21" t="inlineStr">
        <is>
          <t>Северная Осетия - Алания</t>
        </is>
      </c>
      <c r="D406" s="22" t="n">
        <v>692</v>
      </c>
    </row>
    <row r="407">
      <c r="A407" s="21" t="inlineStr">
        <is>
          <t>Купить</t>
        </is>
      </c>
      <c r="B407" s="21" t="inlineStr">
        <is>
          <t>Дом или коттедж</t>
        </is>
      </c>
      <c r="C407" s="21" t="inlineStr">
        <is>
          <t>Смоленская</t>
        </is>
      </c>
      <c r="D407" s="22" t="n">
        <v>1112</v>
      </c>
    </row>
    <row r="408">
      <c r="A408" s="21" t="inlineStr">
        <is>
          <t>Купить</t>
        </is>
      </c>
      <c r="B408" s="21" t="inlineStr">
        <is>
          <t>Дом или коттедж</t>
        </is>
      </c>
      <c r="C408" s="21" t="inlineStr">
        <is>
          <t>Ставропольский</t>
        </is>
      </c>
      <c r="D408" s="22" t="n">
        <v>9791</v>
      </c>
    </row>
    <row r="409">
      <c r="A409" s="21" t="inlineStr">
        <is>
          <t>Купить</t>
        </is>
      </c>
      <c r="B409" s="21" t="inlineStr">
        <is>
          <t>Дом или коттедж</t>
        </is>
      </c>
      <c r="C409" s="21" t="inlineStr">
        <is>
          <t>Тамбовская</t>
        </is>
      </c>
      <c r="D409" s="22" t="n">
        <v>1030</v>
      </c>
    </row>
    <row r="410">
      <c r="A410" s="21" t="inlineStr">
        <is>
          <t>Купить</t>
        </is>
      </c>
      <c r="B410" s="21" t="inlineStr">
        <is>
          <t>Дом или коттедж</t>
        </is>
      </c>
      <c r="C410" s="21" t="inlineStr">
        <is>
          <t>Татарстан</t>
        </is>
      </c>
      <c r="D410" s="22" t="n">
        <v>4849</v>
      </c>
    </row>
    <row r="411">
      <c r="A411" s="21" t="inlineStr">
        <is>
          <t>Купить</t>
        </is>
      </c>
      <c r="B411" s="21" t="inlineStr">
        <is>
          <t>Дом или коттедж</t>
        </is>
      </c>
      <c r="C411" s="21" t="inlineStr">
        <is>
          <t>Тверская</t>
        </is>
      </c>
      <c r="D411" s="22" t="n">
        <v>1983</v>
      </c>
    </row>
    <row r="412">
      <c r="A412" s="21" t="inlineStr">
        <is>
          <t>Купить</t>
        </is>
      </c>
      <c r="B412" s="21" t="inlineStr">
        <is>
          <t>Дом или коттедж</t>
        </is>
      </c>
      <c r="C412" s="21" t="inlineStr">
        <is>
          <t>Томская</t>
        </is>
      </c>
      <c r="D412" s="22" t="n">
        <v>1524</v>
      </c>
    </row>
    <row r="413">
      <c r="A413" s="21" t="inlineStr">
        <is>
          <t>Купить</t>
        </is>
      </c>
      <c r="B413" s="21" t="inlineStr">
        <is>
          <t>Дом или коттедж</t>
        </is>
      </c>
      <c r="C413" s="21" t="inlineStr">
        <is>
          <t>Тульская</t>
        </is>
      </c>
      <c r="D413" s="22" t="n">
        <v>2269</v>
      </c>
    </row>
    <row r="414">
      <c r="A414" s="21" t="inlineStr">
        <is>
          <t>Купить</t>
        </is>
      </c>
      <c r="B414" s="21" t="inlineStr">
        <is>
          <t>Дом или коттедж</t>
        </is>
      </c>
      <c r="C414" s="21" t="inlineStr">
        <is>
          <t>Тыва</t>
        </is>
      </c>
      <c r="D414" s="22" t="n">
        <v>651</v>
      </c>
    </row>
    <row r="415">
      <c r="A415" s="21" t="inlineStr">
        <is>
          <t>Купить</t>
        </is>
      </c>
      <c r="B415" s="21" t="inlineStr">
        <is>
          <t>Дом или коттедж</t>
        </is>
      </c>
      <c r="C415" s="21" t="inlineStr">
        <is>
          <t>Тюменская</t>
        </is>
      </c>
      <c r="D415" s="22" t="n">
        <v>20364</v>
      </c>
    </row>
    <row r="416">
      <c r="A416" s="21" t="inlineStr">
        <is>
          <t>Купить</t>
        </is>
      </c>
      <c r="B416" s="21" t="inlineStr">
        <is>
          <t>Дом или коттедж</t>
        </is>
      </c>
      <c r="C416" s="21" t="inlineStr">
        <is>
          <t>Удмуртская</t>
        </is>
      </c>
      <c r="D416" s="22" t="n">
        <v>1176</v>
      </c>
    </row>
    <row r="417">
      <c r="A417" s="21" t="inlineStr">
        <is>
          <t>Купить</t>
        </is>
      </c>
      <c r="B417" s="21" t="inlineStr">
        <is>
          <t>Дом или коттедж</t>
        </is>
      </c>
      <c r="C417" s="21" t="inlineStr">
        <is>
          <t>Ульяновская</t>
        </is>
      </c>
      <c r="D417" s="22" t="n">
        <v>1138</v>
      </c>
    </row>
    <row r="418">
      <c r="A418" s="21" t="inlineStr">
        <is>
          <t>Купить</t>
        </is>
      </c>
      <c r="B418" s="21" t="inlineStr">
        <is>
          <t>Дом или коттедж</t>
        </is>
      </c>
      <c r="C418" s="21" t="inlineStr">
        <is>
          <t>Хабаровский</t>
        </is>
      </c>
      <c r="D418" s="22" t="n">
        <v>861</v>
      </c>
    </row>
    <row r="419">
      <c r="A419" s="21" t="inlineStr">
        <is>
          <t>Купить</t>
        </is>
      </c>
      <c r="B419" s="21" t="inlineStr">
        <is>
          <t>Дом или коттедж</t>
        </is>
      </c>
      <c r="C419" s="21" t="inlineStr">
        <is>
          <t>Хакасия</t>
        </is>
      </c>
      <c r="D419" s="22" t="n">
        <v>2075</v>
      </c>
    </row>
    <row r="420">
      <c r="A420" s="21" t="inlineStr">
        <is>
          <t>Купить</t>
        </is>
      </c>
      <c r="B420" s="21" t="inlineStr">
        <is>
          <t>Дом или коттедж</t>
        </is>
      </c>
      <c r="C420" s="21" t="inlineStr">
        <is>
          <t>Ханты-Мансийский</t>
        </is>
      </c>
      <c r="D420" s="22" t="n">
        <v>2857</v>
      </c>
    </row>
    <row r="421">
      <c r="A421" s="21" t="inlineStr">
        <is>
          <t>Купить</t>
        </is>
      </c>
      <c r="B421" s="21" t="inlineStr">
        <is>
          <t>Дом или коттедж</t>
        </is>
      </c>
      <c r="C421" s="21" t="inlineStr">
        <is>
          <t>Челябинская</t>
        </is>
      </c>
      <c r="D421" s="22" t="n">
        <v>5914</v>
      </c>
    </row>
    <row r="422">
      <c r="A422" s="21" t="inlineStr">
        <is>
          <t>Купить</t>
        </is>
      </c>
      <c r="B422" s="21" t="inlineStr">
        <is>
          <t>Дом или коттедж</t>
        </is>
      </c>
      <c r="C422" s="21" t="inlineStr">
        <is>
          <t>Чеченская</t>
        </is>
      </c>
      <c r="D422" s="22" t="n">
        <v>131</v>
      </c>
    </row>
    <row r="423">
      <c r="A423" s="21" t="inlineStr">
        <is>
          <t>Купить</t>
        </is>
      </c>
      <c r="B423" s="21" t="inlineStr">
        <is>
          <t>Дом или коттедж</t>
        </is>
      </c>
      <c r="C423" s="21" t="inlineStr">
        <is>
          <t>Чувашская</t>
        </is>
      </c>
      <c r="D423" s="22" t="n">
        <v>105</v>
      </c>
    </row>
    <row r="424">
      <c r="A424" s="21" t="inlineStr">
        <is>
          <t>Купить</t>
        </is>
      </c>
      <c r="B424" s="21" t="inlineStr">
        <is>
          <t>Дом или коттедж</t>
        </is>
      </c>
      <c r="C424" s="21" t="inlineStr">
        <is>
          <t>Чукотский</t>
        </is>
      </c>
      <c r="D424" s="22" t="n">
        <v>0</v>
      </c>
    </row>
    <row r="425">
      <c r="A425" s="21" t="inlineStr">
        <is>
          <t>Купить</t>
        </is>
      </c>
      <c r="B425" s="21" t="inlineStr">
        <is>
          <t>Дом или коттедж</t>
        </is>
      </c>
      <c r="C425" s="21" t="inlineStr">
        <is>
          <t>Ямало-Ненецкий</t>
        </is>
      </c>
      <c r="D425" s="22" t="n">
        <v>235</v>
      </c>
    </row>
    <row r="426">
      <c r="A426" s="21" t="inlineStr">
        <is>
          <t>Купить</t>
        </is>
      </c>
      <c r="B426" s="21" t="inlineStr">
        <is>
          <t>Дом или коттедж</t>
        </is>
      </c>
      <c r="C426" s="21" t="inlineStr">
        <is>
          <t>Ярославская</t>
        </is>
      </c>
      <c r="D426" s="22" t="n">
        <v>3038</v>
      </c>
    </row>
    <row r="427">
      <c r="A427" s="27" t="inlineStr">
        <is>
          <t>Купить</t>
        </is>
      </c>
      <c r="B427" s="17" t="inlineStr">
        <is>
          <t>Участок</t>
        </is>
      </c>
      <c r="C427" s="28" t="inlineStr">
        <is>
          <t>Адыгея</t>
        </is>
      </c>
      <c r="D427" s="19" t="n">
        <v>1762</v>
      </c>
    </row>
    <row r="428">
      <c r="A428" s="21" t="inlineStr">
        <is>
          <t>Купить</t>
        </is>
      </c>
      <c r="B428" s="21" t="inlineStr">
        <is>
          <t>Участок</t>
        </is>
      </c>
      <c r="C428" s="21" t="inlineStr">
        <is>
          <t>Алтай</t>
        </is>
      </c>
      <c r="D428" s="22" t="n">
        <v>3415</v>
      </c>
    </row>
    <row r="429">
      <c r="A429" s="21" t="inlineStr">
        <is>
          <t>Купить</t>
        </is>
      </c>
      <c r="B429" s="21" t="inlineStr">
        <is>
          <t>Участок</t>
        </is>
      </c>
      <c r="C429" s="21" t="inlineStr">
        <is>
          <t>Алтайский</t>
        </is>
      </c>
      <c r="D429" s="22" t="n">
        <v>1202</v>
      </c>
    </row>
    <row r="430">
      <c r="A430" s="21" t="inlineStr">
        <is>
          <t>Купить</t>
        </is>
      </c>
      <c r="B430" s="21" t="inlineStr">
        <is>
          <t>Участок</t>
        </is>
      </c>
      <c r="C430" s="21" t="inlineStr">
        <is>
          <t>Амурская</t>
        </is>
      </c>
      <c r="D430" s="22" t="n">
        <v>730</v>
      </c>
    </row>
    <row r="431">
      <c r="A431" s="21" t="inlineStr">
        <is>
          <t>Купить</t>
        </is>
      </c>
      <c r="B431" s="21" t="inlineStr">
        <is>
          <t>Участок</t>
        </is>
      </c>
      <c r="C431" s="21" t="inlineStr">
        <is>
          <t>Архангельская</t>
        </is>
      </c>
      <c r="D431" s="22" t="n">
        <v>341</v>
      </c>
    </row>
    <row r="432">
      <c r="A432" s="21" t="inlineStr">
        <is>
          <t>Купить</t>
        </is>
      </c>
      <c r="B432" s="21" t="inlineStr">
        <is>
          <t>Участок</t>
        </is>
      </c>
      <c r="C432" s="21" t="inlineStr">
        <is>
          <t>Астраханская</t>
        </is>
      </c>
      <c r="D432" s="22" t="n">
        <v>288</v>
      </c>
    </row>
    <row r="433">
      <c r="A433" s="21" t="inlineStr">
        <is>
          <t>Купить</t>
        </is>
      </c>
      <c r="B433" s="21" t="inlineStr">
        <is>
          <t>Участок</t>
        </is>
      </c>
      <c r="C433" s="21" t="inlineStr">
        <is>
          <t>Башкортостан</t>
        </is>
      </c>
      <c r="D433" s="22" t="n">
        <v>3821</v>
      </c>
    </row>
    <row r="434">
      <c r="A434" s="21" t="inlineStr">
        <is>
          <t>Купить</t>
        </is>
      </c>
      <c r="B434" s="21" t="inlineStr">
        <is>
          <t>Участок</t>
        </is>
      </c>
      <c r="C434" s="21" t="inlineStr">
        <is>
          <t>Белгородская</t>
        </is>
      </c>
      <c r="D434" s="22" t="n">
        <v>1493</v>
      </c>
    </row>
    <row r="435">
      <c r="A435" s="21" t="inlineStr">
        <is>
          <t>Купить</t>
        </is>
      </c>
      <c r="B435" s="21" t="inlineStr">
        <is>
          <t>Участок</t>
        </is>
      </c>
      <c r="C435" s="21" t="inlineStr">
        <is>
          <t>Брянская</t>
        </is>
      </c>
      <c r="D435" s="22" t="n">
        <v>1120</v>
      </c>
    </row>
    <row r="436">
      <c r="A436" s="21" t="inlineStr">
        <is>
          <t>Купить</t>
        </is>
      </c>
      <c r="B436" s="21" t="inlineStr">
        <is>
          <t>Участок</t>
        </is>
      </c>
      <c r="C436" s="21" t="inlineStr">
        <is>
          <t>Бурятия</t>
        </is>
      </c>
      <c r="D436" s="22" t="n">
        <v>939</v>
      </c>
    </row>
    <row r="437">
      <c r="A437" s="21" t="inlineStr">
        <is>
          <t>Купить</t>
        </is>
      </c>
      <c r="B437" s="21" t="inlineStr">
        <is>
          <t>Участок</t>
        </is>
      </c>
      <c r="C437" s="21" t="inlineStr">
        <is>
          <t>Владимирская</t>
        </is>
      </c>
      <c r="D437" s="22" t="n">
        <v>3369</v>
      </c>
    </row>
    <row r="438">
      <c r="A438" s="21" t="inlineStr">
        <is>
          <t>Купить</t>
        </is>
      </c>
      <c r="B438" s="21" t="inlineStr">
        <is>
          <t>Участок</t>
        </is>
      </c>
      <c r="C438" s="21" t="inlineStr">
        <is>
          <t>Волгоградская</t>
        </is>
      </c>
      <c r="D438" s="22" t="n">
        <v>1194</v>
      </c>
    </row>
    <row r="439">
      <c r="A439" s="21" t="inlineStr">
        <is>
          <t>Купить</t>
        </is>
      </c>
      <c r="B439" s="21" t="inlineStr">
        <is>
          <t>Участок</t>
        </is>
      </c>
      <c r="C439" s="21" t="inlineStr">
        <is>
          <t>Вологодская</t>
        </is>
      </c>
      <c r="D439" s="22" t="n">
        <v>1619</v>
      </c>
    </row>
    <row r="440">
      <c r="A440" s="21" t="inlineStr">
        <is>
          <t>Купить</t>
        </is>
      </c>
      <c r="B440" s="21" t="inlineStr">
        <is>
          <t>Участок</t>
        </is>
      </c>
      <c r="C440" s="21" t="inlineStr">
        <is>
          <t>Воронежская</t>
        </is>
      </c>
      <c r="D440" s="22" t="n">
        <v>1833</v>
      </c>
    </row>
    <row r="441">
      <c r="A441" s="21" t="inlineStr">
        <is>
          <t>Купить</t>
        </is>
      </c>
      <c r="B441" s="21" t="inlineStr">
        <is>
          <t>Участок</t>
        </is>
      </c>
      <c r="C441" s="21" t="inlineStr">
        <is>
          <t>Дагестан</t>
        </is>
      </c>
      <c r="D441" s="22" t="n">
        <v>612</v>
      </c>
    </row>
    <row r="442">
      <c r="A442" s="21" t="inlineStr">
        <is>
          <t>Купить</t>
        </is>
      </c>
      <c r="B442" s="21" t="inlineStr">
        <is>
          <t>Участок</t>
        </is>
      </c>
      <c r="C442" s="21" t="inlineStr">
        <is>
          <t>Еврейская</t>
        </is>
      </c>
      <c r="D442" s="22" t="n">
        <v>54</v>
      </c>
    </row>
    <row r="443">
      <c r="A443" s="21" t="inlineStr">
        <is>
          <t>Купить</t>
        </is>
      </c>
      <c r="B443" s="21" t="inlineStr">
        <is>
          <t>Участок</t>
        </is>
      </c>
      <c r="C443" s="21" t="inlineStr">
        <is>
          <t>Забайкальский</t>
        </is>
      </c>
      <c r="D443" s="22" t="n">
        <v>459</v>
      </c>
    </row>
    <row r="444">
      <c r="A444" s="21" t="inlineStr">
        <is>
          <t>Купить</t>
        </is>
      </c>
      <c r="B444" s="21" t="inlineStr">
        <is>
          <t>Участок</t>
        </is>
      </c>
      <c r="C444" s="21" t="inlineStr">
        <is>
          <t>Ивановская</t>
        </is>
      </c>
      <c r="D444" s="22" t="n">
        <v>480</v>
      </c>
    </row>
    <row r="445">
      <c r="A445" s="21" t="inlineStr">
        <is>
          <t>Купить</t>
        </is>
      </c>
      <c r="B445" s="21" t="inlineStr">
        <is>
          <t>Участок</t>
        </is>
      </c>
      <c r="C445" s="21" t="inlineStr">
        <is>
          <t>Ингушетия</t>
        </is>
      </c>
      <c r="D445" s="22" t="n">
        <v>167</v>
      </c>
    </row>
    <row r="446">
      <c r="A446" s="21" t="inlineStr">
        <is>
          <t>Купить</t>
        </is>
      </c>
      <c r="B446" s="21" t="inlineStr">
        <is>
          <t>Участок</t>
        </is>
      </c>
      <c r="C446" s="21" t="inlineStr">
        <is>
          <t>Иркутская</t>
        </is>
      </c>
      <c r="D446" s="22" t="n">
        <v>1145</v>
      </c>
    </row>
    <row r="447">
      <c r="A447" s="21" t="inlineStr">
        <is>
          <t>Купить</t>
        </is>
      </c>
      <c r="B447" s="21" t="inlineStr">
        <is>
          <t>Участок</t>
        </is>
      </c>
      <c r="C447" s="21" t="inlineStr">
        <is>
          <t>Кабардино-Балкарская</t>
        </is>
      </c>
      <c r="D447" s="22" t="n">
        <v>312</v>
      </c>
    </row>
    <row r="448">
      <c r="A448" s="21" t="inlineStr">
        <is>
          <t>Купить</t>
        </is>
      </c>
      <c r="B448" s="21" t="inlineStr">
        <is>
          <t>Участок</t>
        </is>
      </c>
      <c r="C448" s="21" t="inlineStr">
        <is>
          <t>Калининградская</t>
        </is>
      </c>
      <c r="D448" s="22" t="n">
        <v>5745</v>
      </c>
    </row>
    <row r="449">
      <c r="A449" s="21" t="inlineStr">
        <is>
          <t>Купить</t>
        </is>
      </c>
      <c r="B449" s="21" t="inlineStr">
        <is>
          <t>Участок</t>
        </is>
      </c>
      <c r="C449" s="21" t="inlineStr">
        <is>
          <t>Калмыкия</t>
        </is>
      </c>
      <c r="D449" s="22" t="n">
        <v>137</v>
      </c>
    </row>
    <row r="450">
      <c r="A450" s="21" t="inlineStr">
        <is>
          <t>Купить</t>
        </is>
      </c>
      <c r="B450" s="21" t="inlineStr">
        <is>
          <t>Участок</t>
        </is>
      </c>
      <c r="C450" s="21" t="inlineStr">
        <is>
          <t>Калужская</t>
        </is>
      </c>
      <c r="D450" s="22" t="n">
        <v>2631</v>
      </c>
    </row>
    <row r="451">
      <c r="A451" s="21" t="inlineStr">
        <is>
          <t>Купить</t>
        </is>
      </c>
      <c r="B451" s="21" t="inlineStr">
        <is>
          <t>Участок</t>
        </is>
      </c>
      <c r="C451" s="21" t="inlineStr">
        <is>
          <t>Камчатский</t>
        </is>
      </c>
      <c r="D451" s="22" t="n">
        <v>263</v>
      </c>
    </row>
    <row r="452">
      <c r="A452" s="21" t="inlineStr">
        <is>
          <t>Купить</t>
        </is>
      </c>
      <c r="B452" s="21" t="inlineStr">
        <is>
          <t>Участок</t>
        </is>
      </c>
      <c r="C452" s="21" t="inlineStr">
        <is>
          <t>Карачаево-Черкесская</t>
        </is>
      </c>
      <c r="D452" s="22" t="n">
        <v>229</v>
      </c>
    </row>
    <row r="453">
      <c r="A453" s="21" t="inlineStr">
        <is>
          <t>Купить</t>
        </is>
      </c>
      <c r="B453" s="21" t="inlineStr">
        <is>
          <t>Участок</t>
        </is>
      </c>
      <c r="C453" s="21" t="inlineStr">
        <is>
          <t>Карелия</t>
        </is>
      </c>
      <c r="D453" s="22" t="n">
        <v>472</v>
      </c>
    </row>
    <row r="454">
      <c r="A454" s="21" t="inlineStr">
        <is>
          <t>Купить</t>
        </is>
      </c>
      <c r="B454" s="21" t="inlineStr">
        <is>
          <t>Участок</t>
        </is>
      </c>
      <c r="C454" s="21" t="inlineStr">
        <is>
          <t>Кемеровская</t>
        </is>
      </c>
      <c r="D454" s="22" t="n">
        <v>1013</v>
      </c>
    </row>
    <row r="455">
      <c r="A455" s="21" t="inlineStr">
        <is>
          <t>Купить</t>
        </is>
      </c>
      <c r="B455" s="21" t="inlineStr">
        <is>
          <t>Участок</t>
        </is>
      </c>
      <c r="C455" s="21" t="inlineStr">
        <is>
          <t>Кировская</t>
        </is>
      </c>
      <c r="D455" s="22" t="n">
        <v>353</v>
      </c>
    </row>
    <row r="456">
      <c r="A456" s="21" t="inlineStr">
        <is>
          <t>Купить</t>
        </is>
      </c>
      <c r="B456" s="21" t="inlineStr">
        <is>
          <t>Участок</t>
        </is>
      </c>
      <c r="C456" s="21" t="inlineStr">
        <is>
          <t>Коми</t>
        </is>
      </c>
      <c r="D456" s="22" t="n">
        <v>323</v>
      </c>
    </row>
    <row r="457">
      <c r="A457" s="21" t="inlineStr">
        <is>
          <t>Купить</t>
        </is>
      </c>
      <c r="B457" s="21" t="inlineStr">
        <is>
          <t>Участок</t>
        </is>
      </c>
      <c r="C457" s="21" t="inlineStr">
        <is>
          <t>Костромская</t>
        </is>
      </c>
      <c r="D457" s="22" t="n">
        <v>870</v>
      </c>
    </row>
    <row r="458">
      <c r="A458" s="21" t="inlineStr">
        <is>
          <t>Купить</t>
        </is>
      </c>
      <c r="B458" s="21" t="inlineStr">
        <is>
          <t>Участок</t>
        </is>
      </c>
      <c r="C458" s="21" t="inlineStr">
        <is>
          <t>Краснодарский</t>
        </is>
      </c>
      <c r="D458" s="22" t="n">
        <v>17214</v>
      </c>
    </row>
    <row r="459">
      <c r="A459" s="21" t="inlineStr">
        <is>
          <t>Купить</t>
        </is>
      </c>
      <c r="B459" s="21" t="inlineStr">
        <is>
          <t>Участок</t>
        </is>
      </c>
      <c r="C459" s="21" t="inlineStr">
        <is>
          <t>Красноярский</t>
        </is>
      </c>
      <c r="D459" s="22" t="n">
        <v>2296</v>
      </c>
    </row>
    <row r="460">
      <c r="A460" s="21" t="inlineStr">
        <is>
          <t>Купить</t>
        </is>
      </c>
      <c r="B460" s="21" t="inlineStr">
        <is>
          <t>Участок</t>
        </is>
      </c>
      <c r="C460" s="21" t="inlineStr">
        <is>
          <t>Крым</t>
        </is>
      </c>
      <c r="D460" s="22" t="n">
        <v>15869</v>
      </c>
    </row>
    <row r="461">
      <c r="A461" s="21" t="inlineStr">
        <is>
          <t>Купить</t>
        </is>
      </c>
      <c r="B461" s="21" t="inlineStr">
        <is>
          <t>Участок</t>
        </is>
      </c>
      <c r="C461" s="21" t="inlineStr">
        <is>
          <t>Курганская</t>
        </is>
      </c>
      <c r="D461" s="22" t="n">
        <v>564</v>
      </c>
    </row>
    <row r="462">
      <c r="A462" s="21" t="inlineStr">
        <is>
          <t>Купить</t>
        </is>
      </c>
      <c r="B462" s="21" t="inlineStr">
        <is>
          <t>Участок</t>
        </is>
      </c>
      <c r="C462" s="21" t="inlineStr">
        <is>
          <t>Курская</t>
        </is>
      </c>
      <c r="D462" s="22" t="n">
        <v>204</v>
      </c>
    </row>
    <row r="463">
      <c r="A463" s="21" t="inlineStr">
        <is>
          <t>Купить</t>
        </is>
      </c>
      <c r="B463" s="21" t="inlineStr">
        <is>
          <t>Участок</t>
        </is>
      </c>
      <c r="C463" s="21" t="inlineStr">
        <is>
          <t>Ленинградская</t>
        </is>
      </c>
      <c r="D463" s="22" t="n">
        <v>7254</v>
      </c>
    </row>
    <row r="464">
      <c r="A464" s="21" t="inlineStr">
        <is>
          <t>Купить</t>
        </is>
      </c>
      <c r="B464" s="21" t="inlineStr">
        <is>
          <t>Участок</t>
        </is>
      </c>
      <c r="C464" s="21" t="inlineStr">
        <is>
          <t>Липецкая</t>
        </is>
      </c>
      <c r="D464" s="22" t="n">
        <v>587</v>
      </c>
    </row>
    <row r="465">
      <c r="A465" s="21" t="inlineStr">
        <is>
          <t>Купить</t>
        </is>
      </c>
      <c r="B465" s="21" t="inlineStr">
        <is>
          <t>Участок</t>
        </is>
      </c>
      <c r="C465" s="21" t="inlineStr">
        <is>
          <t>Магаданская</t>
        </is>
      </c>
      <c r="D465" s="22" t="n">
        <v>15</v>
      </c>
    </row>
    <row r="466">
      <c r="A466" s="21" t="inlineStr">
        <is>
          <t>Купить</t>
        </is>
      </c>
      <c r="B466" s="21" t="inlineStr">
        <is>
          <t>Участок</t>
        </is>
      </c>
      <c r="C466" s="21" t="inlineStr">
        <is>
          <t>Марий Эл</t>
        </is>
      </c>
      <c r="D466" s="22" t="n">
        <v>577</v>
      </c>
    </row>
    <row r="467">
      <c r="A467" s="21" t="inlineStr">
        <is>
          <t>Купить</t>
        </is>
      </c>
      <c r="B467" s="21" t="inlineStr">
        <is>
          <t>Участок</t>
        </is>
      </c>
      <c r="C467" s="21" t="inlineStr">
        <is>
          <t>Мордовия</t>
        </is>
      </c>
      <c r="D467" s="22" t="n">
        <v>468</v>
      </c>
    </row>
    <row r="468">
      <c r="A468" s="21" t="inlineStr">
        <is>
          <t>Купить</t>
        </is>
      </c>
      <c r="B468" s="21" t="inlineStr">
        <is>
          <t>Участок</t>
        </is>
      </c>
      <c r="C468" s="21" t="inlineStr">
        <is>
          <t>Москва</t>
        </is>
      </c>
      <c r="D468" s="22" t="n">
        <v>664</v>
      </c>
    </row>
    <row r="469">
      <c r="A469" s="21" t="inlineStr">
        <is>
          <t>Купить</t>
        </is>
      </c>
      <c r="B469" s="21" t="inlineStr">
        <is>
          <t>Участок</t>
        </is>
      </c>
      <c r="C469" s="21" t="inlineStr">
        <is>
          <t>Московская</t>
        </is>
      </c>
      <c r="D469" s="22" t="n">
        <v>25627</v>
      </c>
    </row>
    <row r="470">
      <c r="A470" s="21" t="inlineStr">
        <is>
          <t>Купить</t>
        </is>
      </c>
      <c r="B470" s="21" t="inlineStr">
        <is>
          <t>Участок</t>
        </is>
      </c>
      <c r="C470" s="21" t="inlineStr">
        <is>
          <t>Мурманская</t>
        </is>
      </c>
      <c r="D470" s="22" t="n">
        <v>40</v>
      </c>
    </row>
    <row r="471">
      <c r="A471" s="21" t="inlineStr">
        <is>
          <t>Купить</t>
        </is>
      </c>
      <c r="B471" s="21" t="inlineStr">
        <is>
          <t>Участок</t>
        </is>
      </c>
      <c r="C471" s="21" t="inlineStr">
        <is>
          <t>Ненецкий</t>
        </is>
      </c>
      <c r="D471" s="22" t="n">
        <v>0</v>
      </c>
    </row>
    <row r="472">
      <c r="A472" s="21" t="inlineStr">
        <is>
          <t>Купить</t>
        </is>
      </c>
      <c r="B472" s="21" t="inlineStr">
        <is>
          <t>Участок</t>
        </is>
      </c>
      <c r="C472" s="21" t="inlineStr">
        <is>
          <t>Нижегородская</t>
        </is>
      </c>
      <c r="D472" s="22" t="n">
        <v>17</v>
      </c>
    </row>
    <row r="473">
      <c r="A473" s="21" t="inlineStr">
        <is>
          <t>Купить</t>
        </is>
      </c>
      <c r="B473" s="21" t="inlineStr">
        <is>
          <t>Участок</t>
        </is>
      </c>
      <c r="C473" s="21" t="inlineStr">
        <is>
          <t>Новгородская</t>
        </is>
      </c>
      <c r="D473" s="22" t="n">
        <v>979</v>
      </c>
    </row>
    <row r="474">
      <c r="A474" s="21" t="inlineStr">
        <is>
          <t>Купить</t>
        </is>
      </c>
      <c r="B474" s="21" t="inlineStr">
        <is>
          <t>Участок</t>
        </is>
      </c>
      <c r="C474" s="21" t="inlineStr">
        <is>
          <t>Новосибирская</t>
        </is>
      </c>
      <c r="D474" s="22" t="n">
        <v>4044</v>
      </c>
    </row>
    <row r="475">
      <c r="A475" s="21" t="inlineStr">
        <is>
          <t>Купить</t>
        </is>
      </c>
      <c r="B475" s="21" t="inlineStr">
        <is>
          <t>Участок</t>
        </is>
      </c>
      <c r="C475" s="21" t="inlineStr">
        <is>
          <t>Омская</t>
        </is>
      </c>
      <c r="D475" s="22" t="n">
        <v>771</v>
      </c>
    </row>
    <row r="476">
      <c r="A476" s="21" t="inlineStr">
        <is>
          <t>Купить</t>
        </is>
      </c>
      <c r="B476" s="21" t="inlineStr">
        <is>
          <t>Участок</t>
        </is>
      </c>
      <c r="C476" s="21" t="inlineStr">
        <is>
          <t>Оренбургская</t>
        </is>
      </c>
      <c r="D476" s="22" t="n">
        <v>833</v>
      </c>
    </row>
    <row r="477">
      <c r="A477" s="21" t="inlineStr">
        <is>
          <t>Купить</t>
        </is>
      </c>
      <c r="B477" s="21" t="inlineStr">
        <is>
          <t>Участок</t>
        </is>
      </c>
      <c r="C477" s="21" t="inlineStr">
        <is>
          <t>Орловская</t>
        </is>
      </c>
      <c r="D477" s="22" t="n">
        <v>307</v>
      </c>
    </row>
    <row r="478">
      <c r="A478" s="21" t="inlineStr">
        <is>
          <t>Купить</t>
        </is>
      </c>
      <c r="B478" s="21" t="inlineStr">
        <is>
          <t>Участок</t>
        </is>
      </c>
      <c r="C478" s="21" t="inlineStr">
        <is>
          <t>Пензенская</t>
        </is>
      </c>
      <c r="D478" s="22" t="n">
        <v>545</v>
      </c>
    </row>
    <row r="479">
      <c r="A479" s="21" t="inlineStr">
        <is>
          <t>Купить</t>
        </is>
      </c>
      <c r="B479" s="21" t="inlineStr">
        <is>
          <t>Участок</t>
        </is>
      </c>
      <c r="C479" s="21" t="inlineStr">
        <is>
          <t>Пермский</t>
        </is>
      </c>
      <c r="D479" s="22" t="n">
        <v>1440</v>
      </c>
    </row>
    <row r="480">
      <c r="A480" s="21" t="inlineStr">
        <is>
          <t>Купить</t>
        </is>
      </c>
      <c r="B480" s="21" t="inlineStr">
        <is>
          <t>Участок</t>
        </is>
      </c>
      <c r="C480" s="21" t="inlineStr">
        <is>
          <t>Приморский</t>
        </is>
      </c>
      <c r="D480" s="22" t="n">
        <v>592</v>
      </c>
    </row>
    <row r="481">
      <c r="A481" s="21" t="inlineStr">
        <is>
          <t>Купить</t>
        </is>
      </c>
      <c r="B481" s="21" t="inlineStr">
        <is>
          <t>Участок</t>
        </is>
      </c>
      <c r="C481" s="21" t="inlineStr">
        <is>
          <t>Псковская</t>
        </is>
      </c>
      <c r="D481" s="22" t="n">
        <v>512</v>
      </c>
    </row>
    <row r="482">
      <c r="A482" s="21" t="inlineStr">
        <is>
          <t>Купить</t>
        </is>
      </c>
      <c r="B482" s="21" t="inlineStr">
        <is>
          <t>Участок</t>
        </is>
      </c>
      <c r="C482" s="21" t="inlineStr">
        <is>
          <t>Ростовская</t>
        </is>
      </c>
      <c r="D482" s="22" t="n">
        <v>5589</v>
      </c>
    </row>
    <row r="483">
      <c r="A483" s="21" t="inlineStr">
        <is>
          <t>Купить</t>
        </is>
      </c>
      <c r="B483" s="21" t="inlineStr">
        <is>
          <t>Участок</t>
        </is>
      </c>
      <c r="C483" s="21" t="inlineStr">
        <is>
          <t>Рязанская</t>
        </is>
      </c>
      <c r="D483" s="22" t="n">
        <v>777</v>
      </c>
    </row>
    <row r="484">
      <c r="A484" s="21" t="inlineStr">
        <is>
          <t>Купить</t>
        </is>
      </c>
      <c r="B484" s="21" t="inlineStr">
        <is>
          <t>Участок</t>
        </is>
      </c>
      <c r="C484" s="21" t="inlineStr">
        <is>
          <t>Самарская</t>
        </is>
      </c>
      <c r="D484" s="22" t="n">
        <v>820</v>
      </c>
    </row>
    <row r="485">
      <c r="A485" s="21" t="inlineStr">
        <is>
          <t>Купить</t>
        </is>
      </c>
      <c r="B485" s="21" t="inlineStr">
        <is>
          <t>Участок</t>
        </is>
      </c>
      <c r="C485" s="21" t="inlineStr">
        <is>
          <t>Санкт-Петербург</t>
        </is>
      </c>
      <c r="D485" s="22" t="n">
        <v>457</v>
      </c>
    </row>
    <row r="486">
      <c r="A486" s="21" t="inlineStr">
        <is>
          <t>Купить</t>
        </is>
      </c>
      <c r="B486" s="21" t="inlineStr">
        <is>
          <t>Участок</t>
        </is>
      </c>
      <c r="C486" s="21" t="inlineStr">
        <is>
          <t>Саратовская</t>
        </is>
      </c>
      <c r="D486" s="22" t="n">
        <v>1646</v>
      </c>
    </row>
    <row r="487">
      <c r="A487" s="21" t="inlineStr">
        <is>
          <t>Купить</t>
        </is>
      </c>
      <c r="B487" s="21" t="inlineStr">
        <is>
          <t>Участок</t>
        </is>
      </c>
      <c r="C487" s="21" t="inlineStr">
        <is>
          <t>Саха (Якутия)</t>
        </is>
      </c>
      <c r="D487" s="22" t="n">
        <v>891</v>
      </c>
    </row>
    <row r="488">
      <c r="A488" s="21" t="inlineStr">
        <is>
          <t>Купить</t>
        </is>
      </c>
      <c r="B488" s="21" t="inlineStr">
        <is>
          <t>Участок</t>
        </is>
      </c>
      <c r="C488" s="21" t="inlineStr">
        <is>
          <t>Сахалинская</t>
        </is>
      </c>
      <c r="D488" s="22" t="n">
        <v>1291</v>
      </c>
    </row>
    <row r="489">
      <c r="A489" s="21" t="inlineStr">
        <is>
          <t>Купить</t>
        </is>
      </c>
      <c r="B489" s="21" t="inlineStr">
        <is>
          <t>Участок</t>
        </is>
      </c>
      <c r="C489" s="21" t="inlineStr">
        <is>
          <t>Свердловская</t>
        </is>
      </c>
      <c r="D489" s="22" t="n">
        <v>4787</v>
      </c>
    </row>
    <row r="490">
      <c r="A490" s="21" t="inlineStr">
        <is>
          <t>Купить</t>
        </is>
      </c>
      <c r="B490" s="21" t="inlineStr">
        <is>
          <t>Участок</t>
        </is>
      </c>
      <c r="C490" s="21" t="inlineStr">
        <is>
          <t>Севастополь</t>
        </is>
      </c>
      <c r="D490" s="22" t="n">
        <v>3091</v>
      </c>
    </row>
    <row r="491">
      <c r="A491" s="21" t="inlineStr">
        <is>
          <t>Купить</t>
        </is>
      </c>
      <c r="B491" s="21" t="inlineStr">
        <is>
          <t>Участок</t>
        </is>
      </c>
      <c r="C491" s="21" t="inlineStr">
        <is>
          <t>Северная Осетия - Алания</t>
        </is>
      </c>
      <c r="D491" s="22" t="n">
        <v>575</v>
      </c>
    </row>
    <row r="492">
      <c r="A492" s="21" t="inlineStr">
        <is>
          <t>Купить</t>
        </is>
      </c>
      <c r="B492" s="21" t="inlineStr">
        <is>
          <t>Участок</t>
        </is>
      </c>
      <c r="C492" s="21" t="inlineStr">
        <is>
          <t>Смоленская</t>
        </is>
      </c>
      <c r="D492" s="22" t="n">
        <v>796</v>
      </c>
    </row>
    <row r="493">
      <c r="A493" s="21" t="inlineStr">
        <is>
          <t>Купить</t>
        </is>
      </c>
      <c r="B493" s="21" t="inlineStr">
        <is>
          <t>Участок</t>
        </is>
      </c>
      <c r="C493" s="21" t="inlineStr">
        <is>
          <t>Ставропольский</t>
        </is>
      </c>
      <c r="D493" s="22" t="n">
        <v>2312</v>
      </c>
    </row>
    <row r="494">
      <c r="A494" s="21" t="inlineStr">
        <is>
          <t>Купить</t>
        </is>
      </c>
      <c r="B494" s="21" t="inlineStr">
        <is>
          <t>Участок</t>
        </is>
      </c>
      <c r="C494" s="21" t="inlineStr">
        <is>
          <t>Тамбовская</t>
        </is>
      </c>
      <c r="D494" s="22" t="n">
        <v>603</v>
      </c>
    </row>
    <row r="495">
      <c r="A495" s="21" t="inlineStr">
        <is>
          <t>Купить</t>
        </is>
      </c>
      <c r="B495" s="21" t="inlineStr">
        <is>
          <t>Участок</t>
        </is>
      </c>
      <c r="C495" s="21" t="inlineStr">
        <is>
          <t>Татарстан</t>
        </is>
      </c>
      <c r="D495" s="22" t="n">
        <v>2569</v>
      </c>
    </row>
    <row r="496">
      <c r="A496" s="21" t="inlineStr">
        <is>
          <t>Купить</t>
        </is>
      </c>
      <c r="B496" s="21" t="inlineStr">
        <is>
          <t>Участок</t>
        </is>
      </c>
      <c r="C496" s="21" t="inlineStr">
        <is>
          <t>Тверская</t>
        </is>
      </c>
      <c r="D496" s="22" t="n">
        <v>1251</v>
      </c>
    </row>
    <row r="497">
      <c r="A497" s="21" t="inlineStr">
        <is>
          <t>Купить</t>
        </is>
      </c>
      <c r="B497" s="21" t="inlineStr">
        <is>
          <t>Участок</t>
        </is>
      </c>
      <c r="C497" s="21" t="inlineStr">
        <is>
          <t>Томская</t>
        </is>
      </c>
      <c r="D497" s="22" t="n">
        <v>835</v>
      </c>
    </row>
    <row r="498">
      <c r="A498" s="21" t="inlineStr">
        <is>
          <t>Купить</t>
        </is>
      </c>
      <c r="B498" s="21" t="inlineStr">
        <is>
          <t>Участок</t>
        </is>
      </c>
      <c r="C498" s="21" t="inlineStr">
        <is>
          <t>Тульская</t>
        </is>
      </c>
      <c r="D498" s="22" t="n">
        <v>1491</v>
      </c>
    </row>
    <row r="499">
      <c r="A499" s="21" t="inlineStr">
        <is>
          <t>Купить</t>
        </is>
      </c>
      <c r="B499" s="21" t="inlineStr">
        <is>
          <t>Участок</t>
        </is>
      </c>
      <c r="C499" s="21" t="inlineStr">
        <is>
          <t>Тыва</t>
        </is>
      </c>
      <c r="D499" s="22" t="n">
        <v>206</v>
      </c>
    </row>
    <row r="500">
      <c r="A500" s="21" t="inlineStr">
        <is>
          <t>Купить</t>
        </is>
      </c>
      <c r="B500" s="21" t="inlineStr">
        <is>
          <t>Участок</t>
        </is>
      </c>
      <c r="C500" s="21" t="inlineStr">
        <is>
          <t>Тюменская</t>
        </is>
      </c>
      <c r="D500" s="22" t="n">
        <v>16319</v>
      </c>
    </row>
    <row r="501">
      <c r="A501" s="21" t="inlineStr">
        <is>
          <t>Купить</t>
        </is>
      </c>
      <c r="B501" s="21" t="inlineStr">
        <is>
          <t>Участок</t>
        </is>
      </c>
      <c r="C501" s="21" t="inlineStr">
        <is>
          <t>Удмуртская</t>
        </is>
      </c>
      <c r="D501" s="22" t="n">
        <v>501</v>
      </c>
    </row>
    <row r="502">
      <c r="A502" s="21" t="inlineStr">
        <is>
          <t>Купить</t>
        </is>
      </c>
      <c r="B502" s="21" t="inlineStr">
        <is>
          <t>Участок</t>
        </is>
      </c>
      <c r="C502" s="21" t="inlineStr">
        <is>
          <t>Ульяновская</t>
        </is>
      </c>
      <c r="D502" s="22" t="n">
        <v>593</v>
      </c>
    </row>
    <row r="503">
      <c r="A503" s="21" t="inlineStr">
        <is>
          <t>Купить</t>
        </is>
      </c>
      <c r="B503" s="21" t="inlineStr">
        <is>
          <t>Участок</t>
        </is>
      </c>
      <c r="C503" s="21" t="inlineStr">
        <is>
          <t>Хабаровский</t>
        </is>
      </c>
      <c r="D503" s="22" t="n">
        <v>632</v>
      </c>
    </row>
    <row r="504">
      <c r="A504" s="21" t="inlineStr">
        <is>
          <t>Купить</t>
        </is>
      </c>
      <c r="B504" s="21" t="inlineStr">
        <is>
          <t>Участок</t>
        </is>
      </c>
      <c r="C504" s="21" t="inlineStr">
        <is>
          <t>Хакасия</t>
        </is>
      </c>
      <c r="D504" s="22" t="n">
        <v>1186</v>
      </c>
    </row>
    <row r="505">
      <c r="A505" s="21" t="inlineStr">
        <is>
          <t>Купить</t>
        </is>
      </c>
      <c r="B505" s="21" t="inlineStr">
        <is>
          <t>Участок</t>
        </is>
      </c>
      <c r="C505" s="21" t="inlineStr">
        <is>
          <t>Ханты-Мансийский</t>
        </is>
      </c>
      <c r="D505" s="22" t="n">
        <v>1534</v>
      </c>
    </row>
    <row r="506">
      <c r="A506" s="21" t="inlineStr">
        <is>
          <t>Купить</t>
        </is>
      </c>
      <c r="B506" s="21" t="inlineStr">
        <is>
          <t>Участок</t>
        </is>
      </c>
      <c r="C506" s="21" t="inlineStr">
        <is>
          <t>Челябинская</t>
        </is>
      </c>
      <c r="D506" s="22" t="n">
        <v>2695</v>
      </c>
    </row>
    <row r="507">
      <c r="A507" s="21" t="inlineStr">
        <is>
          <t>Купить</t>
        </is>
      </c>
      <c r="B507" s="21" t="inlineStr">
        <is>
          <t>Участок</t>
        </is>
      </c>
      <c r="C507" s="21" t="inlineStr">
        <is>
          <t>Чеченская</t>
        </is>
      </c>
      <c r="D507" s="22" t="n">
        <v>211</v>
      </c>
    </row>
    <row r="508">
      <c r="A508" s="21" t="inlineStr">
        <is>
          <t>Купить</t>
        </is>
      </c>
      <c r="B508" s="21" t="inlineStr">
        <is>
          <t>Участок</t>
        </is>
      </c>
      <c r="C508" s="21" t="inlineStr">
        <is>
          <t>Чувашская</t>
        </is>
      </c>
      <c r="D508" s="22" t="n">
        <v>79</v>
      </c>
    </row>
    <row r="509">
      <c r="A509" s="21" t="inlineStr">
        <is>
          <t>Купить</t>
        </is>
      </c>
      <c r="B509" s="21" t="inlineStr">
        <is>
          <t>Участок</t>
        </is>
      </c>
      <c r="C509" s="21" t="inlineStr">
        <is>
          <t>Чукотский</t>
        </is>
      </c>
      <c r="D509" s="22" t="n">
        <v>0</v>
      </c>
    </row>
    <row r="510">
      <c r="A510" s="21" t="inlineStr">
        <is>
          <t>Купить</t>
        </is>
      </c>
      <c r="B510" s="21" t="inlineStr">
        <is>
          <t>Участок</t>
        </is>
      </c>
      <c r="C510" s="21" t="inlineStr">
        <is>
          <t>Ямало-Ненецкий</t>
        </is>
      </c>
      <c r="D510" s="22" t="n">
        <v>197</v>
      </c>
    </row>
    <row r="511">
      <c r="A511" s="21" t="inlineStr">
        <is>
          <t>Купить</t>
        </is>
      </c>
      <c r="B511" s="21" t="inlineStr">
        <is>
          <t>Участок</t>
        </is>
      </c>
      <c r="C511" s="21" t="inlineStr">
        <is>
          <t>Ярославская</t>
        </is>
      </c>
      <c r="D511" s="22" t="n">
        <v>2667</v>
      </c>
    </row>
    <row r="512">
      <c r="A512" s="27" t="inlineStr">
        <is>
          <t>Купить</t>
        </is>
      </c>
      <c r="B512" s="17" t="inlineStr">
        <is>
          <t>Гараж или машиноместо</t>
        </is>
      </c>
      <c r="C512" s="28" t="inlineStr">
        <is>
          <t>Адыгея</t>
        </is>
      </c>
      <c r="D512" s="19" t="n">
        <v>29</v>
      </c>
    </row>
    <row r="513">
      <c r="A513" s="21" t="inlineStr">
        <is>
          <t>Купить</t>
        </is>
      </c>
      <c r="B513" s="21" t="inlineStr">
        <is>
          <t>Гараж или машиноместо</t>
        </is>
      </c>
      <c r="C513" s="21" t="inlineStr">
        <is>
          <t>Алтай</t>
        </is>
      </c>
      <c r="D513" s="22" t="n">
        <v>0</v>
      </c>
    </row>
    <row r="514">
      <c r="A514" s="21" t="inlineStr">
        <is>
          <t>Купить</t>
        </is>
      </c>
      <c r="B514" s="21" t="inlineStr">
        <is>
          <t>Гараж или машиноместо</t>
        </is>
      </c>
      <c r="C514" s="21" t="inlineStr">
        <is>
          <t>Алтайский</t>
        </is>
      </c>
      <c r="D514" s="22" t="n">
        <v>75</v>
      </c>
    </row>
    <row r="515">
      <c r="A515" s="21" t="inlineStr">
        <is>
          <t>Купить</t>
        </is>
      </c>
      <c r="B515" s="21" t="inlineStr">
        <is>
          <t>Гараж или машиноместо</t>
        </is>
      </c>
      <c r="C515" s="21" t="inlineStr">
        <is>
          <t>Амурская</t>
        </is>
      </c>
      <c r="D515" s="22" t="n">
        <v>94</v>
      </c>
    </row>
    <row r="516">
      <c r="A516" s="21" t="inlineStr">
        <is>
          <t>Купить</t>
        </is>
      </c>
      <c r="B516" s="21" t="inlineStr">
        <is>
          <t>Гараж или машиноместо</t>
        </is>
      </c>
      <c r="C516" s="21" t="inlineStr">
        <is>
          <t>Архангельская</t>
        </is>
      </c>
      <c r="D516" s="22" t="n">
        <v>52</v>
      </c>
    </row>
    <row r="517">
      <c r="A517" s="21" t="inlineStr">
        <is>
          <t>Купить</t>
        </is>
      </c>
      <c r="B517" s="21" t="inlineStr">
        <is>
          <t>Гараж или машиноместо</t>
        </is>
      </c>
      <c r="C517" s="21" t="inlineStr">
        <is>
          <t>Астраханская</t>
        </is>
      </c>
      <c r="D517" s="22" t="n">
        <v>25</v>
      </c>
    </row>
    <row r="518">
      <c r="A518" s="21" t="inlineStr">
        <is>
          <t>Купить</t>
        </is>
      </c>
      <c r="B518" s="21" t="inlineStr">
        <is>
          <t>Гараж или машиноместо</t>
        </is>
      </c>
      <c r="C518" s="21" t="inlineStr">
        <is>
          <t>Башкортостан</t>
        </is>
      </c>
      <c r="D518" s="22" t="n">
        <v>106</v>
      </c>
    </row>
    <row r="519">
      <c r="A519" s="21" t="inlineStr">
        <is>
          <t>Купить</t>
        </is>
      </c>
      <c r="B519" s="21" t="inlineStr">
        <is>
          <t>Гараж или машиноместо</t>
        </is>
      </c>
      <c r="C519" s="21" t="inlineStr">
        <is>
          <t>Белгородская</t>
        </is>
      </c>
      <c r="D519" s="22" t="n">
        <v>94</v>
      </c>
    </row>
    <row r="520">
      <c r="A520" s="21" t="inlineStr">
        <is>
          <t>Купить</t>
        </is>
      </c>
      <c r="B520" s="21" t="inlineStr">
        <is>
          <t>Гараж или машиноместо</t>
        </is>
      </c>
      <c r="C520" s="21" t="inlineStr">
        <is>
          <t>Брянская</t>
        </is>
      </c>
      <c r="D520" s="22" t="n">
        <v>60</v>
      </c>
    </row>
    <row r="521">
      <c r="A521" s="21" t="inlineStr">
        <is>
          <t>Купить</t>
        </is>
      </c>
      <c r="B521" s="21" t="inlineStr">
        <is>
          <t>Гараж или машиноместо</t>
        </is>
      </c>
      <c r="C521" s="21" t="inlineStr">
        <is>
          <t>Бурятия</t>
        </is>
      </c>
      <c r="D521" s="22" t="n">
        <v>18</v>
      </c>
    </row>
    <row r="522">
      <c r="A522" s="21" t="inlineStr">
        <is>
          <t>Купить</t>
        </is>
      </c>
      <c r="B522" s="21" t="inlineStr">
        <is>
          <t>Гараж или машиноместо</t>
        </is>
      </c>
      <c r="C522" s="21" t="inlineStr">
        <is>
          <t>Владимирская</t>
        </is>
      </c>
      <c r="D522" s="22" t="n">
        <v>153</v>
      </c>
    </row>
    <row r="523">
      <c r="A523" s="21" t="inlineStr">
        <is>
          <t>Купить</t>
        </is>
      </c>
      <c r="B523" s="21" t="inlineStr">
        <is>
          <t>Гараж или машиноместо</t>
        </is>
      </c>
      <c r="C523" s="21" t="inlineStr">
        <is>
          <t>Волгоградская</t>
        </is>
      </c>
      <c r="D523" s="22" t="n">
        <v>28</v>
      </c>
    </row>
    <row r="524">
      <c r="A524" s="21" t="inlineStr">
        <is>
          <t>Купить</t>
        </is>
      </c>
      <c r="B524" s="21" t="inlineStr">
        <is>
          <t>Гараж или машиноместо</t>
        </is>
      </c>
      <c r="C524" s="21" t="inlineStr">
        <is>
          <t>Вологодская</t>
        </is>
      </c>
      <c r="D524" s="22" t="n">
        <v>62</v>
      </c>
    </row>
    <row r="525">
      <c r="A525" s="21" t="inlineStr">
        <is>
          <t>Купить</t>
        </is>
      </c>
      <c r="B525" s="21" t="inlineStr">
        <is>
          <t>Гараж или машиноместо</t>
        </is>
      </c>
      <c r="C525" s="21" t="inlineStr">
        <is>
          <t>Воронежская</t>
        </is>
      </c>
      <c r="D525" s="22" t="n">
        <v>72</v>
      </c>
    </row>
    <row r="526">
      <c r="A526" s="21" t="inlineStr">
        <is>
          <t>Купить</t>
        </is>
      </c>
      <c r="B526" s="21" t="inlineStr">
        <is>
          <t>Гараж или машиноместо</t>
        </is>
      </c>
      <c r="C526" s="21" t="inlineStr">
        <is>
          <t>Дагестан</t>
        </is>
      </c>
      <c r="D526" s="22" t="n">
        <v>12</v>
      </c>
    </row>
    <row r="527">
      <c r="A527" s="21" t="inlineStr">
        <is>
          <t>Купить</t>
        </is>
      </c>
      <c r="B527" s="21" t="inlineStr">
        <is>
          <t>Гараж или машиноместо</t>
        </is>
      </c>
      <c r="C527" s="21" t="inlineStr">
        <is>
          <t>Еврейская</t>
        </is>
      </c>
      <c r="D527" s="22" t="n">
        <v>0</v>
      </c>
    </row>
    <row r="528">
      <c r="A528" s="21" t="inlineStr">
        <is>
          <t>Купить</t>
        </is>
      </c>
      <c r="B528" s="21" t="inlineStr">
        <is>
          <t>Гараж или машиноместо</t>
        </is>
      </c>
      <c r="C528" s="21" t="inlineStr">
        <is>
          <t>Забайкальский</t>
        </is>
      </c>
      <c r="D528" s="22" t="n">
        <v>33</v>
      </c>
    </row>
    <row r="529">
      <c r="A529" s="21" t="inlineStr">
        <is>
          <t>Купить</t>
        </is>
      </c>
      <c r="B529" s="21" t="inlineStr">
        <is>
          <t>Гараж или машиноместо</t>
        </is>
      </c>
      <c r="C529" s="21" t="inlineStr">
        <is>
          <t>Ивановская</t>
        </is>
      </c>
      <c r="D529" s="22" t="n">
        <v>35</v>
      </c>
    </row>
    <row r="530">
      <c r="A530" s="21" t="inlineStr">
        <is>
          <t>Купить</t>
        </is>
      </c>
      <c r="B530" s="21" t="inlineStr">
        <is>
          <t>Гараж или машиноместо</t>
        </is>
      </c>
      <c r="C530" s="21" t="inlineStr">
        <is>
          <t>Ингушетия</t>
        </is>
      </c>
      <c r="D530" s="22" t="n">
        <v>0</v>
      </c>
    </row>
    <row r="531">
      <c r="A531" s="21" t="inlineStr">
        <is>
          <t>Купить</t>
        </is>
      </c>
      <c r="B531" s="21" t="inlineStr">
        <is>
          <t>Гараж или машиноместо</t>
        </is>
      </c>
      <c r="C531" s="21" t="inlineStr">
        <is>
          <t>Иркутская</t>
        </is>
      </c>
      <c r="D531" s="22" t="n">
        <v>286</v>
      </c>
    </row>
    <row r="532">
      <c r="A532" s="21" t="inlineStr">
        <is>
          <t>Купить</t>
        </is>
      </c>
      <c r="B532" s="21" t="inlineStr">
        <is>
          <t>Гараж или машиноместо</t>
        </is>
      </c>
      <c r="C532" s="21" t="inlineStr">
        <is>
          <t>Кабардино-Балкарская</t>
        </is>
      </c>
      <c r="D532" s="22" t="n">
        <v>12</v>
      </c>
    </row>
    <row r="533">
      <c r="A533" s="21" t="inlineStr">
        <is>
          <t>Купить</t>
        </is>
      </c>
      <c r="B533" s="21" t="inlineStr">
        <is>
          <t>Гараж или машиноместо</t>
        </is>
      </c>
      <c r="C533" s="21" t="inlineStr">
        <is>
          <t>Калининградская</t>
        </is>
      </c>
      <c r="D533" s="22" t="n">
        <v>50</v>
      </c>
    </row>
    <row r="534">
      <c r="A534" s="21" t="inlineStr">
        <is>
          <t>Купить</t>
        </is>
      </c>
      <c r="B534" s="21" t="inlineStr">
        <is>
          <t>Гараж или машиноместо</t>
        </is>
      </c>
      <c r="C534" s="21" t="inlineStr">
        <is>
          <t>Калмыкия</t>
        </is>
      </c>
      <c r="D534" s="22" t="n">
        <v>0</v>
      </c>
    </row>
    <row r="535">
      <c r="A535" s="21" t="inlineStr">
        <is>
          <t>Купить</t>
        </is>
      </c>
      <c r="B535" s="21" t="inlineStr">
        <is>
          <t>Гараж или машиноместо</t>
        </is>
      </c>
      <c r="C535" s="21" t="inlineStr">
        <is>
          <t>Калужская</t>
        </is>
      </c>
      <c r="D535" s="22" t="n">
        <v>62</v>
      </c>
    </row>
    <row r="536">
      <c r="A536" s="21" t="inlineStr">
        <is>
          <t>Купить</t>
        </is>
      </c>
      <c r="B536" s="21" t="inlineStr">
        <is>
          <t>Гараж или машиноместо</t>
        </is>
      </c>
      <c r="C536" s="21" t="inlineStr">
        <is>
          <t>Камчатский</t>
        </is>
      </c>
      <c r="D536" s="22" t="n">
        <v>13</v>
      </c>
    </row>
    <row r="537">
      <c r="A537" s="21" t="inlineStr">
        <is>
          <t>Купить</t>
        </is>
      </c>
      <c r="B537" s="21" t="inlineStr">
        <is>
          <t>Гараж или машиноместо</t>
        </is>
      </c>
      <c r="C537" s="21" t="inlineStr">
        <is>
          <t>Карачаево-Черкесская</t>
        </is>
      </c>
      <c r="D537" s="22" t="n">
        <v>55</v>
      </c>
    </row>
    <row r="538">
      <c r="A538" s="21" t="inlineStr">
        <is>
          <t>Купить</t>
        </is>
      </c>
      <c r="B538" s="21" t="inlineStr">
        <is>
          <t>Гараж или машиноместо</t>
        </is>
      </c>
      <c r="C538" s="21" t="inlineStr">
        <is>
          <t>Карелия</t>
        </is>
      </c>
      <c r="D538" s="22" t="n">
        <v>10</v>
      </c>
    </row>
    <row r="539">
      <c r="A539" s="21" t="inlineStr">
        <is>
          <t>Купить</t>
        </is>
      </c>
      <c r="B539" s="21" t="inlineStr">
        <is>
          <t>Гараж или машиноместо</t>
        </is>
      </c>
      <c r="C539" s="21" t="inlineStr">
        <is>
          <t>Кемеровская</t>
        </is>
      </c>
      <c r="D539" s="22" t="n">
        <v>131</v>
      </c>
    </row>
    <row r="540">
      <c r="A540" s="21" t="inlineStr">
        <is>
          <t>Купить</t>
        </is>
      </c>
      <c r="B540" s="21" t="inlineStr">
        <is>
          <t>Гараж или машиноместо</t>
        </is>
      </c>
      <c r="C540" s="21" t="inlineStr">
        <is>
          <t>Кировская</t>
        </is>
      </c>
      <c r="D540" s="22" t="n">
        <v>21</v>
      </c>
    </row>
    <row r="541">
      <c r="A541" s="21" t="inlineStr">
        <is>
          <t>Купить</t>
        </is>
      </c>
      <c r="B541" s="21" t="inlineStr">
        <is>
          <t>Гараж или машиноместо</t>
        </is>
      </c>
      <c r="C541" s="21" t="inlineStr">
        <is>
          <t>Коми</t>
        </is>
      </c>
      <c r="D541" s="22" t="n">
        <v>63</v>
      </c>
    </row>
    <row r="542">
      <c r="A542" s="21" t="inlineStr">
        <is>
          <t>Купить</t>
        </is>
      </c>
      <c r="B542" s="21" t="inlineStr">
        <is>
          <t>Гараж или машиноместо</t>
        </is>
      </c>
      <c r="C542" s="21" t="inlineStr">
        <is>
          <t>Костромская</t>
        </is>
      </c>
      <c r="D542" s="22" t="n">
        <v>27</v>
      </c>
    </row>
    <row r="543">
      <c r="A543" s="21" t="inlineStr">
        <is>
          <t>Купить</t>
        </is>
      </c>
      <c r="B543" s="21" t="inlineStr">
        <is>
          <t>Гараж или машиноместо</t>
        </is>
      </c>
      <c r="C543" s="21" t="inlineStr">
        <is>
          <t>Краснодарский</t>
        </is>
      </c>
      <c r="D543" s="22" t="n">
        <v>512</v>
      </c>
    </row>
    <row r="544">
      <c r="A544" s="21" t="inlineStr">
        <is>
          <t>Купить</t>
        </is>
      </c>
      <c r="B544" s="21" t="inlineStr">
        <is>
          <t>Гараж или машиноместо</t>
        </is>
      </c>
      <c r="C544" s="21" t="inlineStr">
        <is>
          <t>Красноярский</t>
        </is>
      </c>
      <c r="D544" s="22" t="n">
        <v>220</v>
      </c>
    </row>
    <row r="545">
      <c r="A545" s="21" t="inlineStr">
        <is>
          <t>Купить</t>
        </is>
      </c>
      <c r="B545" s="21" t="inlineStr">
        <is>
          <t>Гараж или машиноместо</t>
        </is>
      </c>
      <c r="C545" s="21" t="inlineStr">
        <is>
          <t>Крым</t>
        </is>
      </c>
      <c r="D545" s="22" t="n">
        <v>165</v>
      </c>
    </row>
    <row r="546">
      <c r="A546" s="21" t="inlineStr">
        <is>
          <t>Купить</t>
        </is>
      </c>
      <c r="B546" s="21" t="inlineStr">
        <is>
          <t>Гараж или машиноместо</t>
        </is>
      </c>
      <c r="C546" s="21" t="inlineStr">
        <is>
          <t>Курганская</t>
        </is>
      </c>
      <c r="D546" s="22" t="n">
        <v>49</v>
      </c>
    </row>
    <row r="547">
      <c r="A547" s="21" t="inlineStr">
        <is>
          <t>Купить</t>
        </is>
      </c>
      <c r="B547" s="21" t="inlineStr">
        <is>
          <t>Гараж или машиноместо</t>
        </is>
      </c>
      <c r="C547" s="21" t="inlineStr">
        <is>
          <t>Курская</t>
        </is>
      </c>
      <c r="D547" s="22" t="n">
        <v>46</v>
      </c>
    </row>
    <row r="548">
      <c r="A548" s="21" t="inlineStr">
        <is>
          <t>Купить</t>
        </is>
      </c>
      <c r="B548" s="21" t="inlineStr">
        <is>
          <t>Гараж или машиноместо</t>
        </is>
      </c>
      <c r="C548" s="21" t="inlineStr">
        <is>
          <t>Ленинградская</t>
        </is>
      </c>
      <c r="D548" s="22" t="n">
        <v>703</v>
      </c>
    </row>
    <row r="549">
      <c r="A549" s="21" t="inlineStr">
        <is>
          <t>Купить</t>
        </is>
      </c>
      <c r="B549" s="21" t="inlineStr">
        <is>
          <t>Гараж или машиноместо</t>
        </is>
      </c>
      <c r="C549" s="21" t="inlineStr">
        <is>
          <t>Липецкая</t>
        </is>
      </c>
      <c r="D549" s="22" t="n">
        <v>47</v>
      </c>
    </row>
    <row r="550">
      <c r="A550" s="21" t="inlineStr">
        <is>
          <t>Купить</t>
        </is>
      </c>
      <c r="B550" s="21" t="inlineStr">
        <is>
          <t>Гараж или машиноместо</t>
        </is>
      </c>
      <c r="C550" s="21" t="inlineStr">
        <is>
          <t>Магаданская</t>
        </is>
      </c>
      <c r="D550" s="22" t="n">
        <v>0</v>
      </c>
    </row>
    <row r="551">
      <c r="A551" s="21" t="inlineStr">
        <is>
          <t>Купить</t>
        </is>
      </c>
      <c r="B551" s="21" t="inlineStr">
        <is>
          <t>Гараж или машиноместо</t>
        </is>
      </c>
      <c r="C551" s="21" t="inlineStr">
        <is>
          <t>Марий Эл</t>
        </is>
      </c>
      <c r="D551" s="22" t="n">
        <v>31</v>
      </c>
    </row>
    <row r="552">
      <c r="A552" s="21" t="inlineStr">
        <is>
          <t>Купить</t>
        </is>
      </c>
      <c r="B552" s="21" t="inlineStr">
        <is>
          <t>Гараж или машиноместо</t>
        </is>
      </c>
      <c r="C552" s="21" t="inlineStr">
        <is>
          <t>Мордовия</t>
        </is>
      </c>
      <c r="D552" s="22" t="n">
        <v>15</v>
      </c>
    </row>
    <row r="553">
      <c r="A553" s="21" t="inlineStr">
        <is>
          <t>Купить</t>
        </is>
      </c>
      <c r="B553" s="21" t="inlineStr">
        <is>
          <t>Гараж или машиноместо</t>
        </is>
      </c>
      <c r="C553" s="21" t="inlineStr">
        <is>
          <t>Москва</t>
        </is>
      </c>
      <c r="D553" s="22" t="n">
        <v>1496</v>
      </c>
    </row>
    <row r="554">
      <c r="A554" s="21" t="inlineStr">
        <is>
          <t>Купить</t>
        </is>
      </c>
      <c r="B554" s="21" t="inlineStr">
        <is>
          <t>Гараж или машиноместо</t>
        </is>
      </c>
      <c r="C554" s="21" t="inlineStr">
        <is>
          <t>Московская</t>
        </is>
      </c>
      <c r="D554" s="22" t="n">
        <v>1891</v>
      </c>
    </row>
    <row r="555">
      <c r="A555" s="21" t="inlineStr">
        <is>
          <t>Купить</t>
        </is>
      </c>
      <c r="B555" s="21" t="inlineStr">
        <is>
          <t>Гараж или машиноместо</t>
        </is>
      </c>
      <c r="C555" s="21" t="inlineStr">
        <is>
          <t>Мурманская</t>
        </is>
      </c>
      <c r="D555" s="22" t="n">
        <v>10</v>
      </c>
    </row>
    <row r="556">
      <c r="A556" s="21" t="inlineStr">
        <is>
          <t>Купить</t>
        </is>
      </c>
      <c r="B556" s="21" t="inlineStr">
        <is>
          <t>Гараж или машиноместо</t>
        </is>
      </c>
      <c r="C556" s="21" t="inlineStr">
        <is>
          <t>Ненецкий</t>
        </is>
      </c>
      <c r="D556" s="22" t="n">
        <v>0</v>
      </c>
    </row>
    <row r="557">
      <c r="A557" s="21" t="inlineStr">
        <is>
          <t>Купить</t>
        </is>
      </c>
      <c r="B557" s="21" t="inlineStr">
        <is>
          <t>Гараж или машиноместо</t>
        </is>
      </c>
      <c r="C557" s="21" t="inlineStr">
        <is>
          <t>Нижегородская</t>
        </is>
      </c>
      <c r="D557" s="22" t="n">
        <v>0</v>
      </c>
    </row>
    <row r="558">
      <c r="A558" s="21" t="inlineStr">
        <is>
          <t>Купить</t>
        </is>
      </c>
      <c r="B558" s="21" t="inlineStr">
        <is>
          <t>Гараж или машиноместо</t>
        </is>
      </c>
      <c r="C558" s="21" t="inlineStr">
        <is>
          <t>Новгородская</t>
        </is>
      </c>
      <c r="D558" s="22" t="n">
        <v>10</v>
      </c>
    </row>
    <row r="559">
      <c r="A559" s="21" t="inlineStr">
        <is>
          <t>Купить</t>
        </is>
      </c>
      <c r="B559" s="21" t="inlineStr">
        <is>
          <t>Гараж или машиноместо</t>
        </is>
      </c>
      <c r="C559" s="21" t="inlineStr">
        <is>
          <t>Новосибирская</t>
        </is>
      </c>
      <c r="D559" s="22" t="n">
        <v>474</v>
      </c>
    </row>
    <row r="560">
      <c r="A560" s="21" t="inlineStr">
        <is>
          <t>Купить</t>
        </is>
      </c>
      <c r="B560" s="21" t="inlineStr">
        <is>
          <t>Гараж или машиноместо</t>
        </is>
      </c>
      <c r="C560" s="21" t="inlineStr">
        <is>
          <t>Омская</t>
        </is>
      </c>
      <c r="D560" s="22" t="n">
        <v>43</v>
      </c>
    </row>
    <row r="561">
      <c r="A561" s="21" t="inlineStr">
        <is>
          <t>Купить</t>
        </is>
      </c>
      <c r="B561" s="21" t="inlineStr">
        <is>
          <t>Гараж или машиноместо</t>
        </is>
      </c>
      <c r="C561" s="21" t="inlineStr">
        <is>
          <t>Оренбургская</t>
        </is>
      </c>
      <c r="D561" s="22" t="n">
        <v>26</v>
      </c>
    </row>
    <row r="562">
      <c r="A562" s="21" t="inlineStr">
        <is>
          <t>Купить</t>
        </is>
      </c>
      <c r="B562" s="21" t="inlineStr">
        <is>
          <t>Гараж или машиноместо</t>
        </is>
      </c>
      <c r="C562" s="21" t="inlineStr">
        <is>
          <t>Орловская</t>
        </is>
      </c>
      <c r="D562" s="22" t="n">
        <v>47</v>
      </c>
    </row>
    <row r="563">
      <c r="A563" s="21" t="inlineStr">
        <is>
          <t>Купить</t>
        </is>
      </c>
      <c r="B563" s="21" t="inlineStr">
        <is>
          <t>Гараж или машиноместо</t>
        </is>
      </c>
      <c r="C563" s="21" t="inlineStr">
        <is>
          <t>Пензенская</t>
        </is>
      </c>
      <c r="D563" s="22" t="n">
        <v>53</v>
      </c>
    </row>
    <row r="564">
      <c r="A564" s="21" t="inlineStr">
        <is>
          <t>Купить</t>
        </is>
      </c>
      <c r="B564" s="21" t="inlineStr">
        <is>
          <t>Гараж или машиноместо</t>
        </is>
      </c>
      <c r="C564" s="21" t="inlineStr">
        <is>
          <t>Пермский</t>
        </is>
      </c>
      <c r="D564" s="22" t="n">
        <v>81</v>
      </c>
    </row>
    <row r="565">
      <c r="A565" s="21" t="inlineStr">
        <is>
          <t>Купить</t>
        </is>
      </c>
      <c r="B565" s="21" t="inlineStr">
        <is>
          <t>Гараж или машиноместо</t>
        </is>
      </c>
      <c r="C565" s="21" t="inlineStr">
        <is>
          <t>Приморский</t>
        </is>
      </c>
      <c r="D565" s="22" t="n">
        <v>42</v>
      </c>
    </row>
    <row r="566">
      <c r="A566" s="21" t="inlineStr">
        <is>
          <t>Купить</t>
        </is>
      </c>
      <c r="B566" s="21" t="inlineStr">
        <is>
          <t>Гараж или машиноместо</t>
        </is>
      </c>
      <c r="C566" s="21" t="inlineStr">
        <is>
          <t>Псковская</t>
        </is>
      </c>
      <c r="D566" s="22" t="n">
        <v>0</v>
      </c>
    </row>
    <row r="567">
      <c r="A567" s="21" t="inlineStr">
        <is>
          <t>Купить</t>
        </is>
      </c>
      <c r="B567" s="21" t="inlineStr">
        <is>
          <t>Гараж или машиноместо</t>
        </is>
      </c>
      <c r="C567" s="21" t="inlineStr">
        <is>
          <t>Ростовская</t>
        </is>
      </c>
      <c r="D567" s="22" t="n">
        <v>245</v>
      </c>
    </row>
    <row r="568">
      <c r="A568" s="21" t="inlineStr">
        <is>
          <t>Купить</t>
        </is>
      </c>
      <c r="B568" s="21" t="inlineStr">
        <is>
          <t>Гараж или машиноместо</t>
        </is>
      </c>
      <c r="C568" s="21" t="inlineStr">
        <is>
          <t>Рязанская</t>
        </is>
      </c>
      <c r="D568" s="22" t="n">
        <v>155</v>
      </c>
    </row>
    <row r="569">
      <c r="A569" s="21" t="inlineStr">
        <is>
          <t>Купить</t>
        </is>
      </c>
      <c r="B569" s="21" t="inlineStr">
        <is>
          <t>Гараж или машиноместо</t>
        </is>
      </c>
      <c r="C569" s="21" t="inlineStr">
        <is>
          <t>Самарская</t>
        </is>
      </c>
      <c r="D569" s="22" t="n">
        <v>63</v>
      </c>
    </row>
    <row r="570">
      <c r="A570" s="21" t="inlineStr">
        <is>
          <t>Купить</t>
        </is>
      </c>
      <c r="B570" s="21" t="inlineStr">
        <is>
          <t>Гараж или машиноместо</t>
        </is>
      </c>
      <c r="C570" s="21" t="inlineStr">
        <is>
          <t>Санкт-Петербург</t>
        </is>
      </c>
      <c r="D570" s="22" t="n">
        <v>2631</v>
      </c>
    </row>
    <row r="571">
      <c r="A571" s="21" t="inlineStr">
        <is>
          <t>Купить</t>
        </is>
      </c>
      <c r="B571" s="21" t="inlineStr">
        <is>
          <t>Гараж или машиноместо</t>
        </is>
      </c>
      <c r="C571" s="21" t="inlineStr">
        <is>
          <t>Саратовская</t>
        </is>
      </c>
      <c r="D571" s="22" t="n">
        <v>85</v>
      </c>
    </row>
    <row r="572">
      <c r="A572" s="21" t="inlineStr">
        <is>
          <t>Купить</t>
        </is>
      </c>
      <c r="B572" s="21" t="inlineStr">
        <is>
          <t>Гараж или машиноместо</t>
        </is>
      </c>
      <c r="C572" s="21" t="inlineStr">
        <is>
          <t>Саха (Якутия)</t>
        </is>
      </c>
      <c r="D572" s="22" t="n">
        <v>76</v>
      </c>
    </row>
    <row r="573">
      <c r="A573" s="21" t="inlineStr">
        <is>
          <t>Купить</t>
        </is>
      </c>
      <c r="B573" s="21" t="inlineStr">
        <is>
          <t>Гараж или машиноместо</t>
        </is>
      </c>
      <c r="C573" s="21" t="inlineStr">
        <is>
          <t>Сахалинская</t>
        </is>
      </c>
      <c r="D573" s="22" t="n">
        <v>34</v>
      </c>
    </row>
    <row r="574">
      <c r="A574" s="21" t="inlineStr">
        <is>
          <t>Купить</t>
        </is>
      </c>
      <c r="B574" s="21" t="inlineStr">
        <is>
          <t>Гараж или машиноместо</t>
        </is>
      </c>
      <c r="C574" s="21" t="inlineStr">
        <is>
          <t>Свердловская</t>
        </is>
      </c>
      <c r="D574" s="22" t="n">
        <v>1178</v>
      </c>
    </row>
    <row r="575">
      <c r="A575" s="21" t="inlineStr">
        <is>
          <t>Купить</t>
        </is>
      </c>
      <c r="B575" s="21" t="inlineStr">
        <is>
          <t>Гараж или машиноместо</t>
        </is>
      </c>
      <c r="C575" s="21" t="inlineStr">
        <is>
          <t>Севастополь</t>
        </is>
      </c>
      <c r="D575" s="22" t="n">
        <v>43</v>
      </c>
    </row>
    <row r="576">
      <c r="A576" s="21" t="inlineStr">
        <is>
          <t>Купить</t>
        </is>
      </c>
      <c r="B576" s="21" t="inlineStr">
        <is>
          <t>Гараж или машиноместо</t>
        </is>
      </c>
      <c r="C576" s="21" t="inlineStr">
        <is>
          <t>Северная Осетия - Алания</t>
        </is>
      </c>
      <c r="D576" s="22" t="n">
        <v>11</v>
      </c>
    </row>
    <row r="577">
      <c r="A577" s="21" t="inlineStr">
        <is>
          <t>Купить</t>
        </is>
      </c>
      <c r="B577" s="21" t="inlineStr">
        <is>
          <t>Гараж или машиноместо</t>
        </is>
      </c>
      <c r="C577" s="21" t="inlineStr">
        <is>
          <t>Смоленская</t>
        </is>
      </c>
      <c r="D577" s="22" t="n">
        <v>10</v>
      </c>
    </row>
    <row r="578">
      <c r="A578" s="21" t="inlineStr">
        <is>
          <t>Купить</t>
        </is>
      </c>
      <c r="B578" s="21" t="inlineStr">
        <is>
          <t>Гараж или машиноместо</t>
        </is>
      </c>
      <c r="C578" s="21" t="inlineStr">
        <is>
          <t>Ставропольский</t>
        </is>
      </c>
      <c r="D578" s="22" t="n">
        <v>116</v>
      </c>
    </row>
    <row r="579">
      <c r="A579" s="21" t="inlineStr">
        <is>
          <t>Купить</t>
        </is>
      </c>
      <c r="B579" s="21" t="inlineStr">
        <is>
          <t>Гараж или машиноместо</t>
        </is>
      </c>
      <c r="C579" s="21" t="inlineStr">
        <is>
          <t>Тамбовская</t>
        </is>
      </c>
      <c r="D579" s="22" t="n">
        <v>36</v>
      </c>
    </row>
    <row r="580">
      <c r="A580" s="21" t="inlineStr">
        <is>
          <t>Купить</t>
        </is>
      </c>
      <c r="B580" s="21" t="inlineStr">
        <is>
          <t>Гараж или машиноместо</t>
        </is>
      </c>
      <c r="C580" s="21" t="inlineStr">
        <is>
          <t>Татарстан</t>
        </is>
      </c>
      <c r="D580" s="22" t="n">
        <v>352</v>
      </c>
    </row>
    <row r="581">
      <c r="A581" s="21" t="inlineStr">
        <is>
          <t>Купить</t>
        </is>
      </c>
      <c r="B581" s="21" t="inlineStr">
        <is>
          <t>Гараж или машиноместо</t>
        </is>
      </c>
      <c r="C581" s="21" t="inlineStr">
        <is>
          <t>Тверская</t>
        </is>
      </c>
      <c r="D581" s="22" t="n">
        <v>10</v>
      </c>
    </row>
    <row r="582">
      <c r="A582" s="21" t="inlineStr">
        <is>
          <t>Купить</t>
        </is>
      </c>
      <c r="B582" s="21" t="inlineStr">
        <is>
          <t>Гараж или машиноместо</t>
        </is>
      </c>
      <c r="C582" s="21" t="inlineStr">
        <is>
          <t>Томская</t>
        </is>
      </c>
      <c r="D582" s="22" t="n">
        <v>81</v>
      </c>
    </row>
    <row r="583">
      <c r="A583" s="21" t="inlineStr">
        <is>
          <t>Купить</t>
        </is>
      </c>
      <c r="B583" s="21" t="inlineStr">
        <is>
          <t>Гараж или машиноместо</t>
        </is>
      </c>
      <c r="C583" s="21" t="inlineStr">
        <is>
          <t>Тульская</t>
        </is>
      </c>
      <c r="D583" s="22" t="n">
        <v>350</v>
      </c>
    </row>
    <row r="584">
      <c r="A584" s="21" t="inlineStr">
        <is>
          <t>Купить</t>
        </is>
      </c>
      <c r="B584" s="21" t="inlineStr">
        <is>
          <t>Гараж или машиноместо</t>
        </is>
      </c>
      <c r="C584" s="21" t="inlineStr">
        <is>
          <t>Тыва</t>
        </is>
      </c>
      <c r="D584" s="22" t="n">
        <v>13</v>
      </c>
    </row>
    <row r="585">
      <c r="A585" s="21" t="inlineStr">
        <is>
          <t>Купить</t>
        </is>
      </c>
      <c r="B585" s="21" t="inlineStr">
        <is>
          <t>Гараж или машиноместо</t>
        </is>
      </c>
      <c r="C585" s="21" t="inlineStr">
        <is>
          <t>Тюменская</t>
        </is>
      </c>
      <c r="D585" s="22" t="n">
        <v>1065</v>
      </c>
    </row>
    <row r="586">
      <c r="A586" s="21" t="inlineStr">
        <is>
          <t>Купить</t>
        </is>
      </c>
      <c r="B586" s="21" t="inlineStr">
        <is>
          <t>Гараж или машиноместо</t>
        </is>
      </c>
      <c r="C586" s="21" t="inlineStr">
        <is>
          <t>Удмуртская</t>
        </is>
      </c>
      <c r="D586" s="22" t="n">
        <v>88</v>
      </c>
    </row>
    <row r="587">
      <c r="A587" s="21" t="inlineStr">
        <is>
          <t>Купить</t>
        </is>
      </c>
      <c r="B587" s="21" t="inlineStr">
        <is>
          <t>Гараж или машиноместо</t>
        </is>
      </c>
      <c r="C587" s="21" t="inlineStr">
        <is>
          <t>Ульяновская</t>
        </is>
      </c>
      <c r="D587" s="22" t="n">
        <v>27</v>
      </c>
    </row>
    <row r="588">
      <c r="A588" s="21" t="inlineStr">
        <is>
          <t>Купить</t>
        </is>
      </c>
      <c r="B588" s="21" t="inlineStr">
        <is>
          <t>Гараж или машиноместо</t>
        </is>
      </c>
      <c r="C588" s="21" t="inlineStr">
        <is>
          <t>Хабаровский</t>
        </is>
      </c>
      <c r="D588" s="22" t="n">
        <v>79</v>
      </c>
    </row>
    <row r="589">
      <c r="A589" s="21" t="inlineStr">
        <is>
          <t>Купить</t>
        </is>
      </c>
      <c r="B589" s="21" t="inlineStr">
        <is>
          <t>Гараж или машиноместо</t>
        </is>
      </c>
      <c r="C589" s="21" t="inlineStr">
        <is>
          <t>Хакасия</t>
        </is>
      </c>
      <c r="D589" s="22" t="n">
        <v>60</v>
      </c>
    </row>
    <row r="590">
      <c r="A590" s="21" t="inlineStr">
        <is>
          <t>Купить</t>
        </is>
      </c>
      <c r="B590" s="21" t="inlineStr">
        <is>
          <t>Гараж или машиноместо</t>
        </is>
      </c>
      <c r="C590" s="21" t="inlineStr">
        <is>
          <t>Ханты-Мансийский</t>
        </is>
      </c>
      <c r="D590" s="22" t="n">
        <v>216</v>
      </c>
    </row>
    <row r="591">
      <c r="A591" s="21" t="inlineStr">
        <is>
          <t>Купить</t>
        </is>
      </c>
      <c r="B591" s="21" t="inlineStr">
        <is>
          <t>Гараж или машиноместо</t>
        </is>
      </c>
      <c r="C591" s="21" t="inlineStr">
        <is>
          <t>Челябинская</t>
        </is>
      </c>
      <c r="D591" s="22" t="n">
        <v>205</v>
      </c>
    </row>
    <row r="592">
      <c r="A592" s="21" t="inlineStr">
        <is>
          <t>Купить</t>
        </is>
      </c>
      <c r="B592" s="21" t="inlineStr">
        <is>
          <t>Гараж или машиноместо</t>
        </is>
      </c>
      <c r="C592" s="21" t="inlineStr">
        <is>
          <t>Чеченская</t>
        </is>
      </c>
      <c r="D592" s="22" t="n">
        <v>0</v>
      </c>
    </row>
    <row r="593">
      <c r="A593" s="21" t="inlineStr">
        <is>
          <t>Купить</t>
        </is>
      </c>
      <c r="B593" s="21" t="inlineStr">
        <is>
          <t>Гараж или машиноместо</t>
        </is>
      </c>
      <c r="C593" s="21" t="inlineStr">
        <is>
          <t>Чувашская</t>
        </is>
      </c>
      <c r="D593" s="22" t="n">
        <v>25</v>
      </c>
    </row>
    <row r="594">
      <c r="A594" s="21" t="inlineStr">
        <is>
          <t>Купить</t>
        </is>
      </c>
      <c r="B594" s="21" t="inlineStr">
        <is>
          <t>Гараж или машиноместо</t>
        </is>
      </c>
      <c r="C594" s="21" t="inlineStr">
        <is>
          <t>Чукотский</t>
        </is>
      </c>
      <c r="D594" s="22" t="n">
        <v>0</v>
      </c>
    </row>
    <row r="595">
      <c r="A595" s="21" t="inlineStr">
        <is>
          <t>Купить</t>
        </is>
      </c>
      <c r="B595" s="21" t="inlineStr">
        <is>
          <t>Гараж или машиноместо</t>
        </is>
      </c>
      <c r="C595" s="21" t="inlineStr">
        <is>
          <t>Ямало-Ненецкий</t>
        </is>
      </c>
      <c r="D595" s="22" t="n">
        <v>159</v>
      </c>
    </row>
    <row r="596">
      <c r="A596" s="21" t="inlineStr">
        <is>
          <t>Купить</t>
        </is>
      </c>
      <c r="B596" s="21" t="inlineStr">
        <is>
          <t>Гараж или машиноместо</t>
        </is>
      </c>
      <c r="C596" s="21" t="inlineStr">
        <is>
          <t>Ярославская</t>
        </is>
      </c>
      <c r="D596" s="22" t="n">
        <v>41</v>
      </c>
    </row>
    <row r="597">
      <c r="A597" s="27" t="inlineStr">
        <is>
          <t>Снять</t>
        </is>
      </c>
      <c r="B597" s="17" t="inlineStr">
        <is>
          <t>Квартира</t>
        </is>
      </c>
      <c r="C597" s="28" t="inlineStr">
        <is>
          <t>Адыгея</t>
        </is>
      </c>
      <c r="D597" s="19" t="n">
        <v>112</v>
      </c>
    </row>
    <row r="598">
      <c r="A598" s="21" t="inlineStr">
        <is>
          <t>Снять</t>
        </is>
      </c>
      <c r="B598" s="21" t="inlineStr">
        <is>
          <t>Квартира</t>
        </is>
      </c>
      <c r="C598" s="21" t="inlineStr">
        <is>
          <t>Алтай</t>
        </is>
      </c>
      <c r="D598" s="22" t="n">
        <v>31</v>
      </c>
    </row>
    <row r="599">
      <c r="A599" s="21" t="inlineStr">
        <is>
          <t>Снять</t>
        </is>
      </c>
      <c r="B599" s="21" t="inlineStr">
        <is>
          <t>Квартира</t>
        </is>
      </c>
      <c r="C599" s="21" t="inlineStr">
        <is>
          <t>Алтайский</t>
        </is>
      </c>
      <c r="D599" s="22" t="n">
        <v>261</v>
      </c>
    </row>
    <row r="600">
      <c r="A600" s="21" t="inlineStr">
        <is>
          <t>Снять</t>
        </is>
      </c>
      <c r="B600" s="21" t="inlineStr">
        <is>
          <t>Квартира</t>
        </is>
      </c>
      <c r="C600" s="21" t="inlineStr">
        <is>
          <t>Амурская</t>
        </is>
      </c>
      <c r="D600" s="22" t="n">
        <v>67</v>
      </c>
    </row>
    <row r="601">
      <c r="A601" s="21" t="inlineStr">
        <is>
          <t>Снять</t>
        </is>
      </c>
      <c r="B601" s="21" t="inlineStr">
        <is>
          <t>Квартира</t>
        </is>
      </c>
      <c r="C601" s="21" t="inlineStr">
        <is>
          <t>Архангельская</t>
        </is>
      </c>
      <c r="D601" s="22" t="n">
        <v>403</v>
      </c>
    </row>
    <row r="602">
      <c r="A602" s="21" t="inlineStr">
        <is>
          <t>Снять</t>
        </is>
      </c>
      <c r="B602" s="21" t="inlineStr">
        <is>
          <t>Квартира</t>
        </is>
      </c>
      <c r="C602" s="21" t="inlineStr">
        <is>
          <t>Астраханская</t>
        </is>
      </c>
      <c r="D602" s="22" t="n">
        <v>38</v>
      </c>
    </row>
    <row r="603">
      <c r="A603" s="21" t="inlineStr">
        <is>
          <t>Снять</t>
        </is>
      </c>
      <c r="B603" s="21" t="inlineStr">
        <is>
          <t>Квартира</t>
        </is>
      </c>
      <c r="C603" s="21" t="inlineStr">
        <is>
          <t>Башкортостан</t>
        </is>
      </c>
      <c r="D603" s="22" t="n">
        <v>4511</v>
      </c>
    </row>
    <row r="604">
      <c r="A604" s="21" t="inlineStr">
        <is>
          <t>Снять</t>
        </is>
      </c>
      <c r="B604" s="21" t="inlineStr">
        <is>
          <t>Квартира</t>
        </is>
      </c>
      <c r="C604" s="21" t="inlineStr">
        <is>
          <t>Белгородская</t>
        </is>
      </c>
      <c r="D604" s="22" t="n">
        <v>888</v>
      </c>
    </row>
    <row r="605">
      <c r="A605" s="21" t="inlineStr">
        <is>
          <t>Снять</t>
        </is>
      </c>
      <c r="B605" s="21" t="inlineStr">
        <is>
          <t>Квартира</t>
        </is>
      </c>
      <c r="C605" s="21" t="inlineStr">
        <is>
          <t>Брянская</t>
        </is>
      </c>
      <c r="D605" s="22" t="n">
        <v>144</v>
      </c>
    </row>
    <row r="606">
      <c r="A606" s="21" t="inlineStr">
        <is>
          <t>Снять</t>
        </is>
      </c>
      <c r="B606" s="21" t="inlineStr">
        <is>
          <t>Квартира</t>
        </is>
      </c>
      <c r="C606" s="21" t="inlineStr">
        <is>
          <t>Бурятия</t>
        </is>
      </c>
      <c r="D606" s="22" t="n">
        <v>14</v>
      </c>
    </row>
    <row r="607">
      <c r="A607" s="21" t="inlineStr">
        <is>
          <t>Снять</t>
        </is>
      </c>
      <c r="B607" s="21" t="inlineStr">
        <is>
          <t>Квартира</t>
        </is>
      </c>
      <c r="C607" s="21" t="inlineStr">
        <is>
          <t>Владимирская</t>
        </is>
      </c>
      <c r="D607" s="22" t="n">
        <v>777</v>
      </c>
    </row>
    <row r="608">
      <c r="A608" s="21" t="inlineStr">
        <is>
          <t>Снять</t>
        </is>
      </c>
      <c r="B608" s="21" t="inlineStr">
        <is>
          <t>Квартира</t>
        </is>
      </c>
      <c r="C608" s="21" t="inlineStr">
        <is>
          <t>Волгоградская</t>
        </is>
      </c>
      <c r="D608" s="22" t="n">
        <v>522</v>
      </c>
    </row>
    <row r="609">
      <c r="A609" s="21" t="inlineStr">
        <is>
          <t>Снять</t>
        </is>
      </c>
      <c r="B609" s="21" t="inlineStr">
        <is>
          <t>Квартира</t>
        </is>
      </c>
      <c r="C609" s="21" t="inlineStr">
        <is>
          <t>Вологодская</t>
        </is>
      </c>
      <c r="D609" s="22" t="n">
        <v>198</v>
      </c>
    </row>
    <row r="610">
      <c r="A610" s="21" t="inlineStr">
        <is>
          <t>Снять</t>
        </is>
      </c>
      <c r="B610" s="21" t="inlineStr">
        <is>
          <t>Квартира</t>
        </is>
      </c>
      <c r="C610" s="21" t="inlineStr">
        <is>
          <t>Воронежская</t>
        </is>
      </c>
      <c r="D610" s="22" t="n">
        <v>629</v>
      </c>
    </row>
    <row r="611">
      <c r="A611" s="21" t="inlineStr">
        <is>
          <t>Снять</t>
        </is>
      </c>
      <c r="B611" s="21" t="inlineStr">
        <is>
          <t>Квартира</t>
        </is>
      </c>
      <c r="C611" s="21" t="inlineStr">
        <is>
          <t>Дагестан</t>
        </is>
      </c>
      <c r="D611" s="22" t="n">
        <v>71</v>
      </c>
    </row>
    <row r="612">
      <c r="A612" s="21" t="inlineStr">
        <is>
          <t>Снять</t>
        </is>
      </c>
      <c r="B612" s="21" t="inlineStr">
        <is>
          <t>Квартира</t>
        </is>
      </c>
      <c r="C612" s="21" t="inlineStr">
        <is>
          <t>Еврейская</t>
        </is>
      </c>
      <c r="D612" s="22" t="n">
        <v>0</v>
      </c>
    </row>
    <row r="613">
      <c r="A613" s="21" t="inlineStr">
        <is>
          <t>Снять</t>
        </is>
      </c>
      <c r="B613" s="21" t="inlineStr">
        <is>
          <t>Квартира</t>
        </is>
      </c>
      <c r="C613" s="21" t="inlineStr">
        <is>
          <t>Забайкальский</t>
        </is>
      </c>
      <c r="D613" s="22" t="n">
        <v>117</v>
      </c>
    </row>
    <row r="614">
      <c r="A614" s="21" t="inlineStr">
        <is>
          <t>Снять</t>
        </is>
      </c>
      <c r="B614" s="21" t="inlineStr">
        <is>
          <t>Квартира</t>
        </is>
      </c>
      <c r="C614" s="21" t="inlineStr">
        <is>
          <t>Ивановская</t>
        </is>
      </c>
      <c r="D614" s="22" t="n">
        <v>193</v>
      </c>
    </row>
    <row r="615">
      <c r="A615" s="21" t="inlineStr">
        <is>
          <t>Снять</t>
        </is>
      </c>
      <c r="B615" s="21" t="inlineStr">
        <is>
          <t>Квартира</t>
        </is>
      </c>
      <c r="C615" s="21" t="inlineStr">
        <is>
          <t>Ингушетия</t>
        </is>
      </c>
      <c r="D615" s="22" t="n">
        <v>0</v>
      </c>
    </row>
    <row r="616">
      <c r="A616" s="21" t="inlineStr">
        <is>
          <t>Снять</t>
        </is>
      </c>
      <c r="B616" s="21" t="inlineStr">
        <is>
          <t>Квартира</t>
        </is>
      </c>
      <c r="C616" s="21" t="inlineStr">
        <is>
          <t>Иркутская</t>
        </is>
      </c>
      <c r="D616" s="22" t="n">
        <v>630</v>
      </c>
    </row>
    <row r="617">
      <c r="A617" s="21" t="inlineStr">
        <is>
          <t>Снять</t>
        </is>
      </c>
      <c r="B617" s="21" t="inlineStr">
        <is>
          <t>Квартира</t>
        </is>
      </c>
      <c r="C617" s="21" t="inlineStr">
        <is>
          <t>Кабардино-Балкарская</t>
        </is>
      </c>
      <c r="D617" s="22" t="n">
        <v>110</v>
      </c>
    </row>
    <row r="618">
      <c r="A618" s="21" t="inlineStr">
        <is>
          <t>Снять</t>
        </is>
      </c>
      <c r="B618" s="21" t="inlineStr">
        <is>
          <t>Квартира</t>
        </is>
      </c>
      <c r="C618" s="21" t="inlineStr">
        <is>
          <t>Калининградская</t>
        </is>
      </c>
      <c r="D618" s="22" t="n">
        <v>431</v>
      </c>
    </row>
    <row r="619">
      <c r="A619" s="21" t="inlineStr">
        <is>
          <t>Снять</t>
        </is>
      </c>
      <c r="B619" s="21" t="inlineStr">
        <is>
          <t>Квартира</t>
        </is>
      </c>
      <c r="C619" s="21" t="inlineStr">
        <is>
          <t>Калмыкия</t>
        </is>
      </c>
      <c r="D619" s="22" t="n">
        <v>0</v>
      </c>
    </row>
    <row r="620">
      <c r="A620" s="21" t="inlineStr">
        <is>
          <t>Снять</t>
        </is>
      </c>
      <c r="B620" s="21" t="inlineStr">
        <is>
          <t>Квартира</t>
        </is>
      </c>
      <c r="C620" s="21" t="inlineStr">
        <is>
          <t>Калужская</t>
        </is>
      </c>
      <c r="D620" s="22" t="n">
        <v>217</v>
      </c>
    </row>
    <row r="621">
      <c r="A621" s="21" t="inlineStr">
        <is>
          <t>Снять</t>
        </is>
      </c>
      <c r="B621" s="21" t="inlineStr">
        <is>
          <t>Квартира</t>
        </is>
      </c>
      <c r="C621" s="21" t="inlineStr">
        <is>
          <t>Камчатский</t>
        </is>
      </c>
      <c r="D621" s="22" t="n">
        <v>12</v>
      </c>
    </row>
    <row r="622">
      <c r="A622" s="21" t="inlineStr">
        <is>
          <t>Снять</t>
        </is>
      </c>
      <c r="B622" s="21" t="inlineStr">
        <is>
          <t>Квартира</t>
        </is>
      </c>
      <c r="C622" s="21" t="inlineStr">
        <is>
          <t>Карачаево-Черкесская</t>
        </is>
      </c>
      <c r="D622" s="22" t="n">
        <v>29</v>
      </c>
    </row>
    <row r="623">
      <c r="A623" s="21" t="inlineStr">
        <is>
          <t>Снять</t>
        </is>
      </c>
      <c r="B623" s="21" t="inlineStr">
        <is>
          <t>Квартира</t>
        </is>
      </c>
      <c r="C623" s="21" t="inlineStr">
        <is>
          <t>Карелия</t>
        </is>
      </c>
      <c r="D623" s="22" t="n">
        <v>25</v>
      </c>
    </row>
    <row r="624">
      <c r="A624" s="21" t="inlineStr">
        <is>
          <t>Снять</t>
        </is>
      </c>
      <c r="B624" s="21" t="inlineStr">
        <is>
          <t>Квартира</t>
        </is>
      </c>
      <c r="C624" s="21" t="inlineStr">
        <is>
          <t>Кемеровская</t>
        </is>
      </c>
      <c r="D624" s="22" t="n">
        <v>684</v>
      </c>
    </row>
    <row r="625">
      <c r="A625" s="21" t="inlineStr">
        <is>
          <t>Снять</t>
        </is>
      </c>
      <c r="B625" s="21" t="inlineStr">
        <is>
          <t>Квартира</t>
        </is>
      </c>
      <c r="C625" s="21" t="inlineStr">
        <is>
          <t>Кировская</t>
        </is>
      </c>
      <c r="D625" s="22" t="n">
        <v>128</v>
      </c>
    </row>
    <row r="626">
      <c r="A626" s="21" t="inlineStr">
        <is>
          <t>Снять</t>
        </is>
      </c>
      <c r="B626" s="21" t="inlineStr">
        <is>
          <t>Квартира</t>
        </is>
      </c>
      <c r="C626" s="21" t="inlineStr">
        <is>
          <t>Коми</t>
        </is>
      </c>
      <c r="D626" s="22" t="n">
        <v>143</v>
      </c>
    </row>
    <row r="627">
      <c r="A627" s="21" t="inlineStr">
        <is>
          <t>Снять</t>
        </is>
      </c>
      <c r="B627" s="21" t="inlineStr">
        <is>
          <t>Квартира</t>
        </is>
      </c>
      <c r="C627" s="21" t="inlineStr">
        <is>
          <t>Костромская</t>
        </is>
      </c>
      <c r="D627" s="22" t="n">
        <v>146</v>
      </c>
    </row>
    <row r="628">
      <c r="A628" s="21" t="inlineStr">
        <is>
          <t>Снять</t>
        </is>
      </c>
      <c r="B628" s="21" t="inlineStr">
        <is>
          <t>Квартира</t>
        </is>
      </c>
      <c r="C628" s="21" t="inlineStr">
        <is>
          <t>Краснодарский</t>
        </is>
      </c>
      <c r="D628" s="22" t="n">
        <v>3035</v>
      </c>
    </row>
    <row r="629">
      <c r="A629" s="21" t="inlineStr">
        <is>
          <t>Снять</t>
        </is>
      </c>
      <c r="B629" s="21" t="inlineStr">
        <is>
          <t>Квартира</t>
        </is>
      </c>
      <c r="C629" s="21" t="inlineStr">
        <is>
          <t>Красноярский</t>
        </is>
      </c>
      <c r="D629" s="22" t="n">
        <v>2292</v>
      </c>
    </row>
    <row r="630">
      <c r="A630" s="21" t="inlineStr">
        <is>
          <t>Снять</t>
        </is>
      </c>
      <c r="B630" s="21" t="inlineStr">
        <is>
          <t>Квартира</t>
        </is>
      </c>
      <c r="C630" s="21" t="inlineStr">
        <is>
          <t>Крым</t>
        </is>
      </c>
      <c r="D630" s="22" t="n">
        <v>243</v>
      </c>
    </row>
    <row r="631">
      <c r="A631" s="21" t="inlineStr">
        <is>
          <t>Снять</t>
        </is>
      </c>
      <c r="B631" s="21" t="inlineStr">
        <is>
          <t>Квартира</t>
        </is>
      </c>
      <c r="C631" s="21" t="inlineStr">
        <is>
          <t>Курганская</t>
        </is>
      </c>
      <c r="D631" s="22" t="n">
        <v>127</v>
      </c>
    </row>
    <row r="632">
      <c r="A632" s="21" t="inlineStr">
        <is>
          <t>Снять</t>
        </is>
      </c>
      <c r="B632" s="21" t="inlineStr">
        <is>
          <t>Квартира</t>
        </is>
      </c>
      <c r="C632" s="21" t="inlineStr">
        <is>
          <t>Курская</t>
        </is>
      </c>
      <c r="D632" s="22" t="n">
        <v>93</v>
      </c>
    </row>
    <row r="633">
      <c r="A633" s="21" t="inlineStr">
        <is>
          <t>Снять</t>
        </is>
      </c>
      <c r="B633" s="21" t="inlineStr">
        <is>
          <t>Квартира</t>
        </is>
      </c>
      <c r="C633" s="21" t="inlineStr">
        <is>
          <t>Ленинградская</t>
        </is>
      </c>
      <c r="D633" s="22" t="n">
        <v>1491</v>
      </c>
    </row>
    <row r="634">
      <c r="A634" s="21" t="inlineStr">
        <is>
          <t>Снять</t>
        </is>
      </c>
      <c r="B634" s="21" t="inlineStr">
        <is>
          <t>Квартира</t>
        </is>
      </c>
      <c r="C634" s="21" t="inlineStr">
        <is>
          <t>Липецкая</t>
        </is>
      </c>
      <c r="D634" s="22" t="n">
        <v>1190</v>
      </c>
    </row>
    <row r="635">
      <c r="A635" s="21" t="inlineStr">
        <is>
          <t>Снять</t>
        </is>
      </c>
      <c r="B635" s="21" t="inlineStr">
        <is>
          <t>Квартира</t>
        </is>
      </c>
      <c r="C635" s="21" t="inlineStr">
        <is>
          <t>Магаданская</t>
        </is>
      </c>
      <c r="D635" s="22" t="n">
        <v>0</v>
      </c>
    </row>
    <row r="636">
      <c r="A636" s="21" t="inlineStr">
        <is>
          <t>Снять</t>
        </is>
      </c>
      <c r="B636" s="21" t="inlineStr">
        <is>
          <t>Квартира</t>
        </is>
      </c>
      <c r="C636" s="21" t="inlineStr">
        <is>
          <t>Марий Эл</t>
        </is>
      </c>
      <c r="D636" s="22" t="n">
        <v>144</v>
      </c>
    </row>
    <row r="637">
      <c r="A637" s="21" t="inlineStr">
        <is>
          <t>Снять</t>
        </is>
      </c>
      <c r="B637" s="21" t="inlineStr">
        <is>
          <t>Квартира</t>
        </is>
      </c>
      <c r="C637" s="21" t="inlineStr">
        <is>
          <t>Мордовия</t>
        </is>
      </c>
      <c r="D637" s="22" t="n">
        <v>49</v>
      </c>
    </row>
    <row r="638">
      <c r="A638" s="21" t="inlineStr">
        <is>
          <t>Снять</t>
        </is>
      </c>
      <c r="B638" s="21" t="inlineStr">
        <is>
          <t>Квартира</t>
        </is>
      </c>
      <c r="C638" s="21" t="inlineStr">
        <is>
          <t>Москва</t>
        </is>
      </c>
      <c r="D638" s="22" t="n">
        <v>10685</v>
      </c>
    </row>
    <row r="639">
      <c r="A639" s="21" t="inlineStr">
        <is>
          <t>Снять</t>
        </is>
      </c>
      <c r="B639" s="21" t="inlineStr">
        <is>
          <t>Квартира</t>
        </is>
      </c>
      <c r="C639" s="21" t="inlineStr">
        <is>
          <t>Московская</t>
        </is>
      </c>
      <c r="D639" s="22" t="n">
        <v>4320</v>
      </c>
    </row>
    <row r="640">
      <c r="A640" s="21" t="inlineStr">
        <is>
          <t>Снять</t>
        </is>
      </c>
      <c r="B640" s="21" t="inlineStr">
        <is>
          <t>Квартира</t>
        </is>
      </c>
      <c r="C640" s="21" t="inlineStr">
        <is>
          <t>Мурманская</t>
        </is>
      </c>
      <c r="D640" s="22" t="n">
        <v>97</v>
      </c>
    </row>
    <row r="641">
      <c r="A641" s="21" t="inlineStr">
        <is>
          <t>Снять</t>
        </is>
      </c>
      <c r="B641" s="21" t="inlineStr">
        <is>
          <t>Квартира</t>
        </is>
      </c>
      <c r="C641" s="21" t="inlineStr">
        <is>
          <t>Ненецкий</t>
        </is>
      </c>
      <c r="D641" s="22" t="n">
        <v>0</v>
      </c>
    </row>
    <row r="642">
      <c r="A642" s="21" t="inlineStr">
        <is>
          <t>Снять</t>
        </is>
      </c>
      <c r="B642" s="21" t="inlineStr">
        <is>
          <t>Квартира</t>
        </is>
      </c>
      <c r="C642" s="21" t="inlineStr">
        <is>
          <t>Нижегородская</t>
        </is>
      </c>
      <c r="D642" s="22" t="n">
        <v>0</v>
      </c>
    </row>
    <row r="643">
      <c r="A643" s="21" t="inlineStr">
        <is>
          <t>Снять</t>
        </is>
      </c>
      <c r="B643" s="21" t="inlineStr">
        <is>
          <t>Квартира</t>
        </is>
      </c>
      <c r="C643" s="21" t="inlineStr">
        <is>
          <t>Новгородская</t>
        </is>
      </c>
      <c r="D643" s="22" t="n">
        <v>32</v>
      </c>
    </row>
    <row r="644">
      <c r="A644" s="21" t="inlineStr">
        <is>
          <t>Снять</t>
        </is>
      </c>
      <c r="B644" s="21" t="inlineStr">
        <is>
          <t>Квартира</t>
        </is>
      </c>
      <c r="C644" s="21" t="inlineStr">
        <is>
          <t>Новосибирская</t>
        </is>
      </c>
      <c r="D644" s="22" t="n">
        <v>6945</v>
      </c>
    </row>
    <row r="645">
      <c r="A645" s="21" t="inlineStr">
        <is>
          <t>Снять</t>
        </is>
      </c>
      <c r="B645" s="21" t="inlineStr">
        <is>
          <t>Квартира</t>
        </is>
      </c>
      <c r="C645" s="21" t="inlineStr">
        <is>
          <t>Омская</t>
        </is>
      </c>
      <c r="D645" s="22" t="n">
        <v>616</v>
      </c>
    </row>
    <row r="646">
      <c r="A646" s="21" t="inlineStr">
        <is>
          <t>Снять</t>
        </is>
      </c>
      <c r="B646" s="21" t="inlineStr">
        <is>
          <t>Квартира</t>
        </is>
      </c>
      <c r="C646" s="21" t="inlineStr">
        <is>
          <t>Оренбургская</t>
        </is>
      </c>
      <c r="D646" s="22" t="n">
        <v>155</v>
      </c>
    </row>
    <row r="647">
      <c r="A647" s="21" t="inlineStr">
        <is>
          <t>Снять</t>
        </is>
      </c>
      <c r="B647" s="21" t="inlineStr">
        <is>
          <t>Квартира</t>
        </is>
      </c>
      <c r="C647" s="21" t="inlineStr">
        <is>
          <t>Орловская</t>
        </is>
      </c>
      <c r="D647" s="22" t="n">
        <v>155</v>
      </c>
    </row>
    <row r="648">
      <c r="A648" s="21" t="inlineStr">
        <is>
          <t>Снять</t>
        </is>
      </c>
      <c r="B648" s="21" t="inlineStr">
        <is>
          <t>Квартира</t>
        </is>
      </c>
      <c r="C648" s="21" t="inlineStr">
        <is>
          <t>Пензенская</t>
        </is>
      </c>
      <c r="D648" s="22" t="n">
        <v>444</v>
      </c>
    </row>
    <row r="649">
      <c r="A649" s="21" t="inlineStr">
        <is>
          <t>Снять</t>
        </is>
      </c>
      <c r="B649" s="21" t="inlineStr">
        <is>
          <t>Квартира</t>
        </is>
      </c>
      <c r="C649" s="21" t="inlineStr">
        <is>
          <t>Пермский</t>
        </is>
      </c>
      <c r="D649" s="22" t="n">
        <v>507</v>
      </c>
    </row>
    <row r="650">
      <c r="A650" s="21" t="inlineStr">
        <is>
          <t>Снять</t>
        </is>
      </c>
      <c r="B650" s="21" t="inlineStr">
        <is>
          <t>Квартира</t>
        </is>
      </c>
      <c r="C650" s="21" t="inlineStr">
        <is>
          <t>Приморский</t>
        </is>
      </c>
      <c r="D650" s="22" t="n">
        <v>100</v>
      </c>
    </row>
    <row r="651">
      <c r="A651" s="21" t="inlineStr">
        <is>
          <t>Снять</t>
        </is>
      </c>
      <c r="B651" s="21" t="inlineStr">
        <is>
          <t>Квартира</t>
        </is>
      </c>
      <c r="C651" s="21" t="inlineStr">
        <is>
          <t>Псковская</t>
        </is>
      </c>
      <c r="D651" s="22" t="n">
        <v>35</v>
      </c>
    </row>
    <row r="652">
      <c r="A652" s="21" t="inlineStr">
        <is>
          <t>Снять</t>
        </is>
      </c>
      <c r="B652" s="21" t="inlineStr">
        <is>
          <t>Квартира</t>
        </is>
      </c>
      <c r="C652" s="21" t="inlineStr">
        <is>
          <t>Ростовская</t>
        </is>
      </c>
      <c r="D652" s="22" t="n">
        <v>2106</v>
      </c>
    </row>
    <row r="653">
      <c r="A653" s="21" t="inlineStr">
        <is>
          <t>Снять</t>
        </is>
      </c>
      <c r="B653" s="21" t="inlineStr">
        <is>
          <t>Квартира</t>
        </is>
      </c>
      <c r="C653" s="21" t="inlineStr">
        <is>
          <t>Рязанская</t>
        </is>
      </c>
      <c r="D653" s="22" t="n">
        <v>386</v>
      </c>
    </row>
    <row r="654">
      <c r="A654" s="21" t="inlineStr">
        <is>
          <t>Снять</t>
        </is>
      </c>
      <c r="B654" s="21" t="inlineStr">
        <is>
          <t>Квартира</t>
        </is>
      </c>
      <c r="C654" s="21" t="inlineStr">
        <is>
          <t>Самарская</t>
        </is>
      </c>
      <c r="D654" s="22" t="n">
        <v>741</v>
      </c>
    </row>
    <row r="655">
      <c r="A655" s="21" t="inlineStr">
        <is>
          <t>Снять</t>
        </is>
      </c>
      <c r="B655" s="21" t="inlineStr">
        <is>
          <t>Квартира</t>
        </is>
      </c>
      <c r="C655" s="21" t="inlineStr">
        <is>
          <t>Санкт-Петербург</t>
        </is>
      </c>
      <c r="D655" s="22" t="n">
        <v>5125</v>
      </c>
    </row>
    <row r="656">
      <c r="A656" s="21" t="inlineStr">
        <is>
          <t>Снять</t>
        </is>
      </c>
      <c r="B656" s="21" t="inlineStr">
        <is>
          <t>Квартира</t>
        </is>
      </c>
      <c r="C656" s="21" t="inlineStr">
        <is>
          <t>Саратовская</t>
        </is>
      </c>
      <c r="D656" s="22" t="n">
        <v>816</v>
      </c>
    </row>
    <row r="657">
      <c r="A657" s="21" t="inlineStr">
        <is>
          <t>Снять</t>
        </is>
      </c>
      <c r="B657" s="21" t="inlineStr">
        <is>
          <t>Квартира</t>
        </is>
      </c>
      <c r="C657" s="21" t="inlineStr">
        <is>
          <t>Саха (Якутия)</t>
        </is>
      </c>
      <c r="D657" s="22" t="n">
        <v>23</v>
      </c>
    </row>
    <row r="658">
      <c r="A658" s="21" t="inlineStr">
        <is>
          <t>Снять</t>
        </is>
      </c>
      <c r="B658" s="21" t="inlineStr">
        <is>
          <t>Квартира</t>
        </is>
      </c>
      <c r="C658" s="21" t="inlineStr">
        <is>
          <t>Сахалинская</t>
        </is>
      </c>
      <c r="D658" s="22" t="n">
        <v>158</v>
      </c>
    </row>
    <row r="659">
      <c r="A659" s="21" t="inlineStr">
        <is>
          <t>Снять</t>
        </is>
      </c>
      <c r="B659" s="21" t="inlineStr">
        <is>
          <t>Квартира</t>
        </is>
      </c>
      <c r="C659" s="21" t="inlineStr">
        <is>
          <t>Свердловская</t>
        </is>
      </c>
      <c r="D659" s="22" t="n">
        <v>1875</v>
      </c>
    </row>
    <row r="660">
      <c r="A660" s="21" t="inlineStr">
        <is>
          <t>Снять</t>
        </is>
      </c>
      <c r="B660" s="21" t="inlineStr">
        <is>
          <t>Квартира</t>
        </is>
      </c>
      <c r="C660" s="21" t="inlineStr">
        <is>
          <t>Севастополь</t>
        </is>
      </c>
      <c r="D660" s="22" t="n">
        <v>104</v>
      </c>
    </row>
    <row r="661">
      <c r="A661" s="21" t="inlineStr">
        <is>
          <t>Снять</t>
        </is>
      </c>
      <c r="B661" s="21" t="inlineStr">
        <is>
          <t>Квартира</t>
        </is>
      </c>
      <c r="C661" s="21" t="inlineStr">
        <is>
          <t>Северная Осетия - Алания</t>
        </is>
      </c>
      <c r="D661" s="22" t="n">
        <v>95</v>
      </c>
    </row>
    <row r="662">
      <c r="A662" s="21" t="inlineStr">
        <is>
          <t>Снять</t>
        </is>
      </c>
      <c r="B662" s="21" t="inlineStr">
        <is>
          <t>Квартира</t>
        </is>
      </c>
      <c r="C662" s="21" t="inlineStr">
        <is>
          <t>Смоленская</t>
        </is>
      </c>
      <c r="D662" s="22" t="n">
        <v>152</v>
      </c>
    </row>
    <row r="663">
      <c r="A663" s="21" t="inlineStr">
        <is>
          <t>Снять</t>
        </is>
      </c>
      <c r="B663" s="21" t="inlineStr">
        <is>
          <t>Квартира</t>
        </is>
      </c>
      <c r="C663" s="21" t="inlineStr">
        <is>
          <t>Ставропольский</t>
        </is>
      </c>
      <c r="D663" s="22" t="n">
        <v>708</v>
      </c>
    </row>
    <row r="664">
      <c r="A664" s="21" t="inlineStr">
        <is>
          <t>Снять</t>
        </is>
      </c>
      <c r="B664" s="21" t="inlineStr">
        <is>
          <t>Квартира</t>
        </is>
      </c>
      <c r="C664" s="21" t="inlineStr">
        <is>
          <t>Тамбовская</t>
        </is>
      </c>
      <c r="D664" s="22" t="n">
        <v>98</v>
      </c>
    </row>
    <row r="665">
      <c r="A665" s="21" t="inlineStr">
        <is>
          <t>Снять</t>
        </is>
      </c>
      <c r="B665" s="21" t="inlineStr">
        <is>
          <t>Квартира</t>
        </is>
      </c>
      <c r="C665" s="21" t="inlineStr">
        <is>
          <t>Татарстан</t>
        </is>
      </c>
      <c r="D665" s="22" t="n">
        <v>1613</v>
      </c>
    </row>
    <row r="666">
      <c r="A666" s="21" t="inlineStr">
        <is>
          <t>Снять</t>
        </is>
      </c>
      <c r="B666" s="21" t="inlineStr">
        <is>
          <t>Квартира</t>
        </is>
      </c>
      <c r="C666" s="21" t="inlineStr">
        <is>
          <t>Тверская</t>
        </is>
      </c>
      <c r="D666" s="22" t="n">
        <v>106</v>
      </c>
    </row>
    <row r="667">
      <c r="A667" s="21" t="inlineStr">
        <is>
          <t>Снять</t>
        </is>
      </c>
      <c r="B667" s="21" t="inlineStr">
        <is>
          <t>Квартира</t>
        </is>
      </c>
      <c r="C667" s="21" t="inlineStr">
        <is>
          <t>Томская</t>
        </is>
      </c>
      <c r="D667" s="22" t="n">
        <v>396</v>
      </c>
    </row>
    <row r="668">
      <c r="A668" s="21" t="inlineStr">
        <is>
          <t>Снять</t>
        </is>
      </c>
      <c r="B668" s="21" t="inlineStr">
        <is>
          <t>Квартира</t>
        </is>
      </c>
      <c r="C668" s="21" t="inlineStr">
        <is>
          <t>Тульская</t>
        </is>
      </c>
      <c r="D668" s="22" t="n">
        <v>199</v>
      </c>
    </row>
    <row r="669">
      <c r="A669" s="21" t="inlineStr">
        <is>
          <t>Снять</t>
        </is>
      </c>
      <c r="B669" s="21" t="inlineStr">
        <is>
          <t>Квартира</t>
        </is>
      </c>
      <c r="C669" s="21" t="inlineStr">
        <is>
          <t>Тыва</t>
        </is>
      </c>
      <c r="D669" s="22" t="n">
        <v>13</v>
      </c>
    </row>
    <row r="670">
      <c r="A670" s="21" t="inlineStr">
        <is>
          <t>Снять</t>
        </is>
      </c>
      <c r="B670" s="21" t="inlineStr">
        <is>
          <t>Квартира</t>
        </is>
      </c>
      <c r="C670" s="21" t="inlineStr">
        <is>
          <t>Тюменская</t>
        </is>
      </c>
      <c r="D670" s="22" t="n">
        <v>3154</v>
      </c>
    </row>
    <row r="671">
      <c r="A671" s="21" t="inlineStr">
        <is>
          <t>Снять</t>
        </is>
      </c>
      <c r="B671" s="21" t="inlineStr">
        <is>
          <t>Квартира</t>
        </is>
      </c>
      <c r="C671" s="21" t="inlineStr">
        <is>
          <t>Удмуртская</t>
        </is>
      </c>
      <c r="D671" s="22" t="n">
        <v>349</v>
      </c>
    </row>
    <row r="672">
      <c r="A672" s="21" t="inlineStr">
        <is>
          <t>Снять</t>
        </is>
      </c>
      <c r="B672" s="21" t="inlineStr">
        <is>
          <t>Квартира</t>
        </is>
      </c>
      <c r="C672" s="21" t="inlineStr">
        <is>
          <t>Ульяновская</t>
        </is>
      </c>
      <c r="D672" s="22" t="n">
        <v>356</v>
      </c>
    </row>
    <row r="673">
      <c r="A673" s="21" t="inlineStr">
        <is>
          <t>Снять</t>
        </is>
      </c>
      <c r="B673" s="21" t="inlineStr">
        <is>
          <t>Квартира</t>
        </is>
      </c>
      <c r="C673" s="21" t="inlineStr">
        <is>
          <t>Хабаровский</t>
        </is>
      </c>
      <c r="D673" s="22" t="n">
        <v>208</v>
      </c>
    </row>
    <row r="674">
      <c r="A674" s="21" t="inlineStr">
        <is>
          <t>Снять</t>
        </is>
      </c>
      <c r="B674" s="21" t="inlineStr">
        <is>
          <t>Квартира</t>
        </is>
      </c>
      <c r="C674" s="21" t="inlineStr">
        <is>
          <t>Хакасия</t>
        </is>
      </c>
      <c r="D674" s="22" t="n">
        <v>70</v>
      </c>
    </row>
    <row r="675">
      <c r="A675" s="21" t="inlineStr">
        <is>
          <t>Снять</t>
        </is>
      </c>
      <c r="B675" s="21" t="inlineStr">
        <is>
          <t>Квартира</t>
        </is>
      </c>
      <c r="C675" s="21" t="inlineStr">
        <is>
          <t>Ханты-Мансийский</t>
        </is>
      </c>
      <c r="D675" s="22" t="n">
        <v>880</v>
      </c>
    </row>
    <row r="676">
      <c r="A676" s="21" t="inlineStr">
        <is>
          <t>Снять</t>
        </is>
      </c>
      <c r="B676" s="21" t="inlineStr">
        <is>
          <t>Квартира</t>
        </is>
      </c>
      <c r="C676" s="21" t="inlineStr">
        <is>
          <t>Челябинская</t>
        </is>
      </c>
      <c r="D676" s="22" t="n">
        <v>811</v>
      </c>
    </row>
    <row r="677">
      <c r="A677" s="21" t="inlineStr">
        <is>
          <t>Снять</t>
        </is>
      </c>
      <c r="B677" s="21" t="inlineStr">
        <is>
          <t>Квартира</t>
        </is>
      </c>
      <c r="C677" s="21" t="inlineStr">
        <is>
          <t>Чеченская</t>
        </is>
      </c>
      <c r="D677" s="22" t="n">
        <v>0</v>
      </c>
    </row>
    <row r="678">
      <c r="A678" s="21" t="inlineStr">
        <is>
          <t>Снять</t>
        </is>
      </c>
      <c r="B678" s="21" t="inlineStr">
        <is>
          <t>Квартира</t>
        </is>
      </c>
      <c r="C678" s="21" t="inlineStr">
        <is>
          <t>Чувашская</t>
        </is>
      </c>
      <c r="D678" s="22" t="n">
        <v>87</v>
      </c>
    </row>
    <row r="679">
      <c r="A679" s="21" t="inlineStr">
        <is>
          <t>Снять</t>
        </is>
      </c>
      <c r="B679" s="21" t="inlineStr">
        <is>
          <t>Квартира</t>
        </is>
      </c>
      <c r="C679" s="21" t="inlineStr">
        <is>
          <t>Чукотский</t>
        </is>
      </c>
      <c r="D679" s="22" t="n">
        <v>0</v>
      </c>
    </row>
    <row r="680">
      <c r="A680" s="21" t="inlineStr">
        <is>
          <t>Снять</t>
        </is>
      </c>
      <c r="B680" s="21" t="inlineStr">
        <is>
          <t>Квартира</t>
        </is>
      </c>
      <c r="C680" s="21" t="inlineStr">
        <is>
          <t>Ямало-Ненецкий</t>
        </is>
      </c>
      <c r="D680" s="22" t="n">
        <v>562</v>
      </c>
    </row>
    <row r="681">
      <c r="A681" s="21" t="inlineStr">
        <is>
          <t>Снять</t>
        </is>
      </c>
      <c r="B681" s="21" t="inlineStr">
        <is>
          <t>Квартира</t>
        </is>
      </c>
      <c r="C681" s="21" t="inlineStr">
        <is>
          <t>Ярославская</t>
        </is>
      </c>
      <c r="D681" s="22" t="n">
        <v>764</v>
      </c>
    </row>
    <row r="682">
      <c r="A682" s="27" t="inlineStr">
        <is>
          <t>Снять</t>
        </is>
      </c>
      <c r="B682" s="17" t="inlineStr">
        <is>
          <t>Комната</t>
        </is>
      </c>
      <c r="C682" s="28" t="inlineStr">
        <is>
          <t>Адыгея</t>
        </is>
      </c>
      <c r="D682" s="19" t="n">
        <v>0</v>
      </c>
    </row>
    <row r="683">
      <c r="A683" s="21" t="inlineStr">
        <is>
          <t>Снять</t>
        </is>
      </c>
      <c r="B683" s="21" t="inlineStr">
        <is>
          <t>Комната</t>
        </is>
      </c>
      <c r="C683" s="21" t="inlineStr">
        <is>
          <t>Алтай</t>
        </is>
      </c>
      <c r="D683" s="22" t="n">
        <v>0</v>
      </c>
    </row>
    <row r="684">
      <c r="A684" s="21" t="inlineStr">
        <is>
          <t>Снять</t>
        </is>
      </c>
      <c r="B684" s="21" t="inlineStr">
        <is>
          <t>Комната</t>
        </is>
      </c>
      <c r="C684" s="21" t="inlineStr">
        <is>
          <t>Алтайский</t>
        </is>
      </c>
      <c r="D684" s="22" t="n">
        <v>13</v>
      </c>
    </row>
    <row r="685">
      <c r="A685" s="21" t="inlineStr">
        <is>
          <t>Снять</t>
        </is>
      </c>
      <c r="B685" s="21" t="inlineStr">
        <is>
          <t>Комната</t>
        </is>
      </c>
      <c r="C685" s="21" t="inlineStr">
        <is>
          <t>Амурская</t>
        </is>
      </c>
      <c r="D685" s="22" t="n">
        <v>0</v>
      </c>
    </row>
    <row r="686">
      <c r="A686" s="21" t="inlineStr">
        <is>
          <t>Снять</t>
        </is>
      </c>
      <c r="B686" s="21" t="inlineStr">
        <is>
          <t>Комната</t>
        </is>
      </c>
      <c r="C686" s="21" t="inlineStr">
        <is>
          <t>Архангельская</t>
        </is>
      </c>
      <c r="D686" s="22" t="n">
        <v>59</v>
      </c>
    </row>
    <row r="687">
      <c r="A687" s="21" t="inlineStr">
        <is>
          <t>Снять</t>
        </is>
      </c>
      <c r="B687" s="21" t="inlineStr">
        <is>
          <t>Комната</t>
        </is>
      </c>
      <c r="C687" s="21" t="inlineStr">
        <is>
          <t>Астраханская</t>
        </is>
      </c>
      <c r="D687" s="22" t="n">
        <v>0</v>
      </c>
    </row>
    <row r="688">
      <c r="A688" s="21" t="inlineStr">
        <is>
          <t>Снять</t>
        </is>
      </c>
      <c r="B688" s="21" t="inlineStr">
        <is>
          <t>Комната</t>
        </is>
      </c>
      <c r="C688" s="21" t="inlineStr">
        <is>
          <t>Башкортостан</t>
        </is>
      </c>
      <c r="D688" s="22" t="n">
        <v>363</v>
      </c>
    </row>
    <row r="689">
      <c r="A689" s="21" t="inlineStr">
        <is>
          <t>Снять</t>
        </is>
      </c>
      <c r="B689" s="21" t="inlineStr">
        <is>
          <t>Комната</t>
        </is>
      </c>
      <c r="C689" s="21" t="inlineStr">
        <is>
          <t>Белгородская</t>
        </is>
      </c>
      <c r="D689" s="22" t="n">
        <v>19</v>
      </c>
    </row>
    <row r="690">
      <c r="A690" s="21" t="inlineStr">
        <is>
          <t>Снять</t>
        </is>
      </c>
      <c r="B690" s="21" t="inlineStr">
        <is>
          <t>Комната</t>
        </is>
      </c>
      <c r="C690" s="21" t="inlineStr">
        <is>
          <t>Брянская</t>
        </is>
      </c>
      <c r="D690" s="22" t="n">
        <v>0</v>
      </c>
    </row>
    <row r="691">
      <c r="A691" s="21" t="inlineStr">
        <is>
          <t>Снять</t>
        </is>
      </c>
      <c r="B691" s="21" t="inlineStr">
        <is>
          <t>Комната</t>
        </is>
      </c>
      <c r="C691" s="21" t="inlineStr">
        <is>
          <t>Бурятия</t>
        </is>
      </c>
      <c r="D691" s="22" t="n">
        <v>0</v>
      </c>
    </row>
    <row r="692">
      <c r="A692" s="21" t="inlineStr">
        <is>
          <t>Снять</t>
        </is>
      </c>
      <c r="B692" s="21" t="inlineStr">
        <is>
          <t>Комната</t>
        </is>
      </c>
      <c r="C692" s="21" t="inlineStr">
        <is>
          <t>Владимирская</t>
        </is>
      </c>
      <c r="D692" s="22" t="n">
        <v>79</v>
      </c>
    </row>
    <row r="693">
      <c r="A693" s="21" t="inlineStr">
        <is>
          <t>Снять</t>
        </is>
      </c>
      <c r="B693" s="21" t="inlineStr">
        <is>
          <t>Комната</t>
        </is>
      </c>
      <c r="C693" s="21" t="inlineStr">
        <is>
          <t>Волгоградская</t>
        </is>
      </c>
      <c r="D693" s="22" t="n">
        <v>34</v>
      </c>
    </row>
    <row r="694">
      <c r="A694" s="21" t="inlineStr">
        <is>
          <t>Снять</t>
        </is>
      </c>
      <c r="B694" s="21" t="inlineStr">
        <is>
          <t>Комната</t>
        </is>
      </c>
      <c r="C694" s="21" t="inlineStr">
        <is>
          <t>Вологодская</t>
        </is>
      </c>
      <c r="D694" s="22" t="n">
        <v>0</v>
      </c>
    </row>
    <row r="695">
      <c r="A695" s="21" t="inlineStr">
        <is>
          <t>Снять</t>
        </is>
      </c>
      <c r="B695" s="21" t="inlineStr">
        <is>
          <t>Комната</t>
        </is>
      </c>
      <c r="C695" s="21" t="inlineStr">
        <is>
          <t>Воронежская</t>
        </is>
      </c>
      <c r="D695" s="22" t="n">
        <v>14</v>
      </c>
    </row>
    <row r="696">
      <c r="A696" s="21" t="inlineStr">
        <is>
          <t>Снять</t>
        </is>
      </c>
      <c r="B696" s="21" t="inlineStr">
        <is>
          <t>Комната</t>
        </is>
      </c>
      <c r="C696" s="21" t="inlineStr">
        <is>
          <t>Дагестан</t>
        </is>
      </c>
      <c r="D696" s="22" t="n">
        <v>0</v>
      </c>
    </row>
    <row r="697">
      <c r="A697" s="21" t="inlineStr">
        <is>
          <t>Снять</t>
        </is>
      </c>
      <c r="B697" s="21" t="inlineStr">
        <is>
          <t>Комната</t>
        </is>
      </c>
      <c r="C697" s="21" t="inlineStr">
        <is>
          <t>Еврейская</t>
        </is>
      </c>
      <c r="D697" s="22" t="n">
        <v>0</v>
      </c>
    </row>
    <row r="698">
      <c r="A698" s="21" t="inlineStr">
        <is>
          <t>Снять</t>
        </is>
      </c>
      <c r="B698" s="21" t="inlineStr">
        <is>
          <t>Комната</t>
        </is>
      </c>
      <c r="C698" s="21" t="inlineStr">
        <is>
          <t>Забайкальский</t>
        </is>
      </c>
      <c r="D698" s="22" t="n">
        <v>0</v>
      </c>
    </row>
    <row r="699">
      <c r="A699" s="21" t="inlineStr">
        <is>
          <t>Снять</t>
        </is>
      </c>
      <c r="B699" s="21" t="inlineStr">
        <is>
          <t>Комната</t>
        </is>
      </c>
      <c r="C699" s="21" t="inlineStr">
        <is>
          <t>Ивановская</t>
        </is>
      </c>
      <c r="D699" s="22" t="n">
        <v>18</v>
      </c>
    </row>
    <row r="700">
      <c r="A700" s="21" t="inlineStr">
        <is>
          <t>Снять</t>
        </is>
      </c>
      <c r="B700" s="21" t="inlineStr">
        <is>
          <t>Комната</t>
        </is>
      </c>
      <c r="C700" s="21" t="inlineStr">
        <is>
          <t>Ингушетия</t>
        </is>
      </c>
      <c r="D700" s="22" t="n">
        <v>0</v>
      </c>
    </row>
    <row r="701">
      <c r="A701" s="21" t="inlineStr">
        <is>
          <t>Снять</t>
        </is>
      </c>
      <c r="B701" s="21" t="inlineStr">
        <is>
          <t>Комната</t>
        </is>
      </c>
      <c r="C701" s="21" t="inlineStr">
        <is>
          <t>Иркутская</t>
        </is>
      </c>
      <c r="D701" s="22" t="n">
        <v>22</v>
      </c>
    </row>
    <row r="702">
      <c r="A702" s="21" t="inlineStr">
        <is>
          <t>Снять</t>
        </is>
      </c>
      <c r="B702" s="21" t="inlineStr">
        <is>
          <t>Комната</t>
        </is>
      </c>
      <c r="C702" s="21" t="inlineStr">
        <is>
          <t>Кабардино-Балкарская</t>
        </is>
      </c>
      <c r="D702" s="22" t="n">
        <v>0</v>
      </c>
    </row>
    <row r="703">
      <c r="A703" s="21" t="inlineStr">
        <is>
          <t>Снять</t>
        </is>
      </c>
      <c r="B703" s="21" t="inlineStr">
        <is>
          <t>Комната</t>
        </is>
      </c>
      <c r="C703" s="21" t="inlineStr">
        <is>
          <t>Калининградская</t>
        </is>
      </c>
      <c r="D703" s="22" t="n">
        <v>18</v>
      </c>
    </row>
    <row r="704">
      <c r="A704" s="21" t="inlineStr">
        <is>
          <t>Снять</t>
        </is>
      </c>
      <c r="B704" s="21" t="inlineStr">
        <is>
          <t>Комната</t>
        </is>
      </c>
      <c r="C704" s="21" t="inlineStr">
        <is>
          <t>Калмыкия</t>
        </is>
      </c>
      <c r="D704" s="22" t="n">
        <v>0</v>
      </c>
    </row>
    <row r="705">
      <c r="A705" s="21" t="inlineStr">
        <is>
          <t>Снять</t>
        </is>
      </c>
      <c r="B705" s="21" t="inlineStr">
        <is>
          <t>Комната</t>
        </is>
      </c>
      <c r="C705" s="21" t="inlineStr">
        <is>
          <t>Калужская</t>
        </is>
      </c>
      <c r="D705" s="22" t="n">
        <v>10</v>
      </c>
    </row>
    <row r="706">
      <c r="A706" s="21" t="inlineStr">
        <is>
          <t>Снять</t>
        </is>
      </c>
      <c r="B706" s="21" t="inlineStr">
        <is>
          <t>Комната</t>
        </is>
      </c>
      <c r="C706" s="21" t="inlineStr">
        <is>
          <t>Камчатский</t>
        </is>
      </c>
      <c r="D706" s="22" t="n">
        <v>0</v>
      </c>
    </row>
    <row r="707">
      <c r="A707" s="21" t="inlineStr">
        <is>
          <t>Снять</t>
        </is>
      </c>
      <c r="B707" s="21" t="inlineStr">
        <is>
          <t>Комната</t>
        </is>
      </c>
      <c r="C707" s="21" t="inlineStr">
        <is>
          <t>Карачаево-Черкесская</t>
        </is>
      </c>
      <c r="D707" s="22" t="n">
        <v>0</v>
      </c>
    </row>
    <row r="708">
      <c r="A708" s="21" t="inlineStr">
        <is>
          <t>Снять</t>
        </is>
      </c>
      <c r="B708" s="21" t="inlineStr">
        <is>
          <t>Комната</t>
        </is>
      </c>
      <c r="C708" s="21" t="inlineStr">
        <is>
          <t>Карелия</t>
        </is>
      </c>
      <c r="D708" s="22" t="n">
        <v>0</v>
      </c>
    </row>
    <row r="709">
      <c r="A709" s="21" t="inlineStr">
        <is>
          <t>Снять</t>
        </is>
      </c>
      <c r="B709" s="21" t="inlineStr">
        <is>
          <t>Комната</t>
        </is>
      </c>
      <c r="C709" s="21" t="inlineStr">
        <is>
          <t>Кемеровская</t>
        </is>
      </c>
      <c r="D709" s="22" t="n">
        <v>11</v>
      </c>
    </row>
    <row r="710">
      <c r="A710" s="21" t="inlineStr">
        <is>
          <t>Снять</t>
        </is>
      </c>
      <c r="B710" s="21" t="inlineStr">
        <is>
          <t>Комната</t>
        </is>
      </c>
      <c r="C710" s="21" t="inlineStr">
        <is>
          <t>Кировская</t>
        </is>
      </c>
      <c r="D710" s="22" t="n">
        <v>16</v>
      </c>
    </row>
    <row r="711">
      <c r="A711" s="21" t="inlineStr">
        <is>
          <t>Снять</t>
        </is>
      </c>
      <c r="B711" s="21" t="inlineStr">
        <is>
          <t>Комната</t>
        </is>
      </c>
      <c r="C711" s="21" t="inlineStr">
        <is>
          <t>Коми</t>
        </is>
      </c>
      <c r="D711" s="22" t="n">
        <v>16</v>
      </c>
    </row>
    <row r="712">
      <c r="A712" s="21" t="inlineStr">
        <is>
          <t>Снять</t>
        </is>
      </c>
      <c r="B712" s="21" t="inlineStr">
        <is>
          <t>Комната</t>
        </is>
      </c>
      <c r="C712" s="21" t="inlineStr">
        <is>
          <t>Костромская</t>
        </is>
      </c>
      <c r="D712" s="22" t="n">
        <v>0</v>
      </c>
    </row>
    <row r="713">
      <c r="A713" s="21" t="inlineStr">
        <is>
          <t>Снять</t>
        </is>
      </c>
      <c r="B713" s="21" t="inlineStr">
        <is>
          <t>Комната</t>
        </is>
      </c>
      <c r="C713" s="21" t="inlineStr">
        <is>
          <t>Краснодарский</t>
        </is>
      </c>
      <c r="D713" s="22" t="n">
        <v>33</v>
      </c>
    </row>
    <row r="714">
      <c r="A714" s="21" t="inlineStr">
        <is>
          <t>Снять</t>
        </is>
      </c>
      <c r="B714" s="21" t="inlineStr">
        <is>
          <t>Комната</t>
        </is>
      </c>
      <c r="C714" s="21" t="inlineStr">
        <is>
          <t>Красноярский</t>
        </is>
      </c>
      <c r="D714" s="22" t="n">
        <v>168</v>
      </c>
    </row>
    <row r="715">
      <c r="A715" s="21" t="inlineStr">
        <is>
          <t>Снять</t>
        </is>
      </c>
      <c r="B715" s="21" t="inlineStr">
        <is>
          <t>Комната</t>
        </is>
      </c>
      <c r="C715" s="21" t="inlineStr">
        <is>
          <t>Крым</t>
        </is>
      </c>
      <c r="D715" s="22" t="n">
        <v>0</v>
      </c>
    </row>
    <row r="716">
      <c r="A716" s="21" t="inlineStr">
        <is>
          <t>Снять</t>
        </is>
      </c>
      <c r="B716" s="21" t="inlineStr">
        <is>
          <t>Комната</t>
        </is>
      </c>
      <c r="C716" s="21" t="inlineStr">
        <is>
          <t>Курганская</t>
        </is>
      </c>
      <c r="D716" s="22" t="n">
        <v>29</v>
      </c>
    </row>
    <row r="717">
      <c r="A717" s="21" t="inlineStr">
        <is>
          <t>Снять</t>
        </is>
      </c>
      <c r="B717" s="21" t="inlineStr">
        <is>
          <t>Комната</t>
        </is>
      </c>
      <c r="C717" s="21" t="inlineStr">
        <is>
          <t>Курская</t>
        </is>
      </c>
      <c r="D717" s="22" t="n">
        <v>0</v>
      </c>
    </row>
    <row r="718">
      <c r="A718" s="21" t="inlineStr">
        <is>
          <t>Снять</t>
        </is>
      </c>
      <c r="B718" s="21" t="inlineStr">
        <is>
          <t>Комната</t>
        </is>
      </c>
      <c r="C718" s="21" t="inlineStr">
        <is>
          <t>Ленинградская</t>
        </is>
      </c>
      <c r="D718" s="22" t="n">
        <v>22</v>
      </c>
    </row>
    <row r="719">
      <c r="A719" s="21" t="inlineStr">
        <is>
          <t>Снять</t>
        </is>
      </c>
      <c r="B719" s="21" t="inlineStr">
        <is>
          <t>Комната</t>
        </is>
      </c>
      <c r="C719" s="21" t="inlineStr">
        <is>
          <t>Липецкая</t>
        </is>
      </c>
      <c r="D719" s="22" t="n">
        <v>0</v>
      </c>
    </row>
    <row r="720">
      <c r="A720" s="21" t="inlineStr">
        <is>
          <t>Снять</t>
        </is>
      </c>
      <c r="B720" s="21" t="inlineStr">
        <is>
          <t>Комната</t>
        </is>
      </c>
      <c r="C720" s="21" t="inlineStr">
        <is>
          <t>Магаданская</t>
        </is>
      </c>
      <c r="D720" s="22" t="n">
        <v>0</v>
      </c>
    </row>
    <row r="721">
      <c r="A721" s="21" t="inlineStr">
        <is>
          <t>Снять</t>
        </is>
      </c>
      <c r="B721" s="21" t="inlineStr">
        <is>
          <t>Комната</t>
        </is>
      </c>
      <c r="C721" s="21" t="inlineStr">
        <is>
          <t>Марий Эл</t>
        </is>
      </c>
      <c r="D721" s="22" t="n">
        <v>17</v>
      </c>
    </row>
    <row r="722">
      <c r="A722" s="21" t="inlineStr">
        <is>
          <t>Снять</t>
        </is>
      </c>
      <c r="B722" s="21" t="inlineStr">
        <is>
          <t>Комната</t>
        </is>
      </c>
      <c r="C722" s="21" t="inlineStr">
        <is>
          <t>Мордовия</t>
        </is>
      </c>
      <c r="D722" s="22" t="n">
        <v>0</v>
      </c>
    </row>
    <row r="723">
      <c r="A723" s="21" t="inlineStr">
        <is>
          <t>Снять</t>
        </is>
      </c>
      <c r="B723" s="21" t="inlineStr">
        <is>
          <t>Комната</t>
        </is>
      </c>
      <c r="C723" s="21" t="inlineStr">
        <is>
          <t>Москва</t>
        </is>
      </c>
      <c r="D723" s="22" t="n">
        <v>209</v>
      </c>
    </row>
    <row r="724">
      <c r="A724" s="21" t="inlineStr">
        <is>
          <t>Снять</t>
        </is>
      </c>
      <c r="B724" s="21" t="inlineStr">
        <is>
          <t>Комната</t>
        </is>
      </c>
      <c r="C724" s="21" t="inlineStr">
        <is>
          <t>Московская</t>
        </is>
      </c>
      <c r="D724" s="22" t="n">
        <v>178</v>
      </c>
    </row>
    <row r="725">
      <c r="A725" s="21" t="inlineStr">
        <is>
          <t>Снять</t>
        </is>
      </c>
      <c r="B725" s="21" t="inlineStr">
        <is>
          <t>Комната</t>
        </is>
      </c>
      <c r="C725" s="21" t="inlineStr">
        <is>
          <t>Мурманская</t>
        </is>
      </c>
      <c r="D725" s="22" t="n">
        <v>11</v>
      </c>
    </row>
    <row r="726">
      <c r="A726" s="21" t="inlineStr">
        <is>
          <t>Снять</t>
        </is>
      </c>
      <c r="B726" s="21" t="inlineStr">
        <is>
          <t>Комната</t>
        </is>
      </c>
      <c r="C726" s="21" t="inlineStr">
        <is>
          <t>Ненецкий</t>
        </is>
      </c>
      <c r="D726" s="22" t="n">
        <v>0</v>
      </c>
    </row>
    <row r="727">
      <c r="A727" s="21" t="inlineStr">
        <is>
          <t>Снять</t>
        </is>
      </c>
      <c r="B727" s="21" t="inlineStr">
        <is>
          <t>Комната</t>
        </is>
      </c>
      <c r="C727" s="21" t="inlineStr">
        <is>
          <t>Нижегородская</t>
        </is>
      </c>
      <c r="D727" s="22" t="n">
        <v>0</v>
      </c>
    </row>
    <row r="728">
      <c r="A728" s="21" t="inlineStr">
        <is>
          <t>Снять</t>
        </is>
      </c>
      <c r="B728" s="21" t="inlineStr">
        <is>
          <t>Комната</t>
        </is>
      </c>
      <c r="C728" s="21" t="inlineStr">
        <is>
          <t>Новгородская</t>
        </is>
      </c>
      <c r="D728" s="22" t="n">
        <v>0</v>
      </c>
    </row>
    <row r="729">
      <c r="A729" s="21" t="inlineStr">
        <is>
          <t>Снять</t>
        </is>
      </c>
      <c r="B729" s="21" t="inlineStr">
        <is>
          <t>Комната</t>
        </is>
      </c>
      <c r="C729" s="21" t="inlineStr">
        <is>
          <t>Новосибирская</t>
        </is>
      </c>
      <c r="D729" s="22" t="n">
        <v>141</v>
      </c>
    </row>
    <row r="730">
      <c r="A730" s="21" t="inlineStr">
        <is>
          <t>Снять</t>
        </is>
      </c>
      <c r="B730" s="21" t="inlineStr">
        <is>
          <t>Комната</t>
        </is>
      </c>
      <c r="C730" s="21" t="inlineStr">
        <is>
          <t>Омская</t>
        </is>
      </c>
      <c r="D730" s="22" t="n">
        <v>30</v>
      </c>
    </row>
    <row r="731">
      <c r="A731" s="21" t="inlineStr">
        <is>
          <t>Снять</t>
        </is>
      </c>
      <c r="B731" s="21" t="inlineStr">
        <is>
          <t>Комната</t>
        </is>
      </c>
      <c r="C731" s="21" t="inlineStr">
        <is>
          <t>Оренбургская</t>
        </is>
      </c>
      <c r="D731" s="22" t="n">
        <v>0</v>
      </c>
    </row>
    <row r="732">
      <c r="A732" s="21" t="inlineStr">
        <is>
          <t>Снять</t>
        </is>
      </c>
      <c r="B732" s="21" t="inlineStr">
        <is>
          <t>Комната</t>
        </is>
      </c>
      <c r="C732" s="21" t="inlineStr">
        <is>
          <t>Орловская</t>
        </is>
      </c>
      <c r="D732" s="22" t="n">
        <v>19</v>
      </c>
    </row>
    <row r="733">
      <c r="A733" s="21" t="inlineStr">
        <is>
          <t>Снять</t>
        </is>
      </c>
      <c r="B733" s="21" t="inlineStr">
        <is>
          <t>Комната</t>
        </is>
      </c>
      <c r="C733" s="21" t="inlineStr">
        <is>
          <t>Пензенская</t>
        </is>
      </c>
      <c r="D733" s="22" t="n">
        <v>25</v>
      </c>
    </row>
    <row r="734">
      <c r="A734" s="21" t="inlineStr">
        <is>
          <t>Снять</t>
        </is>
      </c>
      <c r="B734" s="21" t="inlineStr">
        <is>
          <t>Комната</t>
        </is>
      </c>
      <c r="C734" s="21" t="inlineStr">
        <is>
          <t>Пермский</t>
        </is>
      </c>
      <c r="D734" s="22" t="n">
        <v>33</v>
      </c>
    </row>
    <row r="735">
      <c r="A735" s="21" t="inlineStr">
        <is>
          <t>Снять</t>
        </is>
      </c>
      <c r="B735" s="21" t="inlineStr">
        <is>
          <t>Комната</t>
        </is>
      </c>
      <c r="C735" s="21" t="inlineStr">
        <is>
          <t>Приморский</t>
        </is>
      </c>
      <c r="D735" s="22" t="n">
        <v>0</v>
      </c>
    </row>
    <row r="736">
      <c r="A736" s="21" t="inlineStr">
        <is>
          <t>Снять</t>
        </is>
      </c>
      <c r="B736" s="21" t="inlineStr">
        <is>
          <t>Комната</t>
        </is>
      </c>
      <c r="C736" s="21" t="inlineStr">
        <is>
          <t>Псковская</t>
        </is>
      </c>
      <c r="D736" s="22" t="n">
        <v>0</v>
      </c>
    </row>
    <row r="737">
      <c r="A737" s="21" t="inlineStr">
        <is>
          <t>Снять</t>
        </is>
      </c>
      <c r="B737" s="21" t="inlineStr">
        <is>
          <t>Комната</t>
        </is>
      </c>
      <c r="C737" s="21" t="inlineStr">
        <is>
          <t>Ростовская</t>
        </is>
      </c>
      <c r="D737" s="22" t="n">
        <v>95</v>
      </c>
    </row>
    <row r="738">
      <c r="A738" s="21" t="inlineStr">
        <is>
          <t>Снять</t>
        </is>
      </c>
      <c r="B738" s="21" t="inlineStr">
        <is>
          <t>Комната</t>
        </is>
      </c>
      <c r="C738" s="21" t="inlineStr">
        <is>
          <t>Рязанская</t>
        </is>
      </c>
      <c r="D738" s="22" t="n">
        <v>19</v>
      </c>
    </row>
    <row r="739">
      <c r="A739" s="21" t="inlineStr">
        <is>
          <t>Снять</t>
        </is>
      </c>
      <c r="B739" s="21" t="inlineStr">
        <is>
          <t>Комната</t>
        </is>
      </c>
      <c r="C739" s="21" t="inlineStr">
        <is>
          <t>Самарская</t>
        </is>
      </c>
      <c r="D739" s="22" t="n">
        <v>66</v>
      </c>
    </row>
    <row r="740">
      <c r="A740" s="21" t="inlineStr">
        <is>
          <t>Снять</t>
        </is>
      </c>
      <c r="B740" s="21" t="inlineStr">
        <is>
          <t>Комната</t>
        </is>
      </c>
      <c r="C740" s="21" t="inlineStr">
        <is>
          <t>Санкт-Петербург</t>
        </is>
      </c>
      <c r="D740" s="22" t="n">
        <v>319</v>
      </c>
    </row>
    <row r="741">
      <c r="A741" s="21" t="inlineStr">
        <is>
          <t>Снять</t>
        </is>
      </c>
      <c r="B741" s="21" t="inlineStr">
        <is>
          <t>Комната</t>
        </is>
      </c>
      <c r="C741" s="21" t="inlineStr">
        <is>
          <t>Саратовская</t>
        </is>
      </c>
      <c r="D741" s="22" t="n">
        <v>45</v>
      </c>
    </row>
    <row r="742">
      <c r="A742" s="21" t="inlineStr">
        <is>
          <t>Снять</t>
        </is>
      </c>
      <c r="B742" s="21" t="inlineStr">
        <is>
          <t>Комната</t>
        </is>
      </c>
      <c r="C742" s="21" t="inlineStr">
        <is>
          <t>Саха (Якутия)</t>
        </is>
      </c>
      <c r="D742" s="22" t="n">
        <v>0</v>
      </c>
    </row>
    <row r="743">
      <c r="A743" s="21" t="inlineStr">
        <is>
          <t>Снять</t>
        </is>
      </c>
      <c r="B743" s="21" t="inlineStr">
        <is>
          <t>Комната</t>
        </is>
      </c>
      <c r="C743" s="21" t="inlineStr">
        <is>
          <t>Сахалинская</t>
        </is>
      </c>
      <c r="D743" s="22" t="n">
        <v>0</v>
      </c>
    </row>
    <row r="744">
      <c r="A744" s="21" t="inlineStr">
        <is>
          <t>Снять</t>
        </is>
      </c>
      <c r="B744" s="21" t="inlineStr">
        <is>
          <t>Комната</t>
        </is>
      </c>
      <c r="C744" s="21" t="inlineStr">
        <is>
          <t>Свердловская</t>
        </is>
      </c>
      <c r="D744" s="22" t="n">
        <v>122</v>
      </c>
    </row>
    <row r="745">
      <c r="A745" s="21" t="inlineStr">
        <is>
          <t>Снять</t>
        </is>
      </c>
      <c r="B745" s="21" t="inlineStr">
        <is>
          <t>Комната</t>
        </is>
      </c>
      <c r="C745" s="21" t="inlineStr">
        <is>
          <t>Севастополь</t>
        </is>
      </c>
      <c r="D745" s="22" t="n">
        <v>10</v>
      </c>
    </row>
    <row r="746">
      <c r="A746" s="21" t="inlineStr">
        <is>
          <t>Снять</t>
        </is>
      </c>
      <c r="B746" s="21" t="inlineStr">
        <is>
          <t>Комната</t>
        </is>
      </c>
      <c r="C746" s="21" t="inlineStr">
        <is>
          <t>Северная Осетия - Алания</t>
        </is>
      </c>
      <c r="D746" s="22" t="n">
        <v>0</v>
      </c>
    </row>
    <row r="747">
      <c r="A747" s="21" t="inlineStr">
        <is>
          <t>Снять</t>
        </is>
      </c>
      <c r="B747" s="21" t="inlineStr">
        <is>
          <t>Комната</t>
        </is>
      </c>
      <c r="C747" s="21" t="inlineStr">
        <is>
          <t>Смоленская</t>
        </is>
      </c>
      <c r="D747" s="22" t="n">
        <v>15</v>
      </c>
    </row>
    <row r="748">
      <c r="A748" s="21" t="inlineStr">
        <is>
          <t>Снять</t>
        </is>
      </c>
      <c r="B748" s="21" t="inlineStr">
        <is>
          <t>Комната</t>
        </is>
      </c>
      <c r="C748" s="21" t="inlineStr">
        <is>
          <t>Ставропольский</t>
        </is>
      </c>
      <c r="D748" s="22" t="n">
        <v>16</v>
      </c>
    </row>
    <row r="749">
      <c r="A749" s="21" t="inlineStr">
        <is>
          <t>Снять</t>
        </is>
      </c>
      <c r="B749" s="21" t="inlineStr">
        <is>
          <t>Комната</t>
        </is>
      </c>
      <c r="C749" s="21" t="inlineStr">
        <is>
          <t>Тамбовская</t>
        </is>
      </c>
      <c r="D749" s="22" t="n">
        <v>0</v>
      </c>
    </row>
    <row r="750">
      <c r="A750" s="21" t="inlineStr">
        <is>
          <t>Снять</t>
        </is>
      </c>
      <c r="B750" s="21" t="inlineStr">
        <is>
          <t>Комната</t>
        </is>
      </c>
      <c r="C750" s="21" t="inlineStr">
        <is>
          <t>Татарстан</t>
        </is>
      </c>
      <c r="D750" s="22" t="n">
        <v>59</v>
      </c>
    </row>
    <row r="751">
      <c r="A751" s="21" t="inlineStr">
        <is>
          <t>Снять</t>
        </is>
      </c>
      <c r="B751" s="21" t="inlineStr">
        <is>
          <t>Комната</t>
        </is>
      </c>
      <c r="C751" s="21" t="inlineStr">
        <is>
          <t>Тверская</t>
        </is>
      </c>
      <c r="D751" s="22" t="n">
        <v>17</v>
      </c>
    </row>
    <row r="752">
      <c r="A752" s="21" t="inlineStr">
        <is>
          <t>Снять</t>
        </is>
      </c>
      <c r="B752" s="21" t="inlineStr">
        <is>
          <t>Комната</t>
        </is>
      </c>
      <c r="C752" s="21" t="inlineStr">
        <is>
          <t>Томская</t>
        </is>
      </c>
      <c r="D752" s="22" t="n">
        <v>10</v>
      </c>
    </row>
    <row r="753">
      <c r="A753" s="21" t="inlineStr">
        <is>
          <t>Снять</t>
        </is>
      </c>
      <c r="B753" s="21" t="inlineStr">
        <is>
          <t>Комната</t>
        </is>
      </c>
      <c r="C753" s="21" t="inlineStr">
        <is>
          <t>Тульская</t>
        </is>
      </c>
      <c r="D753" s="22" t="n">
        <v>11</v>
      </c>
    </row>
    <row r="754">
      <c r="A754" s="21" t="inlineStr">
        <is>
          <t>Снять</t>
        </is>
      </c>
      <c r="B754" s="21" t="inlineStr">
        <is>
          <t>Комната</t>
        </is>
      </c>
      <c r="C754" s="21" t="inlineStr">
        <is>
          <t>Тыва</t>
        </is>
      </c>
      <c r="D754" s="22" t="n">
        <v>0</v>
      </c>
    </row>
    <row r="755">
      <c r="A755" s="21" t="inlineStr">
        <is>
          <t>Снять</t>
        </is>
      </c>
      <c r="B755" s="21" t="inlineStr">
        <is>
          <t>Комната</t>
        </is>
      </c>
      <c r="C755" s="21" t="inlineStr">
        <is>
          <t>Тюменская</t>
        </is>
      </c>
      <c r="D755" s="22" t="n">
        <v>47</v>
      </c>
    </row>
    <row r="756">
      <c r="A756" s="21" t="inlineStr">
        <is>
          <t>Снять</t>
        </is>
      </c>
      <c r="B756" s="21" t="inlineStr">
        <is>
          <t>Комната</t>
        </is>
      </c>
      <c r="C756" s="21" t="inlineStr">
        <is>
          <t>Удмуртская</t>
        </is>
      </c>
      <c r="D756" s="22" t="n">
        <v>23</v>
      </c>
    </row>
    <row r="757">
      <c r="A757" s="21" t="inlineStr">
        <is>
          <t>Снять</t>
        </is>
      </c>
      <c r="B757" s="21" t="inlineStr">
        <is>
          <t>Комната</t>
        </is>
      </c>
      <c r="C757" s="21" t="inlineStr">
        <is>
          <t>Ульяновская</t>
        </is>
      </c>
      <c r="D757" s="22" t="n">
        <v>0</v>
      </c>
    </row>
    <row r="758">
      <c r="A758" s="21" t="inlineStr">
        <is>
          <t>Снять</t>
        </is>
      </c>
      <c r="B758" s="21" t="inlineStr">
        <is>
          <t>Комната</t>
        </is>
      </c>
      <c r="C758" s="21" t="inlineStr">
        <is>
          <t>Хабаровский</t>
        </is>
      </c>
      <c r="D758" s="22" t="n">
        <v>14</v>
      </c>
    </row>
    <row r="759">
      <c r="A759" s="21" t="inlineStr">
        <is>
          <t>Снять</t>
        </is>
      </c>
      <c r="B759" s="21" t="inlineStr">
        <is>
          <t>Комната</t>
        </is>
      </c>
      <c r="C759" s="21" t="inlineStr">
        <is>
          <t>Хакасия</t>
        </is>
      </c>
      <c r="D759" s="22" t="n">
        <v>0</v>
      </c>
    </row>
    <row r="760">
      <c r="A760" s="21" t="inlineStr">
        <is>
          <t>Снять</t>
        </is>
      </c>
      <c r="B760" s="21" t="inlineStr">
        <is>
          <t>Комната</t>
        </is>
      </c>
      <c r="C760" s="21" t="inlineStr">
        <is>
          <t>Ханты-Мансийский</t>
        </is>
      </c>
      <c r="D760" s="22" t="n">
        <v>35</v>
      </c>
    </row>
    <row r="761">
      <c r="A761" s="21" t="inlineStr">
        <is>
          <t>Снять</t>
        </is>
      </c>
      <c r="B761" s="21" t="inlineStr">
        <is>
          <t>Комната</t>
        </is>
      </c>
      <c r="C761" s="21" t="inlineStr">
        <is>
          <t>Челябинская</t>
        </is>
      </c>
      <c r="D761" s="22" t="n">
        <v>66</v>
      </c>
    </row>
    <row r="762">
      <c r="A762" s="21" t="inlineStr">
        <is>
          <t>Снять</t>
        </is>
      </c>
      <c r="B762" s="21" t="inlineStr">
        <is>
          <t>Комната</t>
        </is>
      </c>
      <c r="C762" s="21" t="inlineStr">
        <is>
          <t>Чеченская</t>
        </is>
      </c>
      <c r="D762" s="22" t="n">
        <v>0</v>
      </c>
    </row>
    <row r="763">
      <c r="A763" s="21" t="inlineStr">
        <is>
          <t>Снять</t>
        </is>
      </c>
      <c r="B763" s="21" t="inlineStr">
        <is>
          <t>Комната</t>
        </is>
      </c>
      <c r="C763" s="21" t="inlineStr">
        <is>
          <t>Чувашская</t>
        </is>
      </c>
      <c r="D763" s="22" t="n">
        <v>0</v>
      </c>
    </row>
    <row r="764">
      <c r="A764" s="21" t="inlineStr">
        <is>
          <t>Снять</t>
        </is>
      </c>
      <c r="B764" s="21" t="inlineStr">
        <is>
          <t>Комната</t>
        </is>
      </c>
      <c r="C764" s="21" t="inlineStr">
        <is>
          <t>Чукотский</t>
        </is>
      </c>
      <c r="D764" s="22" t="n">
        <v>0</v>
      </c>
    </row>
    <row r="765">
      <c r="A765" s="21" t="inlineStr">
        <is>
          <t>Снять</t>
        </is>
      </c>
      <c r="B765" s="21" t="inlineStr">
        <is>
          <t>Комната</t>
        </is>
      </c>
      <c r="C765" s="21" t="inlineStr">
        <is>
          <t>Ямало-Ненецкий</t>
        </is>
      </c>
      <c r="D765" s="22" t="n">
        <v>12</v>
      </c>
    </row>
    <row r="766">
      <c r="A766" s="21" t="inlineStr">
        <is>
          <t>Снять</t>
        </is>
      </c>
      <c r="B766" s="21" t="inlineStr">
        <is>
          <t>Комната</t>
        </is>
      </c>
      <c r="C766" s="21" t="inlineStr">
        <is>
          <t>Ярославская</t>
        </is>
      </c>
      <c r="D766" s="22" t="n">
        <v>41</v>
      </c>
    </row>
    <row r="767">
      <c r="A767" s="27" t="inlineStr">
        <is>
          <t>Снять</t>
        </is>
      </c>
      <c r="B767" s="17" t="inlineStr">
        <is>
          <t>Дом или коттедж</t>
        </is>
      </c>
      <c r="C767" s="28" t="inlineStr">
        <is>
          <t>Адыгея</t>
        </is>
      </c>
      <c r="D767" s="19" t="n">
        <v>0</v>
      </c>
    </row>
    <row r="768">
      <c r="A768" s="21" t="inlineStr">
        <is>
          <t>Снять</t>
        </is>
      </c>
      <c r="B768" s="21" t="inlineStr">
        <is>
          <t>Дом или коттедж</t>
        </is>
      </c>
      <c r="C768" s="21" t="inlineStr">
        <is>
          <t>Алтай</t>
        </is>
      </c>
      <c r="D768" s="22" t="n">
        <v>23</v>
      </c>
    </row>
    <row r="769">
      <c r="A769" s="21" t="inlineStr">
        <is>
          <t>Снять</t>
        </is>
      </c>
      <c r="B769" s="21" t="inlineStr">
        <is>
          <t>Дом или коттедж</t>
        </is>
      </c>
      <c r="C769" s="21" t="inlineStr">
        <is>
          <t>Алтайский</t>
        </is>
      </c>
      <c r="D769" s="22" t="n">
        <v>0</v>
      </c>
    </row>
    <row r="770">
      <c r="A770" s="21" t="inlineStr">
        <is>
          <t>Снять</t>
        </is>
      </c>
      <c r="B770" s="21" t="inlineStr">
        <is>
          <t>Дом или коттедж</t>
        </is>
      </c>
      <c r="C770" s="21" t="inlineStr">
        <is>
          <t>Амурская</t>
        </is>
      </c>
      <c r="D770" s="22" t="n">
        <v>0</v>
      </c>
    </row>
    <row r="771">
      <c r="A771" s="21" t="inlineStr">
        <is>
          <t>Снять</t>
        </is>
      </c>
      <c r="B771" s="21" t="inlineStr">
        <is>
          <t>Дом или коттедж</t>
        </is>
      </c>
      <c r="C771" s="21" t="inlineStr">
        <is>
          <t>Архангельская</t>
        </is>
      </c>
      <c r="D771" s="22" t="n">
        <v>0</v>
      </c>
    </row>
    <row r="772">
      <c r="A772" s="21" t="inlineStr">
        <is>
          <t>Снять</t>
        </is>
      </c>
      <c r="B772" s="21" t="inlineStr">
        <is>
          <t>Дом или коттедж</t>
        </is>
      </c>
      <c r="C772" s="21" t="inlineStr">
        <is>
          <t>Астраханская</t>
        </is>
      </c>
      <c r="D772" s="22" t="n">
        <v>0</v>
      </c>
    </row>
    <row r="773">
      <c r="A773" s="21" t="inlineStr">
        <is>
          <t>Снять</t>
        </is>
      </c>
      <c r="B773" s="21" t="inlineStr">
        <is>
          <t>Дом или коттедж</t>
        </is>
      </c>
      <c r="C773" s="21" t="inlineStr">
        <is>
          <t>Башкортостан</t>
        </is>
      </c>
      <c r="D773" s="22" t="n">
        <v>24</v>
      </c>
    </row>
    <row r="774">
      <c r="A774" s="21" t="inlineStr">
        <is>
          <t>Снять</t>
        </is>
      </c>
      <c r="B774" s="21" t="inlineStr">
        <is>
          <t>Дом или коттедж</t>
        </is>
      </c>
      <c r="C774" s="21" t="inlineStr">
        <is>
          <t>Белгородская</t>
        </is>
      </c>
      <c r="D774" s="22" t="n">
        <v>42</v>
      </c>
    </row>
    <row r="775">
      <c r="A775" s="21" t="inlineStr">
        <is>
          <t>Снять</t>
        </is>
      </c>
      <c r="B775" s="21" t="inlineStr">
        <is>
          <t>Дом или коттедж</t>
        </is>
      </c>
      <c r="C775" s="21" t="inlineStr">
        <is>
          <t>Брянская</t>
        </is>
      </c>
      <c r="D775" s="22" t="n">
        <v>0</v>
      </c>
    </row>
    <row r="776">
      <c r="A776" s="21" t="inlineStr">
        <is>
          <t>Снять</t>
        </is>
      </c>
      <c r="B776" s="21" t="inlineStr">
        <is>
          <t>Дом или коттедж</t>
        </is>
      </c>
      <c r="C776" s="21" t="inlineStr">
        <is>
          <t>Бурятия</t>
        </is>
      </c>
      <c r="D776" s="22" t="n">
        <v>0</v>
      </c>
    </row>
    <row r="777">
      <c r="A777" s="21" t="inlineStr">
        <is>
          <t>Снять</t>
        </is>
      </c>
      <c r="B777" s="21" t="inlineStr">
        <is>
          <t>Дом или коттедж</t>
        </is>
      </c>
      <c r="C777" s="21" t="inlineStr">
        <is>
          <t>Владимирская</t>
        </is>
      </c>
      <c r="D777" s="22" t="n">
        <v>49</v>
      </c>
    </row>
    <row r="778">
      <c r="A778" s="21" t="inlineStr">
        <is>
          <t>Снять</t>
        </is>
      </c>
      <c r="B778" s="21" t="inlineStr">
        <is>
          <t>Дом или коттедж</t>
        </is>
      </c>
      <c r="C778" s="21" t="inlineStr">
        <is>
          <t>Волгоградская</t>
        </is>
      </c>
      <c r="D778" s="22" t="n">
        <v>23</v>
      </c>
    </row>
    <row r="779">
      <c r="A779" s="21" t="inlineStr">
        <is>
          <t>Снять</t>
        </is>
      </c>
      <c r="B779" s="21" t="inlineStr">
        <is>
          <t>Дом или коттедж</t>
        </is>
      </c>
      <c r="C779" s="21" t="inlineStr">
        <is>
          <t>Вологодская</t>
        </is>
      </c>
      <c r="D779" s="22" t="n">
        <v>0</v>
      </c>
    </row>
    <row r="780">
      <c r="A780" s="21" t="inlineStr">
        <is>
          <t>Снять</t>
        </is>
      </c>
      <c r="B780" s="21" t="inlineStr">
        <is>
          <t>Дом или коттедж</t>
        </is>
      </c>
      <c r="C780" s="21" t="inlineStr">
        <is>
          <t>Воронежская</t>
        </is>
      </c>
      <c r="D780" s="22" t="n">
        <v>15</v>
      </c>
    </row>
    <row r="781">
      <c r="A781" s="21" t="inlineStr">
        <is>
          <t>Снять</t>
        </is>
      </c>
      <c r="B781" s="21" t="inlineStr">
        <is>
          <t>Дом или коттедж</t>
        </is>
      </c>
      <c r="C781" s="21" t="inlineStr">
        <is>
          <t>Дагестан</t>
        </is>
      </c>
      <c r="D781" s="22" t="n">
        <v>0</v>
      </c>
    </row>
    <row r="782">
      <c r="A782" s="21" t="inlineStr">
        <is>
          <t>Снять</t>
        </is>
      </c>
      <c r="B782" s="21" t="inlineStr">
        <is>
          <t>Дом или коттедж</t>
        </is>
      </c>
      <c r="C782" s="21" t="inlineStr">
        <is>
          <t>Еврейская</t>
        </is>
      </c>
      <c r="D782" s="22" t="n">
        <v>0</v>
      </c>
    </row>
    <row r="783">
      <c r="A783" s="21" t="inlineStr">
        <is>
          <t>Снять</t>
        </is>
      </c>
      <c r="B783" s="21" t="inlineStr">
        <is>
          <t>Дом или коттедж</t>
        </is>
      </c>
      <c r="C783" s="21" t="inlineStr">
        <is>
          <t>Забайкальский</t>
        </is>
      </c>
      <c r="D783" s="22" t="n">
        <v>0</v>
      </c>
    </row>
    <row r="784">
      <c r="A784" s="21" t="inlineStr">
        <is>
          <t>Снять</t>
        </is>
      </c>
      <c r="B784" s="21" t="inlineStr">
        <is>
          <t>Дом или коттедж</t>
        </is>
      </c>
      <c r="C784" s="21" t="inlineStr">
        <is>
          <t>Ивановская</t>
        </is>
      </c>
      <c r="D784" s="22" t="n">
        <v>0</v>
      </c>
    </row>
    <row r="785">
      <c r="A785" s="21" t="inlineStr">
        <is>
          <t>Снять</t>
        </is>
      </c>
      <c r="B785" s="21" t="inlineStr">
        <is>
          <t>Дом или коттедж</t>
        </is>
      </c>
      <c r="C785" s="21" t="inlineStr">
        <is>
          <t>Ингушетия</t>
        </is>
      </c>
      <c r="D785" s="22" t="n">
        <v>0</v>
      </c>
    </row>
    <row r="786">
      <c r="A786" s="21" t="inlineStr">
        <is>
          <t>Снять</t>
        </is>
      </c>
      <c r="B786" s="21" t="inlineStr">
        <is>
          <t>Дом или коттедж</t>
        </is>
      </c>
      <c r="C786" s="21" t="inlineStr">
        <is>
          <t>Иркутская</t>
        </is>
      </c>
      <c r="D786" s="22" t="n">
        <v>23</v>
      </c>
    </row>
    <row r="787">
      <c r="A787" s="21" t="inlineStr">
        <is>
          <t>Снять</t>
        </is>
      </c>
      <c r="B787" s="21" t="inlineStr">
        <is>
          <t>Дом или коттедж</t>
        </is>
      </c>
      <c r="C787" s="21" t="inlineStr">
        <is>
          <t>Кабардино-Балкарская</t>
        </is>
      </c>
      <c r="D787" s="22" t="n">
        <v>12</v>
      </c>
    </row>
    <row r="788">
      <c r="A788" s="21" t="inlineStr">
        <is>
          <t>Снять</t>
        </is>
      </c>
      <c r="B788" s="21" t="inlineStr">
        <is>
          <t>Дом или коттедж</t>
        </is>
      </c>
      <c r="C788" s="21" t="inlineStr">
        <is>
          <t>Калининградская</t>
        </is>
      </c>
      <c r="D788" s="22" t="n">
        <v>17</v>
      </c>
    </row>
    <row r="789">
      <c r="A789" s="21" t="inlineStr">
        <is>
          <t>Снять</t>
        </is>
      </c>
      <c r="B789" s="21" t="inlineStr">
        <is>
          <t>Дом или коттедж</t>
        </is>
      </c>
      <c r="C789" s="21" t="inlineStr">
        <is>
          <t>Калмыкия</t>
        </is>
      </c>
      <c r="D789" s="22" t="n">
        <v>0</v>
      </c>
    </row>
    <row r="790">
      <c r="A790" s="21" t="inlineStr">
        <is>
          <t>Снять</t>
        </is>
      </c>
      <c r="B790" s="21" t="inlineStr">
        <is>
          <t>Дом или коттедж</t>
        </is>
      </c>
      <c r="C790" s="21" t="inlineStr">
        <is>
          <t>Калужская</t>
        </is>
      </c>
      <c r="D790" s="22" t="n">
        <v>25</v>
      </c>
    </row>
    <row r="791">
      <c r="A791" s="21" t="inlineStr">
        <is>
          <t>Снять</t>
        </is>
      </c>
      <c r="B791" s="21" t="inlineStr">
        <is>
          <t>Дом или коттедж</t>
        </is>
      </c>
      <c r="C791" s="21" t="inlineStr">
        <is>
          <t>Камчатский</t>
        </is>
      </c>
      <c r="D791" s="22" t="n">
        <v>0</v>
      </c>
    </row>
    <row r="792">
      <c r="A792" s="21" t="inlineStr">
        <is>
          <t>Снять</t>
        </is>
      </c>
      <c r="B792" s="21" t="inlineStr">
        <is>
          <t>Дом или коттедж</t>
        </is>
      </c>
      <c r="C792" s="21" t="inlineStr">
        <is>
          <t>Карачаево-Черкесская</t>
        </is>
      </c>
      <c r="D792" s="22" t="n">
        <v>0</v>
      </c>
    </row>
    <row r="793">
      <c r="A793" s="21" t="inlineStr">
        <is>
          <t>Снять</t>
        </is>
      </c>
      <c r="B793" s="21" t="inlineStr">
        <is>
          <t>Дом или коттедж</t>
        </is>
      </c>
      <c r="C793" s="21" t="inlineStr">
        <is>
          <t>Карелия</t>
        </is>
      </c>
      <c r="D793" s="22" t="n">
        <v>0</v>
      </c>
    </row>
    <row r="794">
      <c r="A794" s="21" t="inlineStr">
        <is>
          <t>Снять</t>
        </is>
      </c>
      <c r="B794" s="21" t="inlineStr">
        <is>
          <t>Дом или коттедж</t>
        </is>
      </c>
      <c r="C794" s="21" t="inlineStr">
        <is>
          <t>Кемеровская</t>
        </is>
      </c>
      <c r="D794" s="22" t="n">
        <v>0</v>
      </c>
    </row>
    <row r="795">
      <c r="A795" s="21" t="inlineStr">
        <is>
          <t>Снять</t>
        </is>
      </c>
      <c r="B795" s="21" t="inlineStr">
        <is>
          <t>Дом или коттедж</t>
        </is>
      </c>
      <c r="C795" s="21" t="inlineStr">
        <is>
          <t>Кировская</t>
        </is>
      </c>
      <c r="D795" s="22" t="n">
        <v>0</v>
      </c>
    </row>
    <row r="796">
      <c r="A796" s="21" t="inlineStr">
        <is>
          <t>Снять</t>
        </is>
      </c>
      <c r="B796" s="21" t="inlineStr">
        <is>
          <t>Дом или коттедж</t>
        </is>
      </c>
      <c r="C796" s="21" t="inlineStr">
        <is>
          <t>Коми</t>
        </is>
      </c>
      <c r="D796" s="22" t="n">
        <v>0</v>
      </c>
    </row>
    <row r="797">
      <c r="A797" s="21" t="inlineStr">
        <is>
          <t>Снять</t>
        </is>
      </c>
      <c r="B797" s="21" t="inlineStr">
        <is>
          <t>Дом или коттедж</t>
        </is>
      </c>
      <c r="C797" s="21" t="inlineStr">
        <is>
          <t>Костромская</t>
        </is>
      </c>
      <c r="D797" s="22" t="n">
        <v>10</v>
      </c>
    </row>
    <row r="798">
      <c r="A798" s="21" t="inlineStr">
        <is>
          <t>Снять</t>
        </is>
      </c>
      <c r="B798" s="21" t="inlineStr">
        <is>
          <t>Дом или коттедж</t>
        </is>
      </c>
      <c r="C798" s="21" t="inlineStr">
        <is>
          <t>Краснодарский</t>
        </is>
      </c>
      <c r="D798" s="22" t="n">
        <v>149</v>
      </c>
    </row>
    <row r="799">
      <c r="A799" s="21" t="inlineStr">
        <is>
          <t>Снять</t>
        </is>
      </c>
      <c r="B799" s="21" t="inlineStr">
        <is>
          <t>Дом или коттедж</t>
        </is>
      </c>
      <c r="C799" s="21" t="inlineStr">
        <is>
          <t>Красноярский</t>
        </is>
      </c>
      <c r="D799" s="22" t="n">
        <v>23</v>
      </c>
    </row>
    <row r="800">
      <c r="A800" s="21" t="inlineStr">
        <is>
          <t>Снять</t>
        </is>
      </c>
      <c r="B800" s="21" t="inlineStr">
        <is>
          <t>Дом или коттедж</t>
        </is>
      </c>
      <c r="C800" s="21" t="inlineStr">
        <is>
          <t>Крым</t>
        </is>
      </c>
      <c r="D800" s="22" t="n">
        <v>77</v>
      </c>
    </row>
    <row r="801">
      <c r="A801" s="21" t="inlineStr">
        <is>
          <t>Снять</t>
        </is>
      </c>
      <c r="B801" s="21" t="inlineStr">
        <is>
          <t>Дом или коттедж</t>
        </is>
      </c>
      <c r="C801" s="21" t="inlineStr">
        <is>
          <t>Курганская</t>
        </is>
      </c>
      <c r="D801" s="22" t="n">
        <v>0</v>
      </c>
    </row>
    <row r="802">
      <c r="A802" s="21" t="inlineStr">
        <is>
          <t>Снять</t>
        </is>
      </c>
      <c r="B802" s="21" t="inlineStr">
        <is>
          <t>Дом или коттедж</t>
        </is>
      </c>
      <c r="C802" s="21" t="inlineStr">
        <is>
          <t>Курская</t>
        </is>
      </c>
      <c r="D802" s="22" t="n">
        <v>0</v>
      </c>
    </row>
    <row r="803">
      <c r="A803" s="21" t="inlineStr">
        <is>
          <t>Снять</t>
        </is>
      </c>
      <c r="B803" s="21" t="inlineStr">
        <is>
          <t>Дом или коттедж</t>
        </is>
      </c>
      <c r="C803" s="21" t="inlineStr">
        <is>
          <t>Ленинградская</t>
        </is>
      </c>
      <c r="D803" s="22" t="n">
        <v>214</v>
      </c>
    </row>
    <row r="804">
      <c r="A804" s="21" t="inlineStr">
        <is>
          <t>Снять</t>
        </is>
      </c>
      <c r="B804" s="21" t="inlineStr">
        <is>
          <t>Дом или коттедж</t>
        </is>
      </c>
      <c r="C804" s="21" t="inlineStr">
        <is>
          <t>Липецкая</t>
        </is>
      </c>
      <c r="D804" s="22" t="n">
        <v>38</v>
      </c>
    </row>
    <row r="805">
      <c r="A805" s="21" t="inlineStr">
        <is>
          <t>Снять</t>
        </is>
      </c>
      <c r="B805" s="21" t="inlineStr">
        <is>
          <t>Дом или коттедж</t>
        </is>
      </c>
      <c r="C805" s="21" t="inlineStr">
        <is>
          <t>Магаданская</t>
        </is>
      </c>
      <c r="D805" s="22" t="n">
        <v>0</v>
      </c>
    </row>
    <row r="806">
      <c r="A806" s="21" t="inlineStr">
        <is>
          <t>Снять</t>
        </is>
      </c>
      <c r="B806" s="21" t="inlineStr">
        <is>
          <t>Дом или коттедж</t>
        </is>
      </c>
      <c r="C806" s="21" t="inlineStr">
        <is>
          <t>Марий Эл</t>
        </is>
      </c>
      <c r="D806" s="22" t="n">
        <v>0</v>
      </c>
    </row>
    <row r="807">
      <c r="A807" s="21" t="inlineStr">
        <is>
          <t>Снять</t>
        </is>
      </c>
      <c r="B807" s="21" t="inlineStr">
        <is>
          <t>Дом или коттедж</t>
        </is>
      </c>
      <c r="C807" s="21" t="inlineStr">
        <is>
          <t>Мордовия</t>
        </is>
      </c>
      <c r="D807" s="22" t="n">
        <v>0</v>
      </c>
    </row>
    <row r="808">
      <c r="A808" s="21" t="inlineStr">
        <is>
          <t>Снять</t>
        </is>
      </c>
      <c r="B808" s="21" t="inlineStr">
        <is>
          <t>Дом или коттедж</t>
        </is>
      </c>
      <c r="C808" s="21" t="inlineStr">
        <is>
          <t>Москва</t>
        </is>
      </c>
      <c r="D808" s="22" t="n">
        <v>96</v>
      </c>
    </row>
    <row r="809">
      <c r="A809" s="21" t="inlineStr">
        <is>
          <t>Снять</t>
        </is>
      </c>
      <c r="B809" s="21" t="inlineStr">
        <is>
          <t>Дом или коттедж</t>
        </is>
      </c>
      <c r="C809" s="21" t="inlineStr">
        <is>
          <t>Московская</t>
        </is>
      </c>
      <c r="D809" s="22" t="n">
        <v>1003</v>
      </c>
    </row>
    <row r="810">
      <c r="A810" s="21" t="inlineStr">
        <is>
          <t>Снять</t>
        </is>
      </c>
      <c r="B810" s="21" t="inlineStr">
        <is>
          <t>Дом или коттедж</t>
        </is>
      </c>
      <c r="C810" s="21" t="inlineStr">
        <is>
          <t>Мурманская</t>
        </is>
      </c>
      <c r="D810" s="22" t="n">
        <v>0</v>
      </c>
    </row>
    <row r="811">
      <c r="A811" s="21" t="inlineStr">
        <is>
          <t>Снять</t>
        </is>
      </c>
      <c r="B811" s="21" t="inlineStr">
        <is>
          <t>Дом или коттедж</t>
        </is>
      </c>
      <c r="C811" s="21" t="inlineStr">
        <is>
          <t>Ненецкий</t>
        </is>
      </c>
      <c r="D811" s="22" t="n">
        <v>0</v>
      </c>
    </row>
    <row r="812">
      <c r="A812" s="21" t="inlineStr">
        <is>
          <t>Снять</t>
        </is>
      </c>
      <c r="B812" s="21" t="inlineStr">
        <is>
          <t>Дом или коттедж</t>
        </is>
      </c>
      <c r="C812" s="21" t="inlineStr">
        <is>
          <t>Нижегородская</t>
        </is>
      </c>
      <c r="D812" s="22" t="n">
        <v>0</v>
      </c>
    </row>
    <row r="813">
      <c r="A813" s="21" t="inlineStr">
        <is>
          <t>Снять</t>
        </is>
      </c>
      <c r="B813" s="21" t="inlineStr">
        <is>
          <t>Дом или коттедж</t>
        </is>
      </c>
      <c r="C813" s="21" t="inlineStr">
        <is>
          <t>Новгородская</t>
        </is>
      </c>
      <c r="D813" s="22" t="n">
        <v>0</v>
      </c>
    </row>
    <row r="814">
      <c r="A814" s="21" t="inlineStr">
        <is>
          <t>Снять</t>
        </is>
      </c>
      <c r="B814" s="21" t="inlineStr">
        <is>
          <t>Дом или коттедж</t>
        </is>
      </c>
      <c r="C814" s="21" t="inlineStr">
        <is>
          <t>Новосибирская</t>
        </is>
      </c>
      <c r="D814" s="22" t="n">
        <v>46</v>
      </c>
    </row>
    <row r="815">
      <c r="A815" s="21" t="inlineStr">
        <is>
          <t>Снять</t>
        </is>
      </c>
      <c r="B815" s="21" t="inlineStr">
        <is>
          <t>Дом или коттедж</t>
        </is>
      </c>
      <c r="C815" s="21" t="inlineStr">
        <is>
          <t>Омская</t>
        </is>
      </c>
      <c r="D815" s="22" t="n">
        <v>13</v>
      </c>
    </row>
    <row r="816">
      <c r="A816" s="21" t="inlineStr">
        <is>
          <t>Снять</t>
        </is>
      </c>
      <c r="B816" s="21" t="inlineStr">
        <is>
          <t>Дом или коттедж</t>
        </is>
      </c>
      <c r="C816" s="21" t="inlineStr">
        <is>
          <t>Оренбургская</t>
        </is>
      </c>
      <c r="D816" s="22" t="n">
        <v>0</v>
      </c>
    </row>
    <row r="817">
      <c r="A817" s="21" t="inlineStr">
        <is>
          <t>Снять</t>
        </is>
      </c>
      <c r="B817" s="21" t="inlineStr">
        <is>
          <t>Дом или коттедж</t>
        </is>
      </c>
      <c r="C817" s="21" t="inlineStr">
        <is>
          <t>Орловская</t>
        </is>
      </c>
      <c r="D817" s="22" t="n">
        <v>0</v>
      </c>
    </row>
    <row r="818">
      <c r="A818" s="21" t="inlineStr">
        <is>
          <t>Снять</t>
        </is>
      </c>
      <c r="B818" s="21" t="inlineStr">
        <is>
          <t>Дом или коттедж</t>
        </is>
      </c>
      <c r="C818" s="21" t="inlineStr">
        <is>
          <t>Пензенская</t>
        </is>
      </c>
      <c r="D818" s="22" t="n">
        <v>0</v>
      </c>
    </row>
    <row r="819">
      <c r="A819" s="21" t="inlineStr">
        <is>
          <t>Снять</t>
        </is>
      </c>
      <c r="B819" s="21" t="inlineStr">
        <is>
          <t>Дом или коттедж</t>
        </is>
      </c>
      <c r="C819" s="21" t="inlineStr">
        <is>
          <t>Пермский</t>
        </is>
      </c>
      <c r="D819" s="22" t="n">
        <v>14</v>
      </c>
    </row>
    <row r="820">
      <c r="A820" s="21" t="inlineStr">
        <is>
          <t>Снять</t>
        </is>
      </c>
      <c r="B820" s="21" t="inlineStr">
        <is>
          <t>Дом или коттедж</t>
        </is>
      </c>
      <c r="C820" s="21" t="inlineStr">
        <is>
          <t>Приморский</t>
        </is>
      </c>
      <c r="D820" s="22" t="n">
        <v>0</v>
      </c>
    </row>
    <row r="821">
      <c r="A821" s="21" t="inlineStr">
        <is>
          <t>Снять</t>
        </is>
      </c>
      <c r="B821" s="21" t="inlineStr">
        <is>
          <t>Дом или коттедж</t>
        </is>
      </c>
      <c r="C821" s="21" t="inlineStr">
        <is>
          <t>Псковская</t>
        </is>
      </c>
      <c r="D821" s="22" t="n">
        <v>0</v>
      </c>
    </row>
    <row r="822">
      <c r="A822" s="21" t="inlineStr">
        <is>
          <t>Снять</t>
        </is>
      </c>
      <c r="B822" s="21" t="inlineStr">
        <is>
          <t>Дом или коттедж</t>
        </is>
      </c>
      <c r="C822" s="21" t="inlineStr">
        <is>
          <t>Ростовская</t>
        </is>
      </c>
      <c r="D822" s="22" t="n">
        <v>120</v>
      </c>
    </row>
    <row r="823">
      <c r="A823" s="21" t="inlineStr">
        <is>
          <t>Снять</t>
        </is>
      </c>
      <c r="B823" s="21" t="inlineStr">
        <is>
          <t>Дом или коттедж</t>
        </is>
      </c>
      <c r="C823" s="21" t="inlineStr">
        <is>
          <t>Рязанская</t>
        </is>
      </c>
      <c r="D823" s="22" t="n">
        <v>0</v>
      </c>
    </row>
    <row r="824">
      <c r="A824" s="21" t="inlineStr">
        <is>
          <t>Снять</t>
        </is>
      </c>
      <c r="B824" s="21" t="inlineStr">
        <is>
          <t>Дом или коттедж</t>
        </is>
      </c>
      <c r="C824" s="21" t="inlineStr">
        <is>
          <t>Самарская</t>
        </is>
      </c>
      <c r="D824" s="22" t="n">
        <v>27</v>
      </c>
    </row>
    <row r="825">
      <c r="A825" s="21" t="inlineStr">
        <is>
          <t>Снять</t>
        </is>
      </c>
      <c r="B825" s="21" t="inlineStr">
        <is>
          <t>Дом или коттедж</t>
        </is>
      </c>
      <c r="C825" s="21" t="inlineStr">
        <is>
          <t>Санкт-Петербург</t>
        </is>
      </c>
      <c r="D825" s="22" t="n">
        <v>66</v>
      </c>
    </row>
    <row r="826">
      <c r="A826" s="21" t="inlineStr">
        <is>
          <t>Снять</t>
        </is>
      </c>
      <c r="B826" s="21" t="inlineStr">
        <is>
          <t>Дом или коттедж</t>
        </is>
      </c>
      <c r="C826" s="21" t="inlineStr">
        <is>
          <t>Саратовская</t>
        </is>
      </c>
      <c r="D826" s="22" t="n">
        <v>36</v>
      </c>
    </row>
    <row r="827">
      <c r="A827" s="21" t="inlineStr">
        <is>
          <t>Снять</t>
        </is>
      </c>
      <c r="B827" s="21" t="inlineStr">
        <is>
          <t>Дом или коттедж</t>
        </is>
      </c>
      <c r="C827" s="21" t="inlineStr">
        <is>
          <t>Саха (Якутия)</t>
        </is>
      </c>
      <c r="D827" s="22" t="n">
        <v>0</v>
      </c>
    </row>
    <row r="828">
      <c r="A828" s="21" t="inlineStr">
        <is>
          <t>Снять</t>
        </is>
      </c>
      <c r="B828" s="21" t="inlineStr">
        <is>
          <t>Дом или коттедж</t>
        </is>
      </c>
      <c r="C828" s="21" t="inlineStr">
        <is>
          <t>Сахалинская</t>
        </is>
      </c>
      <c r="D828" s="22" t="n">
        <v>0</v>
      </c>
    </row>
    <row r="829">
      <c r="A829" s="21" t="inlineStr">
        <is>
          <t>Снять</t>
        </is>
      </c>
      <c r="B829" s="21" t="inlineStr">
        <is>
          <t>Дом или коттедж</t>
        </is>
      </c>
      <c r="C829" s="21" t="inlineStr">
        <is>
          <t>Свердловская</t>
        </is>
      </c>
      <c r="D829" s="22" t="n">
        <v>30</v>
      </c>
    </row>
    <row r="830">
      <c r="A830" s="21" t="inlineStr">
        <is>
          <t>Снять</t>
        </is>
      </c>
      <c r="B830" s="21" t="inlineStr">
        <is>
          <t>Дом или коттедж</t>
        </is>
      </c>
      <c r="C830" s="21" t="inlineStr">
        <is>
          <t>Севастополь</t>
        </is>
      </c>
      <c r="D830" s="22" t="n">
        <v>30</v>
      </c>
    </row>
    <row r="831">
      <c r="A831" s="21" t="inlineStr">
        <is>
          <t>Снять</t>
        </is>
      </c>
      <c r="B831" s="21" t="inlineStr">
        <is>
          <t>Дом или коттедж</t>
        </is>
      </c>
      <c r="C831" s="21" t="inlineStr">
        <is>
          <t>Северная Осетия - Алания</t>
        </is>
      </c>
      <c r="D831" s="22" t="n">
        <v>0</v>
      </c>
    </row>
    <row r="832">
      <c r="A832" s="21" t="inlineStr">
        <is>
          <t>Снять</t>
        </is>
      </c>
      <c r="B832" s="21" t="inlineStr">
        <is>
          <t>Дом или коттедж</t>
        </is>
      </c>
      <c r="C832" s="21" t="inlineStr">
        <is>
          <t>Смоленская</t>
        </is>
      </c>
      <c r="D832" s="22" t="n">
        <v>0</v>
      </c>
    </row>
    <row r="833">
      <c r="A833" s="21" t="inlineStr">
        <is>
          <t>Снять</t>
        </is>
      </c>
      <c r="B833" s="21" t="inlineStr">
        <is>
          <t>Дом или коттедж</t>
        </is>
      </c>
      <c r="C833" s="21" t="inlineStr">
        <is>
          <t>Ставропольский</t>
        </is>
      </c>
      <c r="D833" s="22" t="n">
        <v>39</v>
      </c>
    </row>
    <row r="834">
      <c r="A834" s="21" t="inlineStr">
        <is>
          <t>Снять</t>
        </is>
      </c>
      <c r="B834" s="21" t="inlineStr">
        <is>
          <t>Дом или коттедж</t>
        </is>
      </c>
      <c r="C834" s="21" t="inlineStr">
        <is>
          <t>Тамбовская</t>
        </is>
      </c>
      <c r="D834" s="22" t="n">
        <v>0</v>
      </c>
    </row>
    <row r="835">
      <c r="A835" s="21" t="inlineStr">
        <is>
          <t>Снять</t>
        </is>
      </c>
      <c r="B835" s="21" t="inlineStr">
        <is>
          <t>Дом или коттедж</t>
        </is>
      </c>
      <c r="C835" s="21" t="inlineStr">
        <is>
          <t>Татарстан</t>
        </is>
      </c>
      <c r="D835" s="22" t="n">
        <v>36</v>
      </c>
    </row>
    <row r="836">
      <c r="A836" s="21" t="inlineStr">
        <is>
          <t>Снять</t>
        </is>
      </c>
      <c r="B836" s="21" t="inlineStr">
        <is>
          <t>Дом или коттедж</t>
        </is>
      </c>
      <c r="C836" s="21" t="inlineStr">
        <is>
          <t>Тверская</t>
        </is>
      </c>
      <c r="D836" s="22" t="n">
        <v>31</v>
      </c>
    </row>
    <row r="837">
      <c r="A837" s="21" t="inlineStr">
        <is>
          <t>Снять</t>
        </is>
      </c>
      <c r="B837" s="21" t="inlineStr">
        <is>
          <t>Дом или коттедж</t>
        </is>
      </c>
      <c r="C837" s="21" t="inlineStr">
        <is>
          <t>Томская</t>
        </is>
      </c>
      <c r="D837" s="22" t="n">
        <v>0</v>
      </c>
    </row>
    <row r="838">
      <c r="A838" s="21" t="inlineStr">
        <is>
          <t>Снять</t>
        </is>
      </c>
      <c r="B838" s="21" t="inlineStr">
        <is>
          <t>Дом или коттедж</t>
        </is>
      </c>
      <c r="C838" s="21" t="inlineStr">
        <is>
          <t>Тульская</t>
        </is>
      </c>
      <c r="D838" s="22" t="n">
        <v>16</v>
      </c>
    </row>
    <row r="839">
      <c r="A839" s="21" t="inlineStr">
        <is>
          <t>Снять</t>
        </is>
      </c>
      <c r="B839" s="21" t="inlineStr">
        <is>
          <t>Дом или коттедж</t>
        </is>
      </c>
      <c r="C839" s="21" t="inlineStr">
        <is>
          <t>Тыва</t>
        </is>
      </c>
      <c r="D839" s="22" t="n">
        <v>0</v>
      </c>
    </row>
    <row r="840">
      <c r="A840" s="21" t="inlineStr">
        <is>
          <t>Снять</t>
        </is>
      </c>
      <c r="B840" s="21" t="inlineStr">
        <is>
          <t>Дом или коттедж</t>
        </is>
      </c>
      <c r="C840" s="21" t="inlineStr">
        <is>
          <t>Тюменская</t>
        </is>
      </c>
      <c r="D840" s="22" t="n">
        <v>68</v>
      </c>
    </row>
    <row r="841">
      <c r="A841" s="21" t="inlineStr">
        <is>
          <t>Снять</t>
        </is>
      </c>
      <c r="B841" s="21" t="inlineStr">
        <is>
          <t>Дом или коттедж</t>
        </is>
      </c>
      <c r="C841" s="21" t="inlineStr">
        <is>
          <t>Удмуртская</t>
        </is>
      </c>
      <c r="D841" s="22" t="n">
        <v>0</v>
      </c>
    </row>
    <row r="842">
      <c r="A842" s="21" t="inlineStr">
        <is>
          <t>Снять</t>
        </is>
      </c>
      <c r="B842" s="21" t="inlineStr">
        <is>
          <t>Дом или коттедж</t>
        </is>
      </c>
      <c r="C842" s="21" t="inlineStr">
        <is>
          <t>Ульяновская</t>
        </is>
      </c>
      <c r="D842" s="22" t="n">
        <v>0</v>
      </c>
    </row>
    <row r="843">
      <c r="A843" s="21" t="inlineStr">
        <is>
          <t>Снять</t>
        </is>
      </c>
      <c r="B843" s="21" t="inlineStr">
        <is>
          <t>Дом или коттедж</t>
        </is>
      </c>
      <c r="C843" s="21" t="inlineStr">
        <is>
          <t>Хабаровский</t>
        </is>
      </c>
      <c r="D843" s="22" t="n">
        <v>0</v>
      </c>
    </row>
    <row r="844">
      <c r="A844" s="21" t="inlineStr">
        <is>
          <t>Снять</t>
        </is>
      </c>
      <c r="B844" s="21" t="inlineStr">
        <is>
          <t>Дом или коттедж</t>
        </is>
      </c>
      <c r="C844" s="21" t="inlineStr">
        <is>
          <t>Хакасия</t>
        </is>
      </c>
      <c r="D844" s="22" t="n">
        <v>0</v>
      </c>
    </row>
    <row r="845">
      <c r="A845" s="21" t="inlineStr">
        <is>
          <t>Снять</t>
        </is>
      </c>
      <c r="B845" s="21" t="inlineStr">
        <is>
          <t>Дом или коттедж</t>
        </is>
      </c>
      <c r="C845" s="21" t="inlineStr">
        <is>
          <t>Ханты-Мансийский</t>
        </is>
      </c>
      <c r="D845" s="22" t="n">
        <v>14</v>
      </c>
    </row>
    <row r="846">
      <c r="A846" s="21" t="inlineStr">
        <is>
          <t>Снять</t>
        </is>
      </c>
      <c r="B846" s="21" t="inlineStr">
        <is>
          <t>Дом или коттедж</t>
        </is>
      </c>
      <c r="C846" s="21" t="inlineStr">
        <is>
          <t>Челябинская</t>
        </is>
      </c>
      <c r="D846" s="22" t="n">
        <v>20</v>
      </c>
    </row>
    <row r="847">
      <c r="A847" s="21" t="inlineStr">
        <is>
          <t>Снять</t>
        </is>
      </c>
      <c r="B847" s="21" t="inlineStr">
        <is>
          <t>Дом или коттедж</t>
        </is>
      </c>
      <c r="C847" s="21" t="inlineStr">
        <is>
          <t>Чеченская</t>
        </is>
      </c>
      <c r="D847" s="22" t="n">
        <v>0</v>
      </c>
    </row>
    <row r="848">
      <c r="A848" s="21" t="inlineStr">
        <is>
          <t>Снять</t>
        </is>
      </c>
      <c r="B848" s="21" t="inlineStr">
        <is>
          <t>Дом или коттедж</t>
        </is>
      </c>
      <c r="C848" s="21" t="inlineStr">
        <is>
          <t>Чувашская</t>
        </is>
      </c>
      <c r="D848" s="22" t="n">
        <v>0</v>
      </c>
    </row>
    <row r="849">
      <c r="A849" s="21" t="inlineStr">
        <is>
          <t>Снять</t>
        </is>
      </c>
      <c r="B849" s="21" t="inlineStr">
        <is>
          <t>Дом или коттедж</t>
        </is>
      </c>
      <c r="C849" s="21" t="inlineStr">
        <is>
          <t>Чукотский</t>
        </is>
      </c>
      <c r="D849" s="22" t="n">
        <v>0</v>
      </c>
    </row>
    <row r="850">
      <c r="A850" s="21" t="inlineStr">
        <is>
          <t>Снять</t>
        </is>
      </c>
      <c r="B850" s="21" t="inlineStr">
        <is>
          <t>Дом или коттедж</t>
        </is>
      </c>
      <c r="C850" s="21" t="inlineStr">
        <is>
          <t>Ямало-Ненецкий</t>
        </is>
      </c>
      <c r="D850" s="22" t="n">
        <v>17</v>
      </c>
    </row>
    <row r="851">
      <c r="A851" s="21" t="inlineStr">
        <is>
          <t>Снять</t>
        </is>
      </c>
      <c r="B851" s="21" t="inlineStr">
        <is>
          <t>Дом или коттедж</t>
        </is>
      </c>
      <c r="C851" s="21" t="inlineStr">
        <is>
          <t>Ярославская</t>
        </is>
      </c>
      <c r="D851" s="22" t="n">
        <v>23</v>
      </c>
    </row>
    <row r="852">
      <c r="A852" s="27" t="inlineStr">
        <is>
          <t>Снять</t>
        </is>
      </c>
      <c r="B852" s="17" t="inlineStr">
        <is>
          <t>Гараж или машиноместо</t>
        </is>
      </c>
      <c r="C852" s="28" t="inlineStr">
        <is>
          <t>Адыгея</t>
        </is>
      </c>
      <c r="D852" s="19" t="n">
        <v>0</v>
      </c>
    </row>
    <row r="853">
      <c r="A853" s="21" t="inlineStr">
        <is>
          <t>Снять</t>
        </is>
      </c>
      <c r="B853" s="21" t="inlineStr">
        <is>
          <t>Гараж или машиноместо</t>
        </is>
      </c>
      <c r="C853" s="21" t="inlineStr">
        <is>
          <t>Алтай</t>
        </is>
      </c>
      <c r="D853" s="22" t="n">
        <v>0</v>
      </c>
    </row>
    <row r="854">
      <c r="A854" s="21" t="inlineStr">
        <is>
          <t>Снять</t>
        </is>
      </c>
      <c r="B854" s="21" t="inlineStr">
        <is>
          <t>Гараж или машиноместо</t>
        </is>
      </c>
      <c r="C854" s="21" t="inlineStr">
        <is>
          <t>Алтайский</t>
        </is>
      </c>
      <c r="D854" s="22" t="n">
        <v>0</v>
      </c>
    </row>
    <row r="855">
      <c r="A855" s="21" t="inlineStr">
        <is>
          <t>Снять</t>
        </is>
      </c>
      <c r="B855" s="21" t="inlineStr">
        <is>
          <t>Гараж или машиноместо</t>
        </is>
      </c>
      <c r="C855" s="21" t="inlineStr">
        <is>
          <t>Амурская</t>
        </is>
      </c>
      <c r="D855" s="22" t="n">
        <v>0</v>
      </c>
    </row>
    <row r="856">
      <c r="A856" s="21" t="inlineStr">
        <is>
          <t>Снять</t>
        </is>
      </c>
      <c r="B856" s="21" t="inlineStr">
        <is>
          <t>Гараж или машиноместо</t>
        </is>
      </c>
      <c r="C856" s="21" t="inlineStr">
        <is>
          <t>Архангельская</t>
        </is>
      </c>
      <c r="D856" s="22" t="n">
        <v>0</v>
      </c>
    </row>
    <row r="857">
      <c r="A857" s="21" t="inlineStr">
        <is>
          <t>Снять</t>
        </is>
      </c>
      <c r="B857" s="21" t="inlineStr">
        <is>
          <t>Гараж или машиноместо</t>
        </is>
      </c>
      <c r="C857" s="21" t="inlineStr">
        <is>
          <t>Астраханская</t>
        </is>
      </c>
      <c r="D857" s="22" t="n">
        <v>0</v>
      </c>
    </row>
    <row r="858">
      <c r="A858" s="21" t="inlineStr">
        <is>
          <t>Снять</t>
        </is>
      </c>
      <c r="B858" s="21" t="inlineStr">
        <is>
          <t>Гараж или машиноместо</t>
        </is>
      </c>
      <c r="C858" s="21" t="inlineStr">
        <is>
          <t>Башкортостан</t>
        </is>
      </c>
      <c r="D858" s="22" t="n">
        <v>0</v>
      </c>
    </row>
    <row r="859">
      <c r="A859" s="21" t="inlineStr">
        <is>
          <t>Снять</t>
        </is>
      </c>
      <c r="B859" s="21" t="inlineStr">
        <is>
          <t>Гараж или машиноместо</t>
        </is>
      </c>
      <c r="C859" s="21" t="inlineStr">
        <is>
          <t>Белгородская</t>
        </is>
      </c>
      <c r="D859" s="22" t="n">
        <v>0</v>
      </c>
    </row>
    <row r="860">
      <c r="A860" s="21" t="inlineStr">
        <is>
          <t>Снять</t>
        </is>
      </c>
      <c r="B860" s="21" t="inlineStr">
        <is>
          <t>Гараж или машиноместо</t>
        </is>
      </c>
      <c r="C860" s="21" t="inlineStr">
        <is>
          <t>Брянская</t>
        </is>
      </c>
      <c r="D860" s="22" t="n">
        <v>0</v>
      </c>
    </row>
    <row r="861">
      <c r="A861" s="21" t="inlineStr">
        <is>
          <t>Снять</t>
        </is>
      </c>
      <c r="B861" s="21" t="inlineStr">
        <is>
          <t>Гараж или машиноместо</t>
        </is>
      </c>
      <c r="C861" s="21" t="inlineStr">
        <is>
          <t>Бурятия</t>
        </is>
      </c>
      <c r="D861" s="22" t="n">
        <v>0</v>
      </c>
    </row>
    <row r="862">
      <c r="A862" s="21" t="inlineStr">
        <is>
          <t>Снять</t>
        </is>
      </c>
      <c r="B862" s="21" t="inlineStr">
        <is>
          <t>Гараж или машиноместо</t>
        </is>
      </c>
      <c r="C862" s="21" t="inlineStr">
        <is>
          <t>Владимирская</t>
        </is>
      </c>
      <c r="D862" s="22" t="n">
        <v>0</v>
      </c>
    </row>
    <row r="863">
      <c r="A863" s="21" t="inlineStr">
        <is>
          <t>Снять</t>
        </is>
      </c>
      <c r="B863" s="21" t="inlineStr">
        <is>
          <t>Гараж или машиноместо</t>
        </is>
      </c>
      <c r="C863" s="21" t="inlineStr">
        <is>
          <t>Волгоградская</t>
        </is>
      </c>
      <c r="D863" s="22" t="n">
        <v>0</v>
      </c>
    </row>
    <row r="864">
      <c r="A864" s="21" t="inlineStr">
        <is>
          <t>Снять</t>
        </is>
      </c>
      <c r="B864" s="21" t="inlineStr">
        <is>
          <t>Гараж или машиноместо</t>
        </is>
      </c>
      <c r="C864" s="21" t="inlineStr">
        <is>
          <t>Вологодская</t>
        </is>
      </c>
      <c r="D864" s="22" t="n">
        <v>0</v>
      </c>
    </row>
    <row r="865">
      <c r="A865" s="21" t="inlineStr">
        <is>
          <t>Снять</t>
        </is>
      </c>
      <c r="B865" s="21" t="inlineStr">
        <is>
          <t>Гараж или машиноместо</t>
        </is>
      </c>
      <c r="C865" s="21" t="inlineStr">
        <is>
          <t>Воронежская</t>
        </is>
      </c>
      <c r="D865" s="22" t="n">
        <v>0</v>
      </c>
    </row>
    <row r="866">
      <c r="A866" s="21" t="inlineStr">
        <is>
          <t>Снять</t>
        </is>
      </c>
      <c r="B866" s="21" t="inlineStr">
        <is>
          <t>Гараж или машиноместо</t>
        </is>
      </c>
      <c r="C866" s="21" t="inlineStr">
        <is>
          <t>Дагестан</t>
        </is>
      </c>
      <c r="D866" s="22" t="n">
        <v>0</v>
      </c>
    </row>
    <row r="867">
      <c r="A867" s="21" t="inlineStr">
        <is>
          <t>Снять</t>
        </is>
      </c>
      <c r="B867" s="21" t="inlineStr">
        <is>
          <t>Гараж или машиноместо</t>
        </is>
      </c>
      <c r="C867" s="21" t="inlineStr">
        <is>
          <t>Еврейская</t>
        </is>
      </c>
      <c r="D867" s="22" t="n">
        <v>0</v>
      </c>
    </row>
    <row r="868">
      <c r="A868" s="21" t="inlineStr">
        <is>
          <t>Снять</t>
        </is>
      </c>
      <c r="B868" s="21" t="inlineStr">
        <is>
          <t>Гараж или машиноместо</t>
        </is>
      </c>
      <c r="C868" s="21" t="inlineStr">
        <is>
          <t>Забайкальский</t>
        </is>
      </c>
      <c r="D868" s="22" t="n">
        <v>0</v>
      </c>
    </row>
    <row r="869">
      <c r="A869" s="21" t="inlineStr">
        <is>
          <t>Снять</t>
        </is>
      </c>
      <c r="B869" s="21" t="inlineStr">
        <is>
          <t>Гараж или машиноместо</t>
        </is>
      </c>
      <c r="C869" s="21" t="inlineStr">
        <is>
          <t>Ивановская</t>
        </is>
      </c>
      <c r="D869" s="22" t="n">
        <v>0</v>
      </c>
    </row>
    <row r="870">
      <c r="A870" s="21" t="inlineStr">
        <is>
          <t>Снять</t>
        </is>
      </c>
      <c r="B870" s="21" t="inlineStr">
        <is>
          <t>Гараж или машиноместо</t>
        </is>
      </c>
      <c r="C870" s="21" t="inlineStr">
        <is>
          <t>Ингушетия</t>
        </is>
      </c>
      <c r="D870" s="22" t="n">
        <v>0</v>
      </c>
    </row>
    <row r="871">
      <c r="A871" s="21" t="inlineStr">
        <is>
          <t>Снять</t>
        </is>
      </c>
      <c r="B871" s="21" t="inlineStr">
        <is>
          <t>Гараж или машиноместо</t>
        </is>
      </c>
      <c r="C871" s="21" t="inlineStr">
        <is>
          <t>Иркутская</t>
        </is>
      </c>
      <c r="D871" s="22" t="n">
        <v>15</v>
      </c>
    </row>
    <row r="872">
      <c r="A872" s="21" t="inlineStr">
        <is>
          <t>Снять</t>
        </is>
      </c>
      <c r="B872" s="21" t="inlineStr">
        <is>
          <t>Гараж или машиноместо</t>
        </is>
      </c>
      <c r="C872" s="21" t="inlineStr">
        <is>
          <t>Кабардино-Балкарская</t>
        </is>
      </c>
      <c r="D872" s="22" t="n">
        <v>0</v>
      </c>
    </row>
    <row r="873">
      <c r="A873" s="21" t="inlineStr">
        <is>
          <t>Снять</t>
        </is>
      </c>
      <c r="B873" s="21" t="inlineStr">
        <is>
          <t>Гараж или машиноместо</t>
        </is>
      </c>
      <c r="C873" s="21" t="inlineStr">
        <is>
          <t>Калининградская</t>
        </is>
      </c>
      <c r="D873" s="22" t="n">
        <v>0</v>
      </c>
    </row>
    <row r="874">
      <c r="A874" s="21" t="inlineStr">
        <is>
          <t>Снять</t>
        </is>
      </c>
      <c r="B874" s="21" t="inlineStr">
        <is>
          <t>Гараж или машиноместо</t>
        </is>
      </c>
      <c r="C874" s="21" t="inlineStr">
        <is>
          <t>Калмыкия</t>
        </is>
      </c>
      <c r="D874" s="22" t="n">
        <v>0</v>
      </c>
    </row>
    <row r="875">
      <c r="A875" s="21" t="inlineStr">
        <is>
          <t>Снять</t>
        </is>
      </c>
      <c r="B875" s="21" t="inlineStr">
        <is>
          <t>Гараж или машиноместо</t>
        </is>
      </c>
      <c r="C875" s="21" t="inlineStr">
        <is>
          <t>Калужская</t>
        </is>
      </c>
      <c r="D875" s="22" t="n">
        <v>0</v>
      </c>
    </row>
    <row r="876">
      <c r="A876" s="21" t="inlineStr">
        <is>
          <t>Снять</t>
        </is>
      </c>
      <c r="B876" s="21" t="inlineStr">
        <is>
          <t>Гараж или машиноместо</t>
        </is>
      </c>
      <c r="C876" s="21" t="inlineStr">
        <is>
          <t>Камчатский</t>
        </is>
      </c>
      <c r="D876" s="22" t="n">
        <v>0</v>
      </c>
    </row>
    <row r="877">
      <c r="A877" s="21" t="inlineStr">
        <is>
          <t>Снять</t>
        </is>
      </c>
      <c r="B877" s="21" t="inlineStr">
        <is>
          <t>Гараж или машиноместо</t>
        </is>
      </c>
      <c r="C877" s="21" t="inlineStr">
        <is>
          <t>Карачаево-Черкесская</t>
        </is>
      </c>
      <c r="D877" s="22" t="n">
        <v>0</v>
      </c>
    </row>
    <row r="878">
      <c r="A878" s="21" t="inlineStr">
        <is>
          <t>Снять</t>
        </is>
      </c>
      <c r="B878" s="21" t="inlineStr">
        <is>
          <t>Гараж или машиноместо</t>
        </is>
      </c>
      <c r="C878" s="21" t="inlineStr">
        <is>
          <t>Карелия</t>
        </is>
      </c>
      <c r="D878" s="22" t="n">
        <v>0</v>
      </c>
    </row>
    <row r="879">
      <c r="A879" s="21" t="inlineStr">
        <is>
          <t>Снять</t>
        </is>
      </c>
      <c r="B879" s="21" t="inlineStr">
        <is>
          <t>Гараж или машиноместо</t>
        </is>
      </c>
      <c r="C879" s="21" t="inlineStr">
        <is>
          <t>Кемеровская</t>
        </is>
      </c>
      <c r="D879" s="22" t="n">
        <v>0</v>
      </c>
    </row>
    <row r="880">
      <c r="A880" s="21" t="inlineStr">
        <is>
          <t>Снять</t>
        </is>
      </c>
      <c r="B880" s="21" t="inlineStr">
        <is>
          <t>Гараж или машиноместо</t>
        </is>
      </c>
      <c r="C880" s="21" t="inlineStr">
        <is>
          <t>Кировская</t>
        </is>
      </c>
      <c r="D880" s="22" t="n">
        <v>0</v>
      </c>
    </row>
    <row r="881">
      <c r="A881" s="21" t="inlineStr">
        <is>
          <t>Снять</t>
        </is>
      </c>
      <c r="B881" s="21" t="inlineStr">
        <is>
          <t>Гараж или машиноместо</t>
        </is>
      </c>
      <c r="C881" s="21" t="inlineStr">
        <is>
          <t>Коми</t>
        </is>
      </c>
      <c r="D881" s="22" t="n">
        <v>0</v>
      </c>
    </row>
    <row r="882">
      <c r="A882" s="21" t="inlineStr">
        <is>
          <t>Снять</t>
        </is>
      </c>
      <c r="B882" s="21" t="inlineStr">
        <is>
          <t>Гараж или машиноместо</t>
        </is>
      </c>
      <c r="C882" s="21" t="inlineStr">
        <is>
          <t>Костромская</t>
        </is>
      </c>
      <c r="D882" s="22" t="n">
        <v>0</v>
      </c>
    </row>
    <row r="883">
      <c r="A883" s="21" t="inlineStr">
        <is>
          <t>Снять</t>
        </is>
      </c>
      <c r="B883" s="21" t="inlineStr">
        <is>
          <t>Гараж или машиноместо</t>
        </is>
      </c>
      <c r="C883" s="21" t="inlineStr">
        <is>
          <t>Краснодарский</t>
        </is>
      </c>
      <c r="D883" s="22" t="n">
        <v>18</v>
      </c>
    </row>
    <row r="884">
      <c r="A884" s="21" t="inlineStr">
        <is>
          <t>Снять</t>
        </is>
      </c>
      <c r="B884" s="21" t="inlineStr">
        <is>
          <t>Гараж или машиноместо</t>
        </is>
      </c>
      <c r="C884" s="21" t="inlineStr">
        <is>
          <t>Красноярский</t>
        </is>
      </c>
      <c r="D884" s="22" t="n">
        <v>15</v>
      </c>
    </row>
    <row r="885">
      <c r="A885" s="21" t="inlineStr">
        <is>
          <t>Снять</t>
        </is>
      </c>
      <c r="B885" s="21" t="inlineStr">
        <is>
          <t>Гараж или машиноместо</t>
        </is>
      </c>
      <c r="C885" s="21" t="inlineStr">
        <is>
          <t>Крым</t>
        </is>
      </c>
      <c r="D885" s="22" t="n">
        <v>0</v>
      </c>
    </row>
    <row r="886">
      <c r="A886" s="21" t="inlineStr">
        <is>
          <t>Снять</t>
        </is>
      </c>
      <c r="B886" s="21" t="inlineStr">
        <is>
          <t>Гараж или машиноместо</t>
        </is>
      </c>
      <c r="C886" s="21" t="inlineStr">
        <is>
          <t>Курганская</t>
        </is>
      </c>
      <c r="D886" s="22" t="n">
        <v>0</v>
      </c>
    </row>
    <row r="887">
      <c r="A887" s="21" t="inlineStr">
        <is>
          <t>Снять</t>
        </is>
      </c>
      <c r="B887" s="21" t="inlineStr">
        <is>
          <t>Гараж или машиноместо</t>
        </is>
      </c>
      <c r="C887" s="21" t="inlineStr">
        <is>
          <t>Курская</t>
        </is>
      </c>
      <c r="D887" s="22" t="n">
        <v>0</v>
      </c>
    </row>
    <row r="888">
      <c r="A888" s="21" t="inlineStr">
        <is>
          <t>Снять</t>
        </is>
      </c>
      <c r="B888" s="21" t="inlineStr">
        <is>
          <t>Гараж или машиноместо</t>
        </is>
      </c>
      <c r="C888" s="21" t="inlineStr">
        <is>
          <t>Ленинградская</t>
        </is>
      </c>
      <c r="D888" s="22" t="n">
        <v>11</v>
      </c>
    </row>
    <row r="889">
      <c r="A889" s="21" t="inlineStr">
        <is>
          <t>Снять</t>
        </is>
      </c>
      <c r="B889" s="21" t="inlineStr">
        <is>
          <t>Гараж или машиноместо</t>
        </is>
      </c>
      <c r="C889" s="21" t="inlineStr">
        <is>
          <t>Липецкая</t>
        </is>
      </c>
      <c r="D889" s="22" t="n">
        <v>0</v>
      </c>
    </row>
    <row r="890">
      <c r="A890" s="21" t="inlineStr">
        <is>
          <t>Снять</t>
        </is>
      </c>
      <c r="B890" s="21" t="inlineStr">
        <is>
          <t>Гараж или машиноместо</t>
        </is>
      </c>
      <c r="C890" s="21" t="inlineStr">
        <is>
          <t>Магаданская</t>
        </is>
      </c>
      <c r="D890" s="22" t="n">
        <v>0</v>
      </c>
    </row>
    <row r="891">
      <c r="A891" s="21" t="inlineStr">
        <is>
          <t>Снять</t>
        </is>
      </c>
      <c r="B891" s="21" t="inlineStr">
        <is>
          <t>Гараж или машиноместо</t>
        </is>
      </c>
      <c r="C891" s="21" t="inlineStr">
        <is>
          <t>Марий Эл</t>
        </is>
      </c>
      <c r="D891" s="22" t="n">
        <v>0</v>
      </c>
    </row>
    <row r="892">
      <c r="A892" s="21" t="inlineStr">
        <is>
          <t>Снять</t>
        </is>
      </c>
      <c r="B892" s="21" t="inlineStr">
        <is>
          <t>Гараж или машиноместо</t>
        </is>
      </c>
      <c r="C892" s="21" t="inlineStr">
        <is>
          <t>Мордовия</t>
        </is>
      </c>
      <c r="D892" s="22" t="n">
        <v>0</v>
      </c>
    </row>
    <row r="893">
      <c r="A893" s="21" t="inlineStr">
        <is>
          <t>Снять</t>
        </is>
      </c>
      <c r="B893" s="21" t="inlineStr">
        <is>
          <t>Гараж или машиноместо</t>
        </is>
      </c>
      <c r="C893" s="21" t="inlineStr">
        <is>
          <t>Москва</t>
        </is>
      </c>
      <c r="D893" s="22" t="n">
        <v>197</v>
      </c>
    </row>
    <row r="894">
      <c r="A894" s="21" t="inlineStr">
        <is>
          <t>Снять</t>
        </is>
      </c>
      <c r="B894" s="21" t="inlineStr">
        <is>
          <t>Гараж или машиноместо</t>
        </is>
      </c>
      <c r="C894" s="21" t="inlineStr">
        <is>
          <t>Московская</t>
        </is>
      </c>
      <c r="D894" s="22" t="n">
        <v>63</v>
      </c>
    </row>
    <row r="895">
      <c r="A895" s="21" t="inlineStr">
        <is>
          <t>Снять</t>
        </is>
      </c>
      <c r="B895" s="21" t="inlineStr">
        <is>
          <t>Гараж или машиноместо</t>
        </is>
      </c>
      <c r="C895" s="21" t="inlineStr">
        <is>
          <t>Мурманская</t>
        </is>
      </c>
      <c r="D895" s="22" t="n">
        <v>0</v>
      </c>
    </row>
    <row r="896">
      <c r="A896" s="21" t="inlineStr">
        <is>
          <t>Снять</t>
        </is>
      </c>
      <c r="B896" s="21" t="inlineStr">
        <is>
          <t>Гараж или машиноместо</t>
        </is>
      </c>
      <c r="C896" s="21" t="inlineStr">
        <is>
          <t>Ненецкий</t>
        </is>
      </c>
      <c r="D896" s="22" t="n">
        <v>0</v>
      </c>
    </row>
    <row r="897">
      <c r="A897" s="21" t="inlineStr">
        <is>
          <t>Снять</t>
        </is>
      </c>
      <c r="B897" s="21" t="inlineStr">
        <is>
          <t>Гараж или машиноместо</t>
        </is>
      </c>
      <c r="C897" s="21" t="inlineStr">
        <is>
          <t>Нижегородская</t>
        </is>
      </c>
      <c r="D897" s="22" t="n">
        <v>0</v>
      </c>
    </row>
    <row r="898">
      <c r="A898" s="21" t="inlineStr">
        <is>
          <t>Снять</t>
        </is>
      </c>
      <c r="B898" s="21" t="inlineStr">
        <is>
          <t>Гараж или машиноместо</t>
        </is>
      </c>
      <c r="C898" s="21" t="inlineStr">
        <is>
          <t>Новгородская</t>
        </is>
      </c>
      <c r="D898" s="22" t="n">
        <v>0</v>
      </c>
    </row>
    <row r="899">
      <c r="A899" s="21" t="inlineStr">
        <is>
          <t>Снять</t>
        </is>
      </c>
      <c r="B899" s="21" t="inlineStr">
        <is>
          <t>Гараж или машиноместо</t>
        </is>
      </c>
      <c r="C899" s="21" t="inlineStr">
        <is>
          <t>Новосибирская</t>
        </is>
      </c>
      <c r="D899" s="22" t="n">
        <v>43</v>
      </c>
    </row>
    <row r="900">
      <c r="A900" s="21" t="inlineStr">
        <is>
          <t>Снять</t>
        </is>
      </c>
      <c r="B900" s="21" t="inlineStr">
        <is>
          <t>Гараж или машиноместо</t>
        </is>
      </c>
      <c r="C900" s="21" t="inlineStr">
        <is>
          <t>Омская</t>
        </is>
      </c>
      <c r="D900" s="22" t="n">
        <v>0</v>
      </c>
    </row>
    <row r="901">
      <c r="A901" s="21" t="inlineStr">
        <is>
          <t>Снять</t>
        </is>
      </c>
      <c r="B901" s="21" t="inlineStr">
        <is>
          <t>Гараж или машиноместо</t>
        </is>
      </c>
      <c r="C901" s="21" t="inlineStr">
        <is>
          <t>Оренбургская</t>
        </is>
      </c>
      <c r="D901" s="22" t="n">
        <v>0</v>
      </c>
    </row>
    <row r="902">
      <c r="A902" s="21" t="inlineStr">
        <is>
          <t>Снять</t>
        </is>
      </c>
      <c r="B902" s="21" t="inlineStr">
        <is>
          <t>Гараж или машиноместо</t>
        </is>
      </c>
      <c r="C902" s="21" t="inlineStr">
        <is>
          <t>Орловская</t>
        </is>
      </c>
      <c r="D902" s="22" t="n">
        <v>0</v>
      </c>
    </row>
    <row r="903">
      <c r="A903" s="21" t="inlineStr">
        <is>
          <t>Снять</t>
        </is>
      </c>
      <c r="B903" s="21" t="inlineStr">
        <is>
          <t>Гараж или машиноместо</t>
        </is>
      </c>
      <c r="C903" s="21" t="inlineStr">
        <is>
          <t>Пензенская</t>
        </is>
      </c>
      <c r="D903" s="22" t="n">
        <v>0</v>
      </c>
    </row>
    <row r="904">
      <c r="A904" s="21" t="inlineStr">
        <is>
          <t>Снять</t>
        </is>
      </c>
      <c r="B904" s="21" t="inlineStr">
        <is>
          <t>Гараж или машиноместо</t>
        </is>
      </c>
      <c r="C904" s="21" t="inlineStr">
        <is>
          <t>Пермский</t>
        </is>
      </c>
      <c r="D904" s="22" t="n">
        <v>0</v>
      </c>
    </row>
    <row r="905">
      <c r="A905" s="21" t="inlineStr">
        <is>
          <t>Снять</t>
        </is>
      </c>
      <c r="B905" s="21" t="inlineStr">
        <is>
          <t>Гараж или машиноместо</t>
        </is>
      </c>
      <c r="C905" s="21" t="inlineStr">
        <is>
          <t>Приморский</t>
        </is>
      </c>
      <c r="D905" s="22" t="n">
        <v>0</v>
      </c>
    </row>
    <row r="906">
      <c r="A906" s="21" t="inlineStr">
        <is>
          <t>Снять</t>
        </is>
      </c>
      <c r="B906" s="21" t="inlineStr">
        <is>
          <t>Гараж или машиноместо</t>
        </is>
      </c>
      <c r="C906" s="21" t="inlineStr">
        <is>
          <t>Псковская</t>
        </is>
      </c>
      <c r="D906" s="22" t="n">
        <v>0</v>
      </c>
    </row>
    <row r="907">
      <c r="A907" s="21" t="inlineStr">
        <is>
          <t>Снять</t>
        </is>
      </c>
      <c r="B907" s="21" t="inlineStr">
        <is>
          <t>Гараж или машиноместо</t>
        </is>
      </c>
      <c r="C907" s="21" t="inlineStr">
        <is>
          <t>Ростовская</t>
        </is>
      </c>
      <c r="D907" s="22" t="n">
        <v>15</v>
      </c>
    </row>
    <row r="908">
      <c r="A908" s="21" t="inlineStr">
        <is>
          <t>Снять</t>
        </is>
      </c>
      <c r="B908" s="21" t="inlineStr">
        <is>
          <t>Гараж или машиноместо</t>
        </is>
      </c>
      <c r="C908" s="21" t="inlineStr">
        <is>
          <t>Рязанская</t>
        </is>
      </c>
      <c r="D908" s="22" t="n">
        <v>0</v>
      </c>
    </row>
    <row r="909">
      <c r="A909" s="21" t="inlineStr">
        <is>
          <t>Снять</t>
        </is>
      </c>
      <c r="B909" s="21" t="inlineStr">
        <is>
          <t>Гараж или машиноместо</t>
        </is>
      </c>
      <c r="C909" s="21" t="inlineStr">
        <is>
          <t>Самарская</t>
        </is>
      </c>
      <c r="D909" s="22" t="n">
        <v>15</v>
      </c>
    </row>
    <row r="910">
      <c r="A910" s="21" t="inlineStr">
        <is>
          <t>Снять</t>
        </is>
      </c>
      <c r="B910" s="21" t="inlineStr">
        <is>
          <t>Гараж или машиноместо</t>
        </is>
      </c>
      <c r="C910" s="21" t="inlineStr">
        <is>
          <t>Санкт-Петербург</t>
        </is>
      </c>
      <c r="D910" s="22" t="n">
        <v>114</v>
      </c>
    </row>
    <row r="911">
      <c r="A911" s="21" t="inlineStr">
        <is>
          <t>Снять</t>
        </is>
      </c>
      <c r="B911" s="21" t="inlineStr">
        <is>
          <t>Гараж или машиноместо</t>
        </is>
      </c>
      <c r="C911" s="21" t="inlineStr">
        <is>
          <t>Саратовская</t>
        </is>
      </c>
      <c r="D911" s="22" t="n">
        <v>19</v>
      </c>
    </row>
    <row r="912">
      <c r="A912" s="21" t="inlineStr">
        <is>
          <t>Снять</t>
        </is>
      </c>
      <c r="B912" s="21" t="inlineStr">
        <is>
          <t>Гараж или машиноместо</t>
        </is>
      </c>
      <c r="C912" s="21" t="inlineStr">
        <is>
          <t>Саха (Якутия)</t>
        </is>
      </c>
      <c r="D912" s="22" t="n">
        <v>0</v>
      </c>
    </row>
    <row r="913">
      <c r="A913" s="21" t="inlineStr">
        <is>
          <t>Снять</t>
        </is>
      </c>
      <c r="B913" s="21" t="inlineStr">
        <is>
          <t>Гараж или машиноместо</t>
        </is>
      </c>
      <c r="C913" s="21" t="inlineStr">
        <is>
          <t>Сахалинская</t>
        </is>
      </c>
      <c r="D913" s="22" t="n">
        <v>0</v>
      </c>
    </row>
    <row r="914">
      <c r="A914" s="21" t="inlineStr">
        <is>
          <t>Снять</t>
        </is>
      </c>
      <c r="B914" s="21" t="inlineStr">
        <is>
          <t>Гараж или машиноместо</t>
        </is>
      </c>
      <c r="C914" s="21" t="inlineStr">
        <is>
          <t>Свердловская</t>
        </is>
      </c>
      <c r="D914" s="22" t="n">
        <v>76</v>
      </c>
    </row>
    <row r="915">
      <c r="A915" s="21" t="inlineStr">
        <is>
          <t>Снять</t>
        </is>
      </c>
      <c r="B915" s="21" t="inlineStr">
        <is>
          <t>Гараж или машиноместо</t>
        </is>
      </c>
      <c r="C915" s="21" t="inlineStr">
        <is>
          <t>Севастополь</t>
        </is>
      </c>
      <c r="D915" s="22" t="n">
        <v>0</v>
      </c>
    </row>
    <row r="916">
      <c r="A916" s="21" t="inlineStr">
        <is>
          <t>Снять</t>
        </is>
      </c>
      <c r="B916" s="21" t="inlineStr">
        <is>
          <t>Гараж или машиноместо</t>
        </is>
      </c>
      <c r="C916" s="21" t="inlineStr">
        <is>
          <t>Северная Осетия - Алания</t>
        </is>
      </c>
      <c r="D916" s="22" t="n">
        <v>0</v>
      </c>
    </row>
    <row r="917">
      <c r="A917" s="21" t="inlineStr">
        <is>
          <t>Снять</t>
        </is>
      </c>
      <c r="B917" s="21" t="inlineStr">
        <is>
          <t>Гараж или машиноместо</t>
        </is>
      </c>
      <c r="C917" s="21" t="inlineStr">
        <is>
          <t>Смоленская</t>
        </is>
      </c>
      <c r="D917" s="22" t="n">
        <v>0</v>
      </c>
    </row>
    <row r="918">
      <c r="A918" s="21" t="inlineStr">
        <is>
          <t>Снять</t>
        </is>
      </c>
      <c r="B918" s="21" t="inlineStr">
        <is>
          <t>Гараж или машиноместо</t>
        </is>
      </c>
      <c r="C918" s="21" t="inlineStr">
        <is>
          <t>Ставропольский</t>
        </is>
      </c>
      <c r="D918" s="22" t="n">
        <v>0</v>
      </c>
    </row>
    <row r="919">
      <c r="A919" s="21" t="inlineStr">
        <is>
          <t>Снять</t>
        </is>
      </c>
      <c r="B919" s="21" t="inlineStr">
        <is>
          <t>Гараж или машиноместо</t>
        </is>
      </c>
      <c r="C919" s="21" t="inlineStr">
        <is>
          <t>Тамбовская</t>
        </is>
      </c>
      <c r="D919" s="22" t="n">
        <v>0</v>
      </c>
    </row>
    <row r="920">
      <c r="A920" s="21" t="inlineStr">
        <is>
          <t>Снять</t>
        </is>
      </c>
      <c r="B920" s="21" t="inlineStr">
        <is>
          <t>Гараж или машиноместо</t>
        </is>
      </c>
      <c r="C920" s="21" t="inlineStr">
        <is>
          <t>Татарстан</t>
        </is>
      </c>
      <c r="D920" s="22" t="n">
        <v>0</v>
      </c>
    </row>
    <row r="921">
      <c r="A921" s="21" t="inlineStr">
        <is>
          <t>Снять</t>
        </is>
      </c>
      <c r="B921" s="21" t="inlineStr">
        <is>
          <t>Гараж или машиноместо</t>
        </is>
      </c>
      <c r="C921" s="21" t="inlineStr">
        <is>
          <t>Тверская</t>
        </is>
      </c>
      <c r="D921" s="22" t="n">
        <v>0</v>
      </c>
    </row>
    <row r="922">
      <c r="A922" s="21" t="inlineStr">
        <is>
          <t>Снять</t>
        </is>
      </c>
      <c r="B922" s="21" t="inlineStr">
        <is>
          <t>Гараж или машиноместо</t>
        </is>
      </c>
      <c r="C922" s="21" t="inlineStr">
        <is>
          <t>Томская</t>
        </is>
      </c>
      <c r="D922" s="22" t="n">
        <v>0</v>
      </c>
    </row>
    <row r="923">
      <c r="A923" s="21" t="inlineStr">
        <is>
          <t>Снять</t>
        </is>
      </c>
      <c r="B923" s="21" t="inlineStr">
        <is>
          <t>Гараж или машиноместо</t>
        </is>
      </c>
      <c r="C923" s="21" t="inlineStr">
        <is>
          <t>Тульская</t>
        </is>
      </c>
      <c r="D923" s="22" t="n">
        <v>0</v>
      </c>
    </row>
    <row r="924">
      <c r="A924" s="21" t="inlineStr">
        <is>
          <t>Снять</t>
        </is>
      </c>
      <c r="B924" s="21" t="inlineStr">
        <is>
          <t>Гараж или машиноместо</t>
        </is>
      </c>
      <c r="C924" s="21" t="inlineStr">
        <is>
          <t>Тыва</t>
        </is>
      </c>
      <c r="D924" s="22" t="n">
        <v>0</v>
      </c>
    </row>
    <row r="925">
      <c r="A925" s="21" t="inlineStr">
        <is>
          <t>Снять</t>
        </is>
      </c>
      <c r="B925" s="21" t="inlineStr">
        <is>
          <t>Гараж или машиноместо</t>
        </is>
      </c>
      <c r="C925" s="21" t="inlineStr">
        <is>
          <t>Тюменская</t>
        </is>
      </c>
      <c r="D925" s="22" t="n">
        <v>18</v>
      </c>
    </row>
    <row r="926">
      <c r="A926" s="21" t="inlineStr">
        <is>
          <t>Снять</t>
        </is>
      </c>
      <c r="B926" s="21" t="inlineStr">
        <is>
          <t>Гараж или машиноместо</t>
        </is>
      </c>
      <c r="C926" s="21" t="inlineStr">
        <is>
          <t>Удмуртская</t>
        </is>
      </c>
      <c r="D926" s="22" t="n">
        <v>0</v>
      </c>
    </row>
    <row r="927">
      <c r="A927" s="21" t="inlineStr">
        <is>
          <t>Снять</t>
        </is>
      </c>
      <c r="B927" s="21" t="inlineStr">
        <is>
          <t>Гараж или машиноместо</t>
        </is>
      </c>
      <c r="C927" s="21" t="inlineStr">
        <is>
          <t>Ульяновская</t>
        </is>
      </c>
      <c r="D927" s="22" t="n">
        <v>0</v>
      </c>
    </row>
    <row r="928">
      <c r="A928" s="21" t="inlineStr">
        <is>
          <t>Снять</t>
        </is>
      </c>
      <c r="B928" s="21" t="inlineStr">
        <is>
          <t>Гараж или машиноместо</t>
        </is>
      </c>
      <c r="C928" s="21" t="inlineStr">
        <is>
          <t>Хабаровский</t>
        </is>
      </c>
      <c r="D928" s="22" t="n">
        <v>0</v>
      </c>
    </row>
    <row r="929">
      <c r="A929" s="21" t="inlineStr">
        <is>
          <t>Снять</t>
        </is>
      </c>
      <c r="B929" s="21" t="inlineStr">
        <is>
          <t>Гараж или машиноместо</t>
        </is>
      </c>
      <c r="C929" s="21" t="inlineStr">
        <is>
          <t>Хакасия</t>
        </is>
      </c>
      <c r="D929" s="22" t="n">
        <v>0</v>
      </c>
    </row>
    <row r="930">
      <c r="A930" s="21" t="inlineStr">
        <is>
          <t>Снять</t>
        </is>
      </c>
      <c r="B930" s="21" t="inlineStr">
        <is>
          <t>Гараж или машиноместо</t>
        </is>
      </c>
      <c r="C930" s="21" t="inlineStr">
        <is>
          <t>Ханты-Мансийский</t>
        </is>
      </c>
      <c r="D930" s="22" t="n">
        <v>0</v>
      </c>
    </row>
    <row r="931">
      <c r="A931" s="21" t="inlineStr">
        <is>
          <t>Снять</t>
        </is>
      </c>
      <c r="B931" s="21" t="inlineStr">
        <is>
          <t>Гараж или машиноместо</t>
        </is>
      </c>
      <c r="C931" s="21" t="inlineStr">
        <is>
          <t>Челябинская</t>
        </is>
      </c>
      <c r="D931" s="22" t="n">
        <v>16</v>
      </c>
    </row>
    <row r="932">
      <c r="A932" s="21" t="inlineStr">
        <is>
          <t>Снять</t>
        </is>
      </c>
      <c r="B932" s="21" t="inlineStr">
        <is>
          <t>Гараж или машиноместо</t>
        </is>
      </c>
      <c r="C932" s="21" t="inlineStr">
        <is>
          <t>Чеченская</t>
        </is>
      </c>
      <c r="D932" s="22" t="n">
        <v>0</v>
      </c>
    </row>
    <row r="933">
      <c r="A933" s="21" t="inlineStr">
        <is>
          <t>Снять</t>
        </is>
      </c>
      <c r="B933" s="21" t="inlineStr">
        <is>
          <t>Гараж или машиноместо</t>
        </is>
      </c>
      <c r="C933" s="21" t="inlineStr">
        <is>
          <t>Чувашская</t>
        </is>
      </c>
      <c r="D933" s="22" t="n">
        <v>0</v>
      </c>
    </row>
    <row r="934">
      <c r="A934" s="21" t="inlineStr">
        <is>
          <t>Снять</t>
        </is>
      </c>
      <c r="B934" s="21" t="inlineStr">
        <is>
          <t>Гараж или машиноместо</t>
        </is>
      </c>
      <c r="C934" s="21" t="inlineStr">
        <is>
          <t>Чукотский</t>
        </is>
      </c>
      <c r="D934" s="22" t="n">
        <v>0</v>
      </c>
    </row>
    <row r="935">
      <c r="A935" s="21" t="inlineStr">
        <is>
          <t>Снять</t>
        </is>
      </c>
      <c r="B935" s="21" t="inlineStr">
        <is>
          <t>Гараж или машиноместо</t>
        </is>
      </c>
      <c r="C935" s="21" t="inlineStr">
        <is>
          <t>Ямало-Ненецкий</t>
        </is>
      </c>
      <c r="D935" s="22" t="n">
        <v>0</v>
      </c>
    </row>
    <row r="936">
      <c r="A936" s="21" t="inlineStr">
        <is>
          <t>Снять</t>
        </is>
      </c>
      <c r="B936" s="21" t="inlineStr">
        <is>
          <t>Гараж или машиноместо</t>
        </is>
      </c>
      <c r="C936" s="21" t="inlineStr">
        <is>
          <t>Ярославская</t>
        </is>
      </c>
      <c r="D936" s="22" t="n">
        <v>0</v>
      </c>
    </row>
    <row r="937">
      <c r="A937" s="27" t="inlineStr">
        <is>
          <t>Снять</t>
        </is>
      </c>
      <c r="B937" s="17" t="inlineStr">
        <is>
          <t>Посуточно</t>
        </is>
      </c>
      <c r="C937" s="28" t="inlineStr">
        <is>
          <t>Адыгея</t>
        </is>
      </c>
      <c r="D937" s="19" t="n">
        <v>278</v>
      </c>
    </row>
    <row r="938">
      <c r="A938" s="21" t="inlineStr">
        <is>
          <t>Снять</t>
        </is>
      </c>
      <c r="B938" s="21" t="inlineStr">
        <is>
          <t>Посуточно</t>
        </is>
      </c>
      <c r="C938" s="21" t="inlineStr">
        <is>
          <t>Алтай</t>
        </is>
      </c>
      <c r="D938" s="22" t="n">
        <v>80</v>
      </c>
    </row>
    <row r="939">
      <c r="A939" s="21" t="inlineStr">
        <is>
          <t>Снять</t>
        </is>
      </c>
      <c r="B939" s="21" t="inlineStr">
        <is>
          <t>Посуточно</t>
        </is>
      </c>
      <c r="C939" s="21" t="inlineStr">
        <is>
          <t>Алтайский</t>
        </is>
      </c>
      <c r="D939" s="22" t="n">
        <v>604</v>
      </c>
    </row>
    <row r="940">
      <c r="A940" s="21" t="inlineStr">
        <is>
          <t>Снять</t>
        </is>
      </c>
      <c r="B940" s="21" t="inlineStr">
        <is>
          <t>Посуточно</t>
        </is>
      </c>
      <c r="C940" s="21" t="inlineStr">
        <is>
          <t>Амурская</t>
        </is>
      </c>
      <c r="D940" s="22" t="n">
        <v>299</v>
      </c>
    </row>
    <row r="941">
      <c r="A941" s="21" t="inlineStr">
        <is>
          <t>Снять</t>
        </is>
      </c>
      <c r="B941" s="21" t="inlineStr">
        <is>
          <t>Посуточно</t>
        </is>
      </c>
      <c r="C941" s="21" t="inlineStr">
        <is>
          <t>Архангельская</t>
        </is>
      </c>
      <c r="D941" s="22" t="n">
        <v>337</v>
      </c>
    </row>
    <row r="942">
      <c r="A942" s="21" t="inlineStr">
        <is>
          <t>Снять</t>
        </is>
      </c>
      <c r="B942" s="21" t="inlineStr">
        <is>
          <t>Посуточно</t>
        </is>
      </c>
      <c r="C942" s="21" t="inlineStr">
        <is>
          <t>Астраханская</t>
        </is>
      </c>
      <c r="D942" s="22" t="n">
        <v>427</v>
      </c>
    </row>
    <row r="943">
      <c r="A943" s="21" t="inlineStr">
        <is>
          <t>Снять</t>
        </is>
      </c>
      <c r="B943" s="21" t="inlineStr">
        <is>
          <t>Посуточно</t>
        </is>
      </c>
      <c r="C943" s="21" t="inlineStr">
        <is>
          <t>Башкортостан</t>
        </is>
      </c>
      <c r="D943" s="22" t="n">
        <v>2014</v>
      </c>
    </row>
    <row r="944">
      <c r="A944" s="21" t="inlineStr">
        <is>
          <t>Снять</t>
        </is>
      </c>
      <c r="B944" s="21" t="inlineStr">
        <is>
          <t>Посуточно</t>
        </is>
      </c>
      <c r="C944" s="21" t="inlineStr">
        <is>
          <t>Белгородская</t>
        </is>
      </c>
      <c r="D944" s="22" t="n">
        <v>365</v>
      </c>
    </row>
    <row r="945">
      <c r="A945" s="21" t="inlineStr">
        <is>
          <t>Снять</t>
        </is>
      </c>
      <c r="B945" s="21" t="inlineStr">
        <is>
          <t>Посуточно</t>
        </is>
      </c>
      <c r="C945" s="21" t="inlineStr">
        <is>
          <t>Брянская</t>
        </is>
      </c>
      <c r="D945" s="22" t="n">
        <v>197</v>
      </c>
    </row>
    <row r="946">
      <c r="A946" s="21" t="inlineStr">
        <is>
          <t>Снять</t>
        </is>
      </c>
      <c r="B946" s="21" t="inlineStr">
        <is>
          <t>Посуточно</t>
        </is>
      </c>
      <c r="C946" s="21" t="inlineStr">
        <is>
          <t>Бурятия</t>
        </is>
      </c>
      <c r="D946" s="22" t="n">
        <v>173</v>
      </c>
    </row>
    <row r="947">
      <c r="A947" s="21" t="inlineStr">
        <is>
          <t>Снять</t>
        </is>
      </c>
      <c r="B947" s="21" t="inlineStr">
        <is>
          <t>Посуточно</t>
        </is>
      </c>
      <c r="C947" s="21" t="inlineStr">
        <is>
          <t>Владимирская</t>
        </is>
      </c>
      <c r="D947" s="22" t="n">
        <v>482</v>
      </c>
    </row>
    <row r="948">
      <c r="A948" s="21" t="inlineStr">
        <is>
          <t>Снять</t>
        </is>
      </c>
      <c r="B948" s="21" t="inlineStr">
        <is>
          <t>Посуточно</t>
        </is>
      </c>
      <c r="C948" s="21" t="inlineStr">
        <is>
          <t>Волгоградская</t>
        </is>
      </c>
      <c r="D948" s="22" t="n">
        <v>1125</v>
      </c>
    </row>
    <row r="949">
      <c r="A949" s="21" t="inlineStr">
        <is>
          <t>Снять</t>
        </is>
      </c>
      <c r="B949" s="21" t="inlineStr">
        <is>
          <t>Посуточно</t>
        </is>
      </c>
      <c r="C949" s="21" t="inlineStr">
        <is>
          <t>Вологодская</t>
        </is>
      </c>
      <c r="D949" s="22" t="n">
        <v>566</v>
      </c>
    </row>
    <row r="950">
      <c r="A950" s="21" t="inlineStr">
        <is>
          <t>Снять</t>
        </is>
      </c>
      <c r="B950" s="21" t="inlineStr">
        <is>
          <t>Посуточно</t>
        </is>
      </c>
      <c r="C950" s="21" t="inlineStr">
        <is>
          <t>Воронежская</t>
        </is>
      </c>
      <c r="D950" s="22" t="n">
        <v>841</v>
      </c>
    </row>
    <row r="951">
      <c r="A951" s="21" t="inlineStr">
        <is>
          <t>Снять</t>
        </is>
      </c>
      <c r="B951" s="21" t="inlineStr">
        <is>
          <t>Посуточно</t>
        </is>
      </c>
      <c r="C951" s="21" t="inlineStr">
        <is>
          <t>Дагестан</t>
        </is>
      </c>
      <c r="D951" s="22" t="n">
        <v>1266</v>
      </c>
    </row>
    <row r="952">
      <c r="A952" s="21" t="inlineStr">
        <is>
          <t>Снять</t>
        </is>
      </c>
      <c r="B952" s="21" t="inlineStr">
        <is>
          <t>Посуточно</t>
        </is>
      </c>
      <c r="C952" s="21" t="inlineStr">
        <is>
          <t>Еврейская</t>
        </is>
      </c>
      <c r="D952" s="22" t="n">
        <v>47</v>
      </c>
    </row>
    <row r="953">
      <c r="A953" s="21" t="inlineStr">
        <is>
          <t>Снять</t>
        </is>
      </c>
      <c r="B953" s="21" t="inlineStr">
        <is>
          <t>Посуточно</t>
        </is>
      </c>
      <c r="C953" s="21" t="inlineStr">
        <is>
          <t>Забайкальский</t>
        </is>
      </c>
      <c r="D953" s="22" t="n">
        <v>504</v>
      </c>
    </row>
    <row r="954">
      <c r="A954" s="21" t="inlineStr">
        <is>
          <t>Снять</t>
        </is>
      </c>
      <c r="B954" s="21" t="inlineStr">
        <is>
          <t>Посуточно</t>
        </is>
      </c>
      <c r="C954" s="21" t="inlineStr">
        <is>
          <t>Ивановская</t>
        </is>
      </c>
      <c r="D954" s="22" t="n">
        <v>268</v>
      </c>
    </row>
    <row r="955">
      <c r="A955" s="21" t="inlineStr">
        <is>
          <t>Снять</t>
        </is>
      </c>
      <c r="B955" s="21" t="inlineStr">
        <is>
          <t>Посуточно</t>
        </is>
      </c>
      <c r="C955" s="21" t="inlineStr">
        <is>
          <t>Ингушетия</t>
        </is>
      </c>
      <c r="D955" s="22" t="n">
        <v>0</v>
      </c>
    </row>
    <row r="956">
      <c r="A956" s="21" t="inlineStr">
        <is>
          <t>Снять</t>
        </is>
      </c>
      <c r="B956" s="21" t="inlineStr">
        <is>
          <t>Посуточно</t>
        </is>
      </c>
      <c r="C956" s="21" t="inlineStr">
        <is>
          <t>Иркутская</t>
        </is>
      </c>
      <c r="D956" s="22" t="n">
        <v>1272</v>
      </c>
    </row>
    <row r="957">
      <c r="A957" s="21" t="inlineStr">
        <is>
          <t>Снять</t>
        </is>
      </c>
      <c r="B957" s="21" t="inlineStr">
        <is>
          <t>Посуточно</t>
        </is>
      </c>
      <c r="C957" s="21" t="inlineStr">
        <is>
          <t>Кабардино-Балкарская</t>
        </is>
      </c>
      <c r="D957" s="22" t="n">
        <v>297</v>
      </c>
    </row>
    <row r="958">
      <c r="A958" s="21" t="inlineStr">
        <is>
          <t>Снять</t>
        </is>
      </c>
      <c r="B958" s="21" t="inlineStr">
        <is>
          <t>Посуточно</t>
        </is>
      </c>
      <c r="C958" s="21" t="inlineStr">
        <is>
          <t>Калининградская</t>
        </is>
      </c>
      <c r="D958" s="22" t="n">
        <v>1392</v>
      </c>
    </row>
    <row r="959">
      <c r="A959" s="21" t="inlineStr">
        <is>
          <t>Снять</t>
        </is>
      </c>
      <c r="B959" s="21" t="inlineStr">
        <is>
          <t>Посуточно</t>
        </is>
      </c>
      <c r="C959" s="21" t="inlineStr">
        <is>
          <t>Калмыкия</t>
        </is>
      </c>
      <c r="D959" s="22" t="n">
        <v>91</v>
      </c>
    </row>
    <row r="960">
      <c r="A960" s="21" t="inlineStr">
        <is>
          <t>Снять</t>
        </is>
      </c>
      <c r="B960" s="21" t="inlineStr">
        <is>
          <t>Посуточно</t>
        </is>
      </c>
      <c r="C960" s="21" t="inlineStr">
        <is>
          <t>Калужская</t>
        </is>
      </c>
      <c r="D960" s="22" t="n">
        <v>479</v>
      </c>
    </row>
    <row r="961">
      <c r="A961" s="21" t="inlineStr">
        <is>
          <t>Снять</t>
        </is>
      </c>
      <c r="B961" s="21" t="inlineStr">
        <is>
          <t>Посуточно</t>
        </is>
      </c>
      <c r="C961" s="21" t="inlineStr">
        <is>
          <t>Камчатский</t>
        </is>
      </c>
      <c r="D961" s="22" t="n">
        <v>281</v>
      </c>
    </row>
    <row r="962">
      <c r="A962" s="21" t="inlineStr">
        <is>
          <t>Снять</t>
        </is>
      </c>
      <c r="B962" s="21" t="inlineStr">
        <is>
          <t>Посуточно</t>
        </is>
      </c>
      <c r="C962" s="21" t="inlineStr">
        <is>
          <t>Карачаево-Черкесская</t>
        </is>
      </c>
      <c r="D962" s="22" t="n">
        <v>105</v>
      </c>
    </row>
    <row r="963">
      <c r="A963" s="21" t="inlineStr">
        <is>
          <t>Снять</t>
        </is>
      </c>
      <c r="B963" s="21" t="inlineStr">
        <is>
          <t>Посуточно</t>
        </is>
      </c>
      <c r="C963" s="21" t="inlineStr">
        <is>
          <t>Карелия</t>
        </is>
      </c>
      <c r="D963" s="22" t="n">
        <v>288</v>
      </c>
    </row>
    <row r="964">
      <c r="A964" s="21" t="inlineStr">
        <is>
          <t>Снять</t>
        </is>
      </c>
      <c r="B964" s="21" t="inlineStr">
        <is>
          <t>Посуточно</t>
        </is>
      </c>
      <c r="C964" s="21" t="inlineStr">
        <is>
          <t>Кемеровская</t>
        </is>
      </c>
      <c r="D964" s="22" t="n">
        <v>817</v>
      </c>
    </row>
    <row r="965">
      <c r="A965" s="21" t="inlineStr">
        <is>
          <t>Снять</t>
        </is>
      </c>
      <c r="B965" s="21" t="inlineStr">
        <is>
          <t>Посуточно</t>
        </is>
      </c>
      <c r="C965" s="21" t="inlineStr">
        <is>
          <t>Кировская</t>
        </is>
      </c>
      <c r="D965" s="22" t="n">
        <v>274</v>
      </c>
    </row>
    <row r="966">
      <c r="A966" s="21" t="inlineStr">
        <is>
          <t>Снять</t>
        </is>
      </c>
      <c r="B966" s="21" t="inlineStr">
        <is>
          <t>Посуточно</t>
        </is>
      </c>
      <c r="C966" s="21" t="inlineStr">
        <is>
          <t>Коми</t>
        </is>
      </c>
      <c r="D966" s="22" t="n">
        <v>316</v>
      </c>
    </row>
    <row r="967">
      <c r="A967" s="21" t="inlineStr">
        <is>
          <t>Снять</t>
        </is>
      </c>
      <c r="B967" s="21" t="inlineStr">
        <is>
          <t>Посуточно</t>
        </is>
      </c>
      <c r="C967" s="21" t="inlineStr">
        <is>
          <t>Костромская</t>
        </is>
      </c>
      <c r="D967" s="22" t="n">
        <v>188</v>
      </c>
    </row>
    <row r="968">
      <c r="A968" s="21" t="inlineStr">
        <is>
          <t>Снять</t>
        </is>
      </c>
      <c r="B968" s="21" t="inlineStr">
        <is>
          <t>Посуточно</t>
        </is>
      </c>
      <c r="C968" s="21" t="inlineStr">
        <is>
          <t>Краснодарский</t>
        </is>
      </c>
      <c r="D968" s="22" t="n">
        <v>4330</v>
      </c>
    </row>
    <row r="969">
      <c r="A969" s="21" t="inlineStr">
        <is>
          <t>Снять</t>
        </is>
      </c>
      <c r="B969" s="21" t="inlineStr">
        <is>
          <t>Посуточно</t>
        </is>
      </c>
      <c r="C969" s="21" t="inlineStr">
        <is>
          <t>Красноярский</t>
        </is>
      </c>
      <c r="D969" s="22" t="n">
        <v>1808</v>
      </c>
    </row>
    <row r="970">
      <c r="A970" s="21" t="inlineStr">
        <is>
          <t>Снять</t>
        </is>
      </c>
      <c r="B970" s="21" t="inlineStr">
        <is>
          <t>Посуточно</t>
        </is>
      </c>
      <c r="C970" s="21" t="inlineStr">
        <is>
          <t>Крым</t>
        </is>
      </c>
      <c r="D970" s="22" t="n">
        <v>1277</v>
      </c>
    </row>
    <row r="971">
      <c r="A971" s="21" t="inlineStr">
        <is>
          <t>Снять</t>
        </is>
      </c>
      <c r="B971" s="21" t="inlineStr">
        <is>
          <t>Посуточно</t>
        </is>
      </c>
      <c r="C971" s="21" t="inlineStr">
        <is>
          <t>Курганская</t>
        </is>
      </c>
      <c r="D971" s="22" t="n">
        <v>198</v>
      </c>
    </row>
    <row r="972">
      <c r="A972" s="21" t="inlineStr">
        <is>
          <t>Снять</t>
        </is>
      </c>
      <c r="B972" s="21" t="inlineStr">
        <is>
          <t>Посуточно</t>
        </is>
      </c>
      <c r="C972" s="21" t="inlineStr">
        <is>
          <t>Курская</t>
        </is>
      </c>
      <c r="D972" s="22" t="n">
        <v>402</v>
      </c>
    </row>
    <row r="973">
      <c r="A973" s="21" t="inlineStr">
        <is>
          <t>Снять</t>
        </is>
      </c>
      <c r="B973" s="21" t="inlineStr">
        <is>
          <t>Посуточно</t>
        </is>
      </c>
      <c r="C973" s="21" t="inlineStr">
        <is>
          <t>Ленинградская</t>
        </is>
      </c>
      <c r="D973" s="22" t="n">
        <v>615</v>
      </c>
    </row>
    <row r="974">
      <c r="A974" s="21" t="inlineStr">
        <is>
          <t>Снять</t>
        </is>
      </c>
      <c r="B974" s="21" t="inlineStr">
        <is>
          <t>Посуточно</t>
        </is>
      </c>
      <c r="C974" s="21" t="inlineStr">
        <is>
          <t>Липецкая</t>
        </is>
      </c>
      <c r="D974" s="22" t="n">
        <v>358</v>
      </c>
    </row>
    <row r="975">
      <c r="A975" s="21" t="inlineStr">
        <is>
          <t>Снять</t>
        </is>
      </c>
      <c r="B975" s="21" t="inlineStr">
        <is>
          <t>Посуточно</t>
        </is>
      </c>
      <c r="C975" s="21" t="inlineStr">
        <is>
          <t>Магаданская</t>
        </is>
      </c>
      <c r="D975" s="22" t="n">
        <v>40</v>
      </c>
    </row>
    <row r="976">
      <c r="A976" s="21" t="inlineStr">
        <is>
          <t>Снять</t>
        </is>
      </c>
      <c r="B976" s="21" t="inlineStr">
        <is>
          <t>Посуточно</t>
        </is>
      </c>
      <c r="C976" s="21" t="inlineStr">
        <is>
          <t>Марий Эл</t>
        </is>
      </c>
      <c r="D976" s="22" t="n">
        <v>205</v>
      </c>
    </row>
    <row r="977">
      <c r="A977" s="21" t="inlineStr">
        <is>
          <t>Снять</t>
        </is>
      </c>
      <c r="B977" s="21" t="inlineStr">
        <is>
          <t>Посуточно</t>
        </is>
      </c>
      <c r="C977" s="21" t="inlineStr">
        <is>
          <t>Мордовия</t>
        </is>
      </c>
      <c r="D977" s="22" t="n">
        <v>180</v>
      </c>
    </row>
    <row r="978">
      <c r="A978" s="21" t="inlineStr">
        <is>
          <t>Снять</t>
        </is>
      </c>
      <c r="B978" s="21" t="inlineStr">
        <is>
          <t>Посуточно</t>
        </is>
      </c>
      <c r="C978" s="21" t="inlineStr">
        <is>
          <t>Москва</t>
        </is>
      </c>
      <c r="D978" s="22" t="n">
        <v>6798</v>
      </c>
    </row>
    <row r="979">
      <c r="A979" s="21" t="inlineStr">
        <is>
          <t>Снять</t>
        </is>
      </c>
      <c r="B979" s="21" t="inlineStr">
        <is>
          <t>Посуточно</t>
        </is>
      </c>
      <c r="C979" s="21" t="inlineStr">
        <is>
          <t>Московская</t>
        </is>
      </c>
      <c r="D979" s="22" t="n">
        <v>3511</v>
      </c>
    </row>
    <row r="980">
      <c r="A980" s="21" t="inlineStr">
        <is>
          <t>Снять</t>
        </is>
      </c>
      <c r="B980" s="21" t="inlineStr">
        <is>
          <t>Посуточно</t>
        </is>
      </c>
      <c r="C980" s="21" t="inlineStr">
        <is>
          <t>Мурманская</t>
        </is>
      </c>
      <c r="D980" s="22" t="n">
        <v>449</v>
      </c>
    </row>
    <row r="981">
      <c r="A981" s="21" t="inlineStr">
        <is>
          <t>Снять</t>
        </is>
      </c>
      <c r="B981" s="21" t="inlineStr">
        <is>
          <t>Посуточно</t>
        </is>
      </c>
      <c r="C981" s="21" t="inlineStr">
        <is>
          <t>Ненецкий</t>
        </is>
      </c>
      <c r="D981" s="22" t="n">
        <v>0</v>
      </c>
    </row>
    <row r="982">
      <c r="A982" s="21" t="inlineStr">
        <is>
          <t>Снять</t>
        </is>
      </c>
      <c r="B982" s="21" t="inlineStr">
        <is>
          <t>Посуточно</t>
        </is>
      </c>
      <c r="C982" s="21" t="inlineStr">
        <is>
          <t>Нижегородская</t>
        </is>
      </c>
      <c r="D982" s="22" t="n">
        <v>0</v>
      </c>
    </row>
    <row r="983">
      <c r="A983" s="21" t="inlineStr">
        <is>
          <t>Снять</t>
        </is>
      </c>
      <c r="B983" s="21" t="inlineStr">
        <is>
          <t>Посуточно</t>
        </is>
      </c>
      <c r="C983" s="21" t="inlineStr">
        <is>
          <t>Новгородская</t>
        </is>
      </c>
      <c r="D983" s="22" t="n">
        <v>184</v>
      </c>
    </row>
    <row r="984">
      <c r="A984" s="21" t="inlineStr">
        <is>
          <t>Снять</t>
        </is>
      </c>
      <c r="B984" s="21" t="inlineStr">
        <is>
          <t>Посуточно</t>
        </is>
      </c>
      <c r="C984" s="21" t="inlineStr">
        <is>
          <t>Новосибирская</t>
        </is>
      </c>
      <c r="D984" s="22" t="n">
        <v>1926</v>
      </c>
    </row>
    <row r="985">
      <c r="A985" s="21" t="inlineStr">
        <is>
          <t>Снять</t>
        </is>
      </c>
      <c r="B985" s="21" t="inlineStr">
        <is>
          <t>Посуточно</t>
        </is>
      </c>
      <c r="C985" s="21" t="inlineStr">
        <is>
          <t>Омская</t>
        </is>
      </c>
      <c r="D985" s="22" t="n">
        <v>552</v>
      </c>
    </row>
    <row r="986">
      <c r="A986" s="21" t="inlineStr">
        <is>
          <t>Снять</t>
        </is>
      </c>
      <c r="B986" s="21" t="inlineStr">
        <is>
          <t>Посуточно</t>
        </is>
      </c>
      <c r="C986" s="21" t="inlineStr">
        <is>
          <t>Оренбургская</t>
        </is>
      </c>
      <c r="D986" s="22" t="n">
        <v>641</v>
      </c>
    </row>
    <row r="987">
      <c r="A987" s="21" t="inlineStr">
        <is>
          <t>Снять</t>
        </is>
      </c>
      <c r="B987" s="21" t="inlineStr">
        <is>
          <t>Посуточно</t>
        </is>
      </c>
      <c r="C987" s="21" t="inlineStr">
        <is>
          <t>Орловская</t>
        </is>
      </c>
      <c r="D987" s="22" t="n">
        <v>192</v>
      </c>
    </row>
    <row r="988">
      <c r="A988" s="21" t="inlineStr">
        <is>
          <t>Снять</t>
        </is>
      </c>
      <c r="B988" s="21" t="inlineStr">
        <is>
          <t>Посуточно</t>
        </is>
      </c>
      <c r="C988" s="21" t="inlineStr">
        <is>
          <t>Пензенская</t>
        </is>
      </c>
      <c r="D988" s="22" t="n">
        <v>456</v>
      </c>
    </row>
    <row r="989">
      <c r="A989" s="21" t="inlineStr">
        <is>
          <t>Снять</t>
        </is>
      </c>
      <c r="B989" s="21" t="inlineStr">
        <is>
          <t>Посуточно</t>
        </is>
      </c>
      <c r="C989" s="21" t="inlineStr">
        <is>
          <t>Пермский</t>
        </is>
      </c>
      <c r="D989" s="22" t="n">
        <v>943</v>
      </c>
    </row>
    <row r="990">
      <c r="A990" s="21" t="inlineStr">
        <is>
          <t>Снять</t>
        </is>
      </c>
      <c r="B990" s="21" t="inlineStr">
        <is>
          <t>Посуточно</t>
        </is>
      </c>
      <c r="C990" s="21" t="inlineStr">
        <is>
          <t>Приморский</t>
        </is>
      </c>
      <c r="D990" s="22" t="n">
        <v>761</v>
      </c>
    </row>
    <row r="991">
      <c r="A991" s="21" t="inlineStr">
        <is>
          <t>Снять</t>
        </is>
      </c>
      <c r="B991" s="21" t="inlineStr">
        <is>
          <t>Посуточно</t>
        </is>
      </c>
      <c r="C991" s="21" t="inlineStr">
        <is>
          <t>Псковская</t>
        </is>
      </c>
      <c r="D991" s="22" t="n">
        <v>200</v>
      </c>
    </row>
    <row r="992">
      <c r="A992" s="21" t="inlineStr">
        <is>
          <t>Снять</t>
        </is>
      </c>
      <c r="B992" s="21" t="inlineStr">
        <is>
          <t>Посуточно</t>
        </is>
      </c>
      <c r="C992" s="21" t="inlineStr">
        <is>
          <t>Ростовская</t>
        </is>
      </c>
      <c r="D992" s="22" t="n">
        <v>1807</v>
      </c>
    </row>
    <row r="993">
      <c r="A993" s="21" t="inlineStr">
        <is>
          <t>Снять</t>
        </is>
      </c>
      <c r="B993" s="21" t="inlineStr">
        <is>
          <t>Посуточно</t>
        </is>
      </c>
      <c r="C993" s="21" t="inlineStr">
        <is>
          <t>Рязанская</t>
        </is>
      </c>
      <c r="D993" s="22" t="n">
        <v>473</v>
      </c>
    </row>
    <row r="994">
      <c r="A994" s="21" t="inlineStr">
        <is>
          <t>Снять</t>
        </is>
      </c>
      <c r="B994" s="21" t="inlineStr">
        <is>
          <t>Посуточно</t>
        </is>
      </c>
      <c r="C994" s="21" t="inlineStr">
        <is>
          <t>Самарская</t>
        </is>
      </c>
      <c r="D994" s="22" t="n">
        <v>1466</v>
      </c>
    </row>
    <row r="995">
      <c r="A995" s="21" t="inlineStr">
        <is>
          <t>Снять</t>
        </is>
      </c>
      <c r="B995" s="21" t="inlineStr">
        <is>
          <t>Посуточно</t>
        </is>
      </c>
      <c r="C995" s="21" t="inlineStr">
        <is>
          <t>Санкт-Петербург</t>
        </is>
      </c>
      <c r="D995" s="22" t="n">
        <v>5190</v>
      </c>
    </row>
    <row r="996">
      <c r="A996" s="21" t="inlineStr">
        <is>
          <t>Снять</t>
        </is>
      </c>
      <c r="B996" s="21" t="inlineStr">
        <is>
          <t>Посуточно</t>
        </is>
      </c>
      <c r="C996" s="21" t="inlineStr">
        <is>
          <t>Саратовская</t>
        </is>
      </c>
      <c r="D996" s="22" t="n">
        <v>804</v>
      </c>
    </row>
    <row r="997">
      <c r="A997" s="21" t="inlineStr">
        <is>
          <t>Снять</t>
        </is>
      </c>
      <c r="B997" s="21" t="inlineStr">
        <is>
          <t>Посуточно</t>
        </is>
      </c>
      <c r="C997" s="21" t="inlineStr">
        <is>
          <t>Саха (Якутия)</t>
        </is>
      </c>
      <c r="D997" s="22" t="n">
        <v>130</v>
      </c>
    </row>
    <row r="998">
      <c r="A998" s="21" t="inlineStr">
        <is>
          <t>Снять</t>
        </is>
      </c>
      <c r="B998" s="21" t="inlineStr">
        <is>
          <t>Посуточно</t>
        </is>
      </c>
      <c r="C998" s="21" t="inlineStr">
        <is>
          <t>Сахалинская</t>
        </is>
      </c>
      <c r="D998" s="22" t="n">
        <v>309</v>
      </c>
    </row>
    <row r="999">
      <c r="A999" s="21" t="inlineStr">
        <is>
          <t>Снять</t>
        </is>
      </c>
      <c r="B999" s="21" t="inlineStr">
        <is>
          <t>Посуточно</t>
        </is>
      </c>
      <c r="C999" s="21" t="inlineStr">
        <is>
          <t>Свердловская</t>
        </is>
      </c>
      <c r="D999" s="22" t="n">
        <v>2267</v>
      </c>
    </row>
    <row r="1000">
      <c r="A1000" s="21" t="inlineStr">
        <is>
          <t>Снять</t>
        </is>
      </c>
      <c r="B1000" s="21" t="inlineStr">
        <is>
          <t>Посуточно</t>
        </is>
      </c>
      <c r="C1000" s="21" t="inlineStr">
        <is>
          <t>Севастополь</t>
        </is>
      </c>
      <c r="D1000" s="22" t="n">
        <v>388</v>
      </c>
    </row>
    <row r="1001">
      <c r="A1001" s="21" t="inlineStr">
        <is>
          <t>Снять</t>
        </is>
      </c>
      <c r="B1001" s="21" t="inlineStr">
        <is>
          <t>Посуточно</t>
        </is>
      </c>
      <c r="C1001" s="21" t="inlineStr">
        <is>
          <t>Северная Осетия - Алания</t>
        </is>
      </c>
      <c r="D1001" s="22" t="n">
        <v>944</v>
      </c>
    </row>
    <row r="1002">
      <c r="A1002" s="21" t="inlineStr">
        <is>
          <t>Снять</t>
        </is>
      </c>
      <c r="B1002" s="21" t="inlineStr">
        <is>
          <t>Посуточно</t>
        </is>
      </c>
      <c r="C1002" s="21" t="inlineStr">
        <is>
          <t>Смоленская</t>
        </is>
      </c>
      <c r="D1002" s="22" t="n">
        <v>563</v>
      </c>
    </row>
    <row r="1003">
      <c r="A1003" s="21" t="inlineStr">
        <is>
          <t>Снять</t>
        </is>
      </c>
      <c r="B1003" s="21" t="inlineStr">
        <is>
          <t>Посуточно</t>
        </is>
      </c>
      <c r="C1003" s="21" t="inlineStr">
        <is>
          <t>Ставропольский</t>
        </is>
      </c>
      <c r="D1003" s="22" t="n">
        <v>2347</v>
      </c>
    </row>
    <row r="1004">
      <c r="A1004" s="21" t="inlineStr">
        <is>
          <t>Снять</t>
        </is>
      </c>
      <c r="B1004" s="21" t="inlineStr">
        <is>
          <t>Посуточно</t>
        </is>
      </c>
      <c r="C1004" s="21" t="inlineStr">
        <is>
          <t>Тамбовская</t>
        </is>
      </c>
      <c r="D1004" s="22" t="n">
        <v>226</v>
      </c>
    </row>
    <row r="1005">
      <c r="A1005" s="21" t="inlineStr">
        <is>
          <t>Снять</t>
        </is>
      </c>
      <c r="B1005" s="21" t="inlineStr">
        <is>
          <t>Посуточно</t>
        </is>
      </c>
      <c r="C1005" s="21" t="inlineStr">
        <is>
          <t>Татарстан</t>
        </is>
      </c>
      <c r="D1005" s="22" t="n">
        <v>1581</v>
      </c>
    </row>
    <row r="1006">
      <c r="A1006" s="21" t="inlineStr">
        <is>
          <t>Снять</t>
        </is>
      </c>
      <c r="B1006" s="21" t="inlineStr">
        <is>
          <t>Посуточно</t>
        </is>
      </c>
      <c r="C1006" s="21" t="inlineStr">
        <is>
          <t>Тверская</t>
        </is>
      </c>
      <c r="D1006" s="22" t="n">
        <v>354</v>
      </c>
    </row>
    <row r="1007">
      <c r="A1007" s="21" t="inlineStr">
        <is>
          <t>Снять</t>
        </is>
      </c>
      <c r="B1007" s="21" t="inlineStr">
        <is>
          <t>Посуточно</t>
        </is>
      </c>
      <c r="C1007" s="21" t="inlineStr">
        <is>
          <t>Томская</t>
        </is>
      </c>
      <c r="D1007" s="22" t="n">
        <v>389</v>
      </c>
    </row>
    <row r="1008">
      <c r="A1008" s="21" t="inlineStr">
        <is>
          <t>Снять</t>
        </is>
      </c>
      <c r="B1008" s="21" t="inlineStr">
        <is>
          <t>Посуточно</t>
        </is>
      </c>
      <c r="C1008" s="21" t="inlineStr">
        <is>
          <t>Тульская</t>
        </is>
      </c>
      <c r="D1008" s="22" t="n">
        <v>515</v>
      </c>
    </row>
    <row r="1009">
      <c r="A1009" s="21" t="inlineStr">
        <is>
          <t>Снять</t>
        </is>
      </c>
      <c r="B1009" s="21" t="inlineStr">
        <is>
          <t>Посуточно</t>
        </is>
      </c>
      <c r="C1009" s="21" t="inlineStr">
        <is>
          <t>Тыва</t>
        </is>
      </c>
      <c r="D1009" s="22" t="n">
        <v>0</v>
      </c>
    </row>
    <row r="1010">
      <c r="A1010" s="21" t="inlineStr">
        <is>
          <t>Снять</t>
        </is>
      </c>
      <c r="B1010" s="21" t="inlineStr">
        <is>
          <t>Посуточно</t>
        </is>
      </c>
      <c r="C1010" s="21" t="inlineStr">
        <is>
          <t>Тюменская</t>
        </is>
      </c>
      <c r="D1010" s="22" t="n">
        <v>1496</v>
      </c>
    </row>
    <row r="1011">
      <c r="A1011" s="21" t="inlineStr">
        <is>
          <t>Снять</t>
        </is>
      </c>
      <c r="B1011" s="21" t="inlineStr">
        <is>
          <t>Посуточно</t>
        </is>
      </c>
      <c r="C1011" s="21" t="inlineStr">
        <is>
          <t>Удмуртская</t>
        </is>
      </c>
      <c r="D1011" s="22" t="n">
        <v>606</v>
      </c>
    </row>
    <row r="1012">
      <c r="A1012" s="21" t="inlineStr">
        <is>
          <t>Снять</t>
        </is>
      </c>
      <c r="B1012" s="21" t="inlineStr">
        <is>
          <t>Посуточно</t>
        </is>
      </c>
      <c r="C1012" s="21" t="inlineStr">
        <is>
          <t>Ульяновская</t>
        </is>
      </c>
      <c r="D1012" s="22" t="n">
        <v>530</v>
      </c>
    </row>
    <row r="1013">
      <c r="A1013" s="21" t="inlineStr">
        <is>
          <t>Снять</t>
        </is>
      </c>
      <c r="B1013" s="21" t="inlineStr">
        <is>
          <t>Посуточно</t>
        </is>
      </c>
      <c r="C1013" s="21" t="inlineStr">
        <is>
          <t>Хабаровский</t>
        </is>
      </c>
      <c r="D1013" s="22" t="n">
        <v>509</v>
      </c>
    </row>
    <row r="1014">
      <c r="A1014" s="21" t="inlineStr">
        <is>
          <t>Снять</t>
        </is>
      </c>
      <c r="B1014" s="21" t="inlineStr">
        <is>
          <t>Посуточно</t>
        </is>
      </c>
      <c r="C1014" s="21" t="inlineStr">
        <is>
          <t>Хакасия</t>
        </is>
      </c>
      <c r="D1014" s="22" t="n">
        <v>298</v>
      </c>
    </row>
    <row r="1015">
      <c r="A1015" s="21" t="inlineStr">
        <is>
          <t>Снять</t>
        </is>
      </c>
      <c r="B1015" s="21" t="inlineStr">
        <is>
          <t>Посуточно</t>
        </is>
      </c>
      <c r="C1015" s="21" t="inlineStr">
        <is>
          <t>Ханты-Мансийский</t>
        </is>
      </c>
      <c r="D1015" s="22" t="n">
        <v>1104</v>
      </c>
    </row>
    <row r="1016">
      <c r="A1016" s="21" t="inlineStr">
        <is>
          <t>Снять</t>
        </is>
      </c>
      <c r="B1016" s="21" t="inlineStr">
        <is>
          <t>Посуточно</t>
        </is>
      </c>
      <c r="C1016" s="21" t="inlineStr">
        <is>
          <t>Челябинская</t>
        </is>
      </c>
      <c r="D1016" s="22" t="n">
        <v>1238</v>
      </c>
    </row>
    <row r="1017">
      <c r="A1017" s="21" t="inlineStr">
        <is>
          <t>Снять</t>
        </is>
      </c>
      <c r="B1017" s="21" t="inlineStr">
        <is>
          <t>Посуточно</t>
        </is>
      </c>
      <c r="C1017" s="21" t="inlineStr">
        <is>
          <t>Чеченская</t>
        </is>
      </c>
      <c r="D1017" s="22" t="n">
        <v>0</v>
      </c>
    </row>
    <row r="1018">
      <c r="A1018" s="21" t="inlineStr">
        <is>
          <t>Снять</t>
        </is>
      </c>
      <c r="B1018" s="21" t="inlineStr">
        <is>
          <t>Посуточно</t>
        </is>
      </c>
      <c r="C1018" s="21" t="inlineStr">
        <is>
          <t>Чувашская</t>
        </is>
      </c>
      <c r="D1018" s="22" t="n">
        <v>455</v>
      </c>
    </row>
    <row r="1019">
      <c r="A1019" s="21" t="inlineStr">
        <is>
          <t>Снять</t>
        </is>
      </c>
      <c r="B1019" s="21" t="inlineStr">
        <is>
          <t>Посуточно</t>
        </is>
      </c>
      <c r="C1019" s="21" t="inlineStr">
        <is>
          <t>Чукотский</t>
        </is>
      </c>
      <c r="D1019" s="22" t="n">
        <v>0</v>
      </c>
    </row>
    <row r="1020">
      <c r="A1020" s="21" t="inlineStr">
        <is>
          <t>Снять</t>
        </is>
      </c>
      <c r="B1020" s="21" t="inlineStr">
        <is>
          <t>Посуточно</t>
        </is>
      </c>
      <c r="C1020" s="21" t="inlineStr">
        <is>
          <t>Ямало-Ненецкий</t>
        </is>
      </c>
      <c r="D1020" s="22" t="n">
        <v>283</v>
      </c>
    </row>
    <row r="1021">
      <c r="A1021" s="21" t="inlineStr">
        <is>
          <t>Снять</t>
        </is>
      </c>
      <c r="B1021" s="21" t="inlineStr">
        <is>
          <t>Посуточно</t>
        </is>
      </c>
      <c r="C1021" s="21" t="inlineStr">
        <is>
          <t>Ярославская</t>
        </is>
      </c>
      <c r="D1021" s="22" t="n">
        <v>620</v>
      </c>
    </row>
    <row r="1022">
      <c r="A1022" s="27" t="inlineStr">
        <is>
          <t>Коммерческая</t>
        </is>
      </c>
      <c r="B1022" s="17" t="inlineStr">
        <is>
          <t>Продажа</t>
        </is>
      </c>
      <c r="C1022" s="28" t="inlineStr">
        <is>
          <t>Адыгея</t>
        </is>
      </c>
      <c r="D1022" s="19" t="n">
        <v>630</v>
      </c>
    </row>
    <row r="1023">
      <c r="A1023" s="21" t="inlineStr">
        <is>
          <t>Коммерческая</t>
        </is>
      </c>
      <c r="B1023" s="21" t="inlineStr">
        <is>
          <t>Продажа</t>
        </is>
      </c>
      <c r="C1023" s="21" t="inlineStr">
        <is>
          <t>Алтай</t>
        </is>
      </c>
      <c r="D1023" s="22" t="n">
        <v>229</v>
      </c>
    </row>
    <row r="1024">
      <c r="A1024" s="21" t="inlineStr">
        <is>
          <t>Коммерческая</t>
        </is>
      </c>
      <c r="B1024" s="21" t="inlineStr">
        <is>
          <t>Продажа</t>
        </is>
      </c>
      <c r="C1024" s="21" t="inlineStr">
        <is>
          <t>Алтайский</t>
        </is>
      </c>
      <c r="D1024" s="22" t="n">
        <v>482</v>
      </c>
    </row>
    <row r="1025">
      <c r="A1025" s="21" t="inlineStr">
        <is>
          <t>Коммерческая</t>
        </is>
      </c>
      <c r="B1025" s="21" t="inlineStr">
        <is>
          <t>Продажа</t>
        </is>
      </c>
      <c r="C1025" s="21" t="inlineStr">
        <is>
          <t>Амурская</t>
        </is>
      </c>
      <c r="D1025" s="22" t="n">
        <v>177</v>
      </c>
    </row>
    <row r="1026">
      <c r="A1026" s="21" t="inlineStr">
        <is>
          <t>Коммерческая</t>
        </is>
      </c>
      <c r="B1026" s="21" t="inlineStr">
        <is>
          <t>Продажа</t>
        </is>
      </c>
      <c r="C1026" s="21" t="inlineStr">
        <is>
          <t>Архангельская</t>
        </is>
      </c>
      <c r="D1026" s="22" t="n">
        <v>414</v>
      </c>
    </row>
    <row r="1027">
      <c r="A1027" s="21" t="inlineStr">
        <is>
          <t>Коммерческая</t>
        </is>
      </c>
      <c r="B1027" s="21" t="inlineStr">
        <is>
          <t>Продажа</t>
        </is>
      </c>
      <c r="C1027" s="21" t="inlineStr">
        <is>
          <t>Астраханская</t>
        </is>
      </c>
      <c r="D1027" s="22" t="n">
        <v>287</v>
      </c>
    </row>
    <row r="1028">
      <c r="A1028" s="21" t="inlineStr">
        <is>
          <t>Коммерческая</t>
        </is>
      </c>
      <c r="B1028" s="21" t="inlineStr">
        <is>
          <t>Продажа</t>
        </is>
      </c>
      <c r="C1028" s="21" t="inlineStr">
        <is>
          <t>Башкортостан</t>
        </is>
      </c>
      <c r="D1028" s="22" t="n">
        <v>2331</v>
      </c>
    </row>
    <row r="1029">
      <c r="A1029" s="21" t="inlineStr">
        <is>
          <t>Коммерческая</t>
        </is>
      </c>
      <c r="B1029" s="21" t="inlineStr">
        <is>
          <t>Продажа</t>
        </is>
      </c>
      <c r="C1029" s="21" t="inlineStr">
        <is>
          <t>Белгородская</t>
        </is>
      </c>
      <c r="D1029" s="22" t="n">
        <v>617</v>
      </c>
    </row>
    <row r="1030">
      <c r="A1030" s="21" t="inlineStr">
        <is>
          <t>Коммерческая</t>
        </is>
      </c>
      <c r="B1030" s="21" t="inlineStr">
        <is>
          <t>Продажа</t>
        </is>
      </c>
      <c r="C1030" s="21" t="inlineStr">
        <is>
          <t>Брянская</t>
        </is>
      </c>
      <c r="D1030" s="22" t="n">
        <v>349</v>
      </c>
    </row>
    <row r="1031">
      <c r="A1031" s="21" t="inlineStr">
        <is>
          <t>Коммерческая</t>
        </is>
      </c>
      <c r="B1031" s="21" t="inlineStr">
        <is>
          <t>Продажа</t>
        </is>
      </c>
      <c r="C1031" s="21" t="inlineStr">
        <is>
          <t>Бурятия</t>
        </is>
      </c>
      <c r="D1031" s="22" t="n">
        <v>315</v>
      </c>
    </row>
    <row r="1032">
      <c r="A1032" s="21" t="inlineStr">
        <is>
          <t>Коммерческая</t>
        </is>
      </c>
      <c r="B1032" s="21" t="inlineStr">
        <is>
          <t>Продажа</t>
        </is>
      </c>
      <c r="C1032" s="21" t="inlineStr">
        <is>
          <t>Владимирская</t>
        </is>
      </c>
      <c r="D1032" s="22" t="n">
        <v>915</v>
      </c>
    </row>
    <row r="1033">
      <c r="A1033" s="21" t="inlineStr">
        <is>
          <t>Коммерческая</t>
        </is>
      </c>
      <c r="B1033" s="21" t="inlineStr">
        <is>
          <t>Продажа</t>
        </is>
      </c>
      <c r="C1033" s="21" t="inlineStr">
        <is>
          <t>Волгоградская</t>
        </is>
      </c>
      <c r="D1033" s="22" t="n">
        <v>569</v>
      </c>
    </row>
    <row r="1034">
      <c r="A1034" s="21" t="inlineStr">
        <is>
          <t>Коммерческая</t>
        </is>
      </c>
      <c r="B1034" s="21" t="inlineStr">
        <is>
          <t>Продажа</t>
        </is>
      </c>
      <c r="C1034" s="21" t="inlineStr">
        <is>
          <t>Вологодская</t>
        </is>
      </c>
      <c r="D1034" s="22" t="n">
        <v>220</v>
      </c>
    </row>
    <row r="1035">
      <c r="A1035" s="21" t="inlineStr">
        <is>
          <t>Коммерческая</t>
        </is>
      </c>
      <c r="B1035" s="21" t="inlineStr">
        <is>
          <t>Продажа</t>
        </is>
      </c>
      <c r="C1035" s="21" t="inlineStr">
        <is>
          <t>Воронежская</t>
        </is>
      </c>
      <c r="D1035" s="22" t="n">
        <v>667</v>
      </c>
    </row>
    <row r="1036">
      <c r="A1036" s="21" t="inlineStr">
        <is>
          <t>Коммерческая</t>
        </is>
      </c>
      <c r="B1036" s="21" t="inlineStr">
        <is>
          <t>Продажа</t>
        </is>
      </c>
      <c r="C1036" s="21" t="inlineStr">
        <is>
          <t>Дагестан</t>
        </is>
      </c>
      <c r="D1036" s="22" t="n">
        <v>156</v>
      </c>
    </row>
    <row r="1037">
      <c r="A1037" s="21" t="inlineStr">
        <is>
          <t>Коммерческая</t>
        </is>
      </c>
      <c r="B1037" s="21" t="inlineStr">
        <is>
          <t>Продажа</t>
        </is>
      </c>
      <c r="C1037" s="21" t="inlineStr">
        <is>
          <t>Еврейская</t>
        </is>
      </c>
      <c r="D1037" s="22" t="n">
        <v>30</v>
      </c>
    </row>
    <row r="1038">
      <c r="A1038" s="21" t="inlineStr">
        <is>
          <t>Коммерческая</t>
        </is>
      </c>
      <c r="B1038" s="21" t="inlineStr">
        <is>
          <t>Продажа</t>
        </is>
      </c>
      <c r="C1038" s="21" t="inlineStr">
        <is>
          <t>Забайкальский</t>
        </is>
      </c>
      <c r="D1038" s="22" t="n">
        <v>222</v>
      </c>
    </row>
    <row r="1039">
      <c r="A1039" s="21" t="inlineStr">
        <is>
          <t>Коммерческая</t>
        </is>
      </c>
      <c r="B1039" s="21" t="inlineStr">
        <is>
          <t>Продажа</t>
        </is>
      </c>
      <c r="C1039" s="21" t="inlineStr">
        <is>
          <t>Ивановская</t>
        </is>
      </c>
      <c r="D1039" s="22" t="n">
        <v>227</v>
      </c>
    </row>
    <row r="1040">
      <c r="A1040" s="21" t="inlineStr">
        <is>
          <t>Коммерческая</t>
        </is>
      </c>
      <c r="B1040" s="21" t="inlineStr">
        <is>
          <t>Продажа</t>
        </is>
      </c>
      <c r="C1040" s="21" t="inlineStr">
        <is>
          <t>Ингушетия</t>
        </is>
      </c>
      <c r="D1040" s="22" t="n">
        <v>43</v>
      </c>
    </row>
    <row r="1041">
      <c r="A1041" s="21" t="inlineStr">
        <is>
          <t>Коммерческая</t>
        </is>
      </c>
      <c r="B1041" s="21" t="inlineStr">
        <is>
          <t>Продажа</t>
        </is>
      </c>
      <c r="C1041" s="21" t="inlineStr">
        <is>
          <t>Иркутская</t>
        </is>
      </c>
      <c r="D1041" s="22" t="n">
        <v>700</v>
      </c>
    </row>
    <row r="1042">
      <c r="A1042" s="21" t="inlineStr">
        <is>
          <t>Коммерческая</t>
        </is>
      </c>
      <c r="B1042" s="21" t="inlineStr">
        <is>
          <t>Продажа</t>
        </is>
      </c>
      <c r="C1042" s="21" t="inlineStr">
        <is>
          <t>Кабардино-Балкарская</t>
        </is>
      </c>
      <c r="D1042" s="22" t="n">
        <v>237</v>
      </c>
    </row>
    <row r="1043">
      <c r="A1043" s="21" t="inlineStr">
        <is>
          <t>Коммерческая</t>
        </is>
      </c>
      <c r="B1043" s="21" t="inlineStr">
        <is>
          <t>Продажа</t>
        </is>
      </c>
      <c r="C1043" s="21" t="inlineStr">
        <is>
          <t>Калининградская</t>
        </is>
      </c>
      <c r="D1043" s="22" t="n">
        <v>1352</v>
      </c>
    </row>
    <row r="1044">
      <c r="A1044" s="21" t="inlineStr">
        <is>
          <t>Коммерческая</t>
        </is>
      </c>
      <c r="B1044" s="21" t="inlineStr">
        <is>
          <t>Продажа</t>
        </is>
      </c>
      <c r="C1044" s="21" t="inlineStr">
        <is>
          <t>Калмыкия</t>
        </is>
      </c>
      <c r="D1044" s="22" t="n">
        <v>34</v>
      </c>
    </row>
    <row r="1045">
      <c r="A1045" s="21" t="inlineStr">
        <is>
          <t>Коммерческая</t>
        </is>
      </c>
      <c r="B1045" s="21" t="inlineStr">
        <is>
          <t>Продажа</t>
        </is>
      </c>
      <c r="C1045" s="21" t="inlineStr">
        <is>
          <t>Калужская</t>
        </is>
      </c>
      <c r="D1045" s="22" t="n">
        <v>566</v>
      </c>
    </row>
    <row r="1046">
      <c r="A1046" s="21" t="inlineStr">
        <is>
          <t>Коммерческая</t>
        </is>
      </c>
      <c r="B1046" s="21" t="inlineStr">
        <is>
          <t>Продажа</t>
        </is>
      </c>
      <c r="C1046" s="21" t="inlineStr">
        <is>
          <t>Камчатский</t>
        </is>
      </c>
      <c r="D1046" s="22" t="n">
        <v>111</v>
      </c>
    </row>
    <row r="1047">
      <c r="A1047" s="21" t="inlineStr">
        <is>
          <t>Коммерческая</t>
        </is>
      </c>
      <c r="B1047" s="21" t="inlineStr">
        <is>
          <t>Продажа</t>
        </is>
      </c>
      <c r="C1047" s="21" t="inlineStr">
        <is>
          <t>Карачаево-Черкесская</t>
        </is>
      </c>
      <c r="D1047" s="22" t="n">
        <v>68</v>
      </c>
    </row>
    <row r="1048">
      <c r="A1048" s="21" t="inlineStr">
        <is>
          <t>Коммерческая</t>
        </is>
      </c>
      <c r="B1048" s="21" t="inlineStr">
        <is>
          <t>Продажа</t>
        </is>
      </c>
      <c r="C1048" s="21" t="inlineStr">
        <is>
          <t>Карелия</t>
        </is>
      </c>
      <c r="D1048" s="22" t="n">
        <v>196</v>
      </c>
    </row>
    <row r="1049">
      <c r="A1049" s="21" t="inlineStr">
        <is>
          <t>Коммерческая</t>
        </is>
      </c>
      <c r="B1049" s="21" t="inlineStr">
        <is>
          <t>Продажа</t>
        </is>
      </c>
      <c r="C1049" s="21" t="inlineStr">
        <is>
          <t>Кемеровская</t>
        </is>
      </c>
      <c r="D1049" s="22" t="n">
        <v>598</v>
      </c>
    </row>
    <row r="1050">
      <c r="A1050" s="21" t="inlineStr">
        <is>
          <t>Коммерческая</t>
        </is>
      </c>
      <c r="B1050" s="21" t="inlineStr">
        <is>
          <t>Продажа</t>
        </is>
      </c>
      <c r="C1050" s="21" t="inlineStr">
        <is>
          <t>Кировская</t>
        </is>
      </c>
      <c r="D1050" s="22" t="n">
        <v>220</v>
      </c>
    </row>
    <row r="1051">
      <c r="A1051" s="21" t="inlineStr">
        <is>
          <t>Коммерческая</t>
        </is>
      </c>
      <c r="B1051" s="21" t="inlineStr">
        <is>
          <t>Продажа</t>
        </is>
      </c>
      <c r="C1051" s="21" t="inlineStr">
        <is>
          <t>Коми</t>
        </is>
      </c>
      <c r="D1051" s="22" t="n">
        <v>358</v>
      </c>
    </row>
    <row r="1052">
      <c r="A1052" s="21" t="inlineStr">
        <is>
          <t>Коммерческая</t>
        </is>
      </c>
      <c r="B1052" s="21" t="inlineStr">
        <is>
          <t>Продажа</t>
        </is>
      </c>
      <c r="C1052" s="21" t="inlineStr">
        <is>
          <t>Костромская</t>
        </is>
      </c>
      <c r="D1052" s="22" t="n">
        <v>230</v>
      </c>
    </row>
    <row r="1053">
      <c r="A1053" s="21" t="inlineStr">
        <is>
          <t>Коммерческая</t>
        </is>
      </c>
      <c r="B1053" s="21" t="inlineStr">
        <is>
          <t>Продажа</t>
        </is>
      </c>
      <c r="C1053" s="21" t="inlineStr">
        <is>
          <t>Краснодарский</t>
        </is>
      </c>
      <c r="D1053" s="22" t="n">
        <v>7196</v>
      </c>
    </row>
    <row r="1054">
      <c r="A1054" s="21" t="inlineStr">
        <is>
          <t>Коммерческая</t>
        </is>
      </c>
      <c r="B1054" s="21" t="inlineStr">
        <is>
          <t>Продажа</t>
        </is>
      </c>
      <c r="C1054" s="21" t="inlineStr">
        <is>
          <t>Красноярский</t>
        </is>
      </c>
      <c r="D1054" s="22" t="n">
        <v>1012</v>
      </c>
    </row>
    <row r="1055">
      <c r="A1055" s="21" t="inlineStr">
        <is>
          <t>Коммерческая</t>
        </is>
      </c>
      <c r="B1055" s="21" t="inlineStr">
        <is>
          <t>Продажа</t>
        </is>
      </c>
      <c r="C1055" s="21" t="inlineStr">
        <is>
          <t>Крым</t>
        </is>
      </c>
      <c r="D1055" s="22" t="n">
        <v>1847</v>
      </c>
    </row>
    <row r="1056">
      <c r="A1056" s="21" t="inlineStr">
        <is>
          <t>Коммерческая</t>
        </is>
      </c>
      <c r="B1056" s="21" t="inlineStr">
        <is>
          <t>Продажа</t>
        </is>
      </c>
      <c r="C1056" s="21" t="inlineStr">
        <is>
          <t>Курганская</t>
        </is>
      </c>
      <c r="D1056" s="22" t="n">
        <v>348</v>
      </c>
    </row>
    <row r="1057">
      <c r="A1057" s="21" t="inlineStr">
        <is>
          <t>Коммерческая</t>
        </is>
      </c>
      <c r="B1057" s="21" t="inlineStr">
        <is>
          <t>Продажа</t>
        </is>
      </c>
      <c r="C1057" s="21" t="inlineStr">
        <is>
          <t>Курская</t>
        </is>
      </c>
      <c r="D1057" s="22" t="n">
        <v>103</v>
      </c>
    </row>
    <row r="1058">
      <c r="A1058" s="21" t="inlineStr">
        <is>
          <t>Коммерческая</t>
        </is>
      </c>
      <c r="B1058" s="21" t="inlineStr">
        <is>
          <t>Продажа</t>
        </is>
      </c>
      <c r="C1058" s="21" t="inlineStr">
        <is>
          <t>Ленинградская</t>
        </is>
      </c>
      <c r="D1058" s="22" t="n">
        <v>2258</v>
      </c>
    </row>
    <row r="1059">
      <c r="A1059" s="21" t="inlineStr">
        <is>
          <t>Коммерческая</t>
        </is>
      </c>
      <c r="B1059" s="21" t="inlineStr">
        <is>
          <t>Продажа</t>
        </is>
      </c>
      <c r="C1059" s="21" t="inlineStr">
        <is>
          <t>Липецкая</t>
        </is>
      </c>
      <c r="D1059" s="22" t="n">
        <v>314</v>
      </c>
    </row>
    <row r="1060">
      <c r="A1060" s="21" t="inlineStr">
        <is>
          <t>Коммерческая</t>
        </is>
      </c>
      <c r="B1060" s="21" t="inlineStr">
        <is>
          <t>Продажа</t>
        </is>
      </c>
      <c r="C1060" s="21" t="inlineStr">
        <is>
          <t>Магаданская</t>
        </is>
      </c>
      <c r="D1060" s="22" t="n">
        <v>19</v>
      </c>
    </row>
    <row r="1061">
      <c r="A1061" s="21" t="inlineStr">
        <is>
          <t>Коммерческая</t>
        </is>
      </c>
      <c r="B1061" s="21" t="inlineStr">
        <is>
          <t>Продажа</t>
        </is>
      </c>
      <c r="C1061" s="21" t="inlineStr">
        <is>
          <t>Марий Эл</t>
        </is>
      </c>
      <c r="D1061" s="22" t="n">
        <v>220</v>
      </c>
    </row>
    <row r="1062">
      <c r="A1062" s="21" t="inlineStr">
        <is>
          <t>Коммерческая</t>
        </is>
      </c>
      <c r="B1062" s="21" t="inlineStr">
        <is>
          <t>Продажа</t>
        </is>
      </c>
      <c r="C1062" s="21" t="inlineStr">
        <is>
          <t>Мордовия</t>
        </is>
      </c>
      <c r="D1062" s="22" t="n">
        <v>144</v>
      </c>
    </row>
    <row r="1063">
      <c r="A1063" s="21" t="inlineStr">
        <is>
          <t>Коммерческая</t>
        </is>
      </c>
      <c r="B1063" s="21" t="inlineStr">
        <is>
          <t>Продажа</t>
        </is>
      </c>
      <c r="C1063" s="21" t="inlineStr">
        <is>
          <t>Москва</t>
        </is>
      </c>
      <c r="D1063" s="22" t="n">
        <v>28359</v>
      </c>
    </row>
    <row r="1064">
      <c r="A1064" s="21" t="inlineStr">
        <is>
          <t>Коммерческая</t>
        </is>
      </c>
      <c r="B1064" s="21" t="inlineStr">
        <is>
          <t>Продажа</t>
        </is>
      </c>
      <c r="C1064" s="21" t="inlineStr">
        <is>
          <t>Московская</t>
        </is>
      </c>
      <c r="D1064" s="22" t="n">
        <v>8211</v>
      </c>
    </row>
    <row r="1065">
      <c r="A1065" s="21" t="inlineStr">
        <is>
          <t>Коммерческая</t>
        </is>
      </c>
      <c r="B1065" s="21" t="inlineStr">
        <is>
          <t>Продажа</t>
        </is>
      </c>
      <c r="C1065" s="21" t="inlineStr">
        <is>
          <t>Мурманская</t>
        </is>
      </c>
      <c r="D1065" s="22" t="n">
        <v>75</v>
      </c>
    </row>
    <row r="1066">
      <c r="A1066" s="21" t="inlineStr">
        <is>
          <t>Коммерческая</t>
        </is>
      </c>
      <c r="B1066" s="21" t="inlineStr">
        <is>
          <t>Продажа</t>
        </is>
      </c>
      <c r="C1066" s="21" t="inlineStr">
        <is>
          <t>Ненецкий</t>
        </is>
      </c>
      <c r="D1066" s="22" t="n">
        <v>0</v>
      </c>
    </row>
    <row r="1067">
      <c r="A1067" s="21" t="inlineStr">
        <is>
          <t>Коммерческая</t>
        </is>
      </c>
      <c r="B1067" s="21" t="inlineStr">
        <is>
          <t>Продажа</t>
        </is>
      </c>
      <c r="C1067" s="21" t="inlineStr">
        <is>
          <t>Нижегородская</t>
        </is>
      </c>
      <c r="D1067" s="22" t="n">
        <v>0</v>
      </c>
    </row>
    <row r="1068">
      <c r="A1068" s="21" t="inlineStr">
        <is>
          <t>Коммерческая</t>
        </is>
      </c>
      <c r="B1068" s="21" t="inlineStr">
        <is>
          <t>Продажа</t>
        </is>
      </c>
      <c r="C1068" s="21" t="inlineStr">
        <is>
          <t>Новгородская</t>
        </is>
      </c>
      <c r="D1068" s="22" t="n">
        <v>181</v>
      </c>
    </row>
    <row r="1069">
      <c r="A1069" s="21" t="inlineStr">
        <is>
          <t>Коммерческая</t>
        </is>
      </c>
      <c r="B1069" s="21" t="inlineStr">
        <is>
          <t>Продажа</t>
        </is>
      </c>
      <c r="C1069" s="21" t="inlineStr">
        <is>
          <t>Новосибирская</t>
        </is>
      </c>
      <c r="D1069" s="22" t="n">
        <v>2189</v>
      </c>
    </row>
    <row r="1070">
      <c r="A1070" s="21" t="inlineStr">
        <is>
          <t>Коммерческая</t>
        </is>
      </c>
      <c r="B1070" s="21" t="inlineStr">
        <is>
          <t>Продажа</t>
        </is>
      </c>
      <c r="C1070" s="21" t="inlineStr">
        <is>
          <t>Омская</t>
        </is>
      </c>
      <c r="D1070" s="22" t="n">
        <v>819</v>
      </c>
    </row>
    <row r="1071">
      <c r="A1071" s="21" t="inlineStr">
        <is>
          <t>Коммерческая</t>
        </is>
      </c>
      <c r="B1071" s="21" t="inlineStr">
        <is>
          <t>Продажа</t>
        </is>
      </c>
      <c r="C1071" s="21" t="inlineStr">
        <is>
          <t>Оренбургская</t>
        </is>
      </c>
      <c r="D1071" s="22" t="n">
        <v>383</v>
      </c>
    </row>
    <row r="1072">
      <c r="A1072" s="21" t="inlineStr">
        <is>
          <t>Коммерческая</t>
        </is>
      </c>
      <c r="B1072" s="21" t="inlineStr">
        <is>
          <t>Продажа</t>
        </is>
      </c>
      <c r="C1072" s="21" t="inlineStr">
        <is>
          <t>Орловская</t>
        </is>
      </c>
      <c r="D1072" s="22" t="n">
        <v>250</v>
      </c>
    </row>
    <row r="1073">
      <c r="A1073" s="21" t="inlineStr">
        <is>
          <t>Коммерческая</t>
        </is>
      </c>
      <c r="B1073" s="21" t="inlineStr">
        <is>
          <t>Продажа</t>
        </is>
      </c>
      <c r="C1073" s="21" t="inlineStr">
        <is>
          <t>Пензенская</t>
        </is>
      </c>
      <c r="D1073" s="22" t="n">
        <v>427</v>
      </c>
    </row>
    <row r="1074">
      <c r="A1074" s="21" t="inlineStr">
        <is>
          <t>Коммерческая</t>
        </is>
      </c>
      <c r="B1074" s="21" t="inlineStr">
        <is>
          <t>Продажа</t>
        </is>
      </c>
      <c r="C1074" s="21" t="inlineStr">
        <is>
          <t>Пермский</t>
        </is>
      </c>
      <c r="D1074" s="22" t="n">
        <v>577</v>
      </c>
    </row>
    <row r="1075">
      <c r="A1075" s="21" t="inlineStr">
        <is>
          <t>Коммерческая</t>
        </is>
      </c>
      <c r="B1075" s="21" t="inlineStr">
        <is>
          <t>Продажа</t>
        </is>
      </c>
      <c r="C1075" s="21" t="inlineStr">
        <is>
          <t>Приморский</t>
        </is>
      </c>
      <c r="D1075" s="22" t="n">
        <v>170</v>
      </c>
    </row>
    <row r="1076">
      <c r="A1076" s="21" t="inlineStr">
        <is>
          <t>Коммерческая</t>
        </is>
      </c>
      <c r="B1076" s="21" t="inlineStr">
        <is>
          <t>Продажа</t>
        </is>
      </c>
      <c r="C1076" s="21" t="inlineStr">
        <is>
          <t>Псковская</t>
        </is>
      </c>
      <c r="D1076" s="22" t="n">
        <v>94</v>
      </c>
    </row>
    <row r="1077">
      <c r="A1077" s="21" t="inlineStr">
        <is>
          <t>Коммерческая</t>
        </is>
      </c>
      <c r="B1077" s="21" t="inlineStr">
        <is>
          <t>Продажа</t>
        </is>
      </c>
      <c r="C1077" s="21" t="inlineStr">
        <is>
          <t>Ростовская</t>
        </is>
      </c>
      <c r="D1077" s="22" t="n">
        <v>2707</v>
      </c>
    </row>
    <row r="1078">
      <c r="A1078" s="21" t="inlineStr">
        <is>
          <t>Коммерческая</t>
        </is>
      </c>
      <c r="B1078" s="21" t="inlineStr">
        <is>
          <t>Продажа</t>
        </is>
      </c>
      <c r="C1078" s="21" t="inlineStr">
        <is>
          <t>Рязанская</t>
        </is>
      </c>
      <c r="D1078" s="22" t="n">
        <v>438</v>
      </c>
    </row>
    <row r="1079">
      <c r="A1079" s="21" t="inlineStr">
        <is>
          <t>Коммерческая</t>
        </is>
      </c>
      <c r="B1079" s="21" t="inlineStr">
        <is>
          <t>Продажа</t>
        </is>
      </c>
      <c r="C1079" s="21" t="inlineStr">
        <is>
          <t>Самарская</t>
        </is>
      </c>
      <c r="D1079" s="22" t="n">
        <v>1585</v>
      </c>
    </row>
    <row r="1080">
      <c r="A1080" s="21" t="inlineStr">
        <is>
          <t>Коммерческая</t>
        </is>
      </c>
      <c r="B1080" s="21" t="inlineStr">
        <is>
          <t>Продажа</t>
        </is>
      </c>
      <c r="C1080" s="21" t="inlineStr">
        <is>
          <t>Санкт-Петербург</t>
        </is>
      </c>
      <c r="D1080" s="22" t="n">
        <v>6270</v>
      </c>
    </row>
    <row r="1081">
      <c r="A1081" s="21" t="inlineStr">
        <is>
          <t>Коммерческая</t>
        </is>
      </c>
      <c r="B1081" s="21" t="inlineStr">
        <is>
          <t>Продажа</t>
        </is>
      </c>
      <c r="C1081" s="21" t="inlineStr">
        <is>
          <t>Саратовская</t>
        </is>
      </c>
      <c r="D1081" s="22" t="n">
        <v>1078</v>
      </c>
    </row>
    <row r="1082">
      <c r="A1082" s="21" t="inlineStr">
        <is>
          <t>Коммерческая</t>
        </is>
      </c>
      <c r="B1082" s="21" t="inlineStr">
        <is>
          <t>Продажа</t>
        </is>
      </c>
      <c r="C1082" s="21" t="inlineStr">
        <is>
          <t>Саха (Якутия)</t>
        </is>
      </c>
      <c r="D1082" s="22" t="n">
        <v>194</v>
      </c>
    </row>
    <row r="1083">
      <c r="A1083" s="21" t="inlineStr">
        <is>
          <t>Коммерческая</t>
        </is>
      </c>
      <c r="B1083" s="21" t="inlineStr">
        <is>
          <t>Продажа</t>
        </is>
      </c>
      <c r="C1083" s="21" t="inlineStr">
        <is>
          <t>Сахалинская</t>
        </is>
      </c>
      <c r="D1083" s="22" t="n">
        <v>182</v>
      </c>
    </row>
    <row r="1084">
      <c r="A1084" s="21" t="inlineStr">
        <is>
          <t>Коммерческая</t>
        </is>
      </c>
      <c r="B1084" s="21" t="inlineStr">
        <is>
          <t>Продажа</t>
        </is>
      </c>
      <c r="C1084" s="21" t="inlineStr">
        <is>
          <t>Свердловская</t>
        </is>
      </c>
      <c r="D1084" s="22" t="n">
        <v>2451</v>
      </c>
    </row>
    <row r="1085">
      <c r="A1085" s="21" t="inlineStr">
        <is>
          <t>Коммерческая</t>
        </is>
      </c>
      <c r="B1085" s="21" t="inlineStr">
        <is>
          <t>Продажа</t>
        </is>
      </c>
      <c r="C1085" s="21" t="inlineStr">
        <is>
          <t>Севастополь</t>
        </is>
      </c>
      <c r="D1085" s="22" t="n">
        <v>635</v>
      </c>
    </row>
    <row r="1086">
      <c r="A1086" s="21" t="inlineStr">
        <is>
          <t>Коммерческая</t>
        </is>
      </c>
      <c r="B1086" s="21" t="inlineStr">
        <is>
          <t>Продажа</t>
        </is>
      </c>
      <c r="C1086" s="21" t="inlineStr">
        <is>
          <t>Северная Осетия - Алания</t>
        </is>
      </c>
      <c r="D1086" s="22" t="n">
        <v>280</v>
      </c>
    </row>
    <row r="1087">
      <c r="A1087" s="21" t="inlineStr">
        <is>
          <t>Коммерческая</t>
        </is>
      </c>
      <c r="B1087" s="21" t="inlineStr">
        <is>
          <t>Продажа</t>
        </is>
      </c>
      <c r="C1087" s="21" t="inlineStr">
        <is>
          <t>Смоленская</t>
        </is>
      </c>
      <c r="D1087" s="22" t="n">
        <v>186</v>
      </c>
    </row>
    <row r="1088">
      <c r="A1088" s="21" t="inlineStr">
        <is>
          <t>Коммерческая</t>
        </is>
      </c>
      <c r="B1088" s="21" t="inlineStr">
        <is>
          <t>Продажа</t>
        </is>
      </c>
      <c r="C1088" s="21" t="inlineStr">
        <is>
          <t>Ставропольский</t>
        </is>
      </c>
      <c r="D1088" s="22" t="n">
        <v>1205</v>
      </c>
    </row>
    <row r="1089">
      <c r="A1089" s="21" t="inlineStr">
        <is>
          <t>Коммерческая</t>
        </is>
      </c>
      <c r="B1089" s="21" t="inlineStr">
        <is>
          <t>Продажа</t>
        </is>
      </c>
      <c r="C1089" s="21" t="inlineStr">
        <is>
          <t>Тамбовская</t>
        </is>
      </c>
      <c r="D1089" s="22" t="n">
        <v>328</v>
      </c>
    </row>
    <row r="1090">
      <c r="A1090" s="21" t="inlineStr">
        <is>
          <t>Коммерческая</t>
        </is>
      </c>
      <c r="B1090" s="21" t="inlineStr">
        <is>
          <t>Продажа</t>
        </is>
      </c>
      <c r="C1090" s="21" t="inlineStr">
        <is>
          <t>Татарстан</t>
        </is>
      </c>
      <c r="D1090" s="22" t="n">
        <v>1898</v>
      </c>
    </row>
    <row r="1091">
      <c r="A1091" s="21" t="inlineStr">
        <is>
          <t>Коммерческая</t>
        </is>
      </c>
      <c r="B1091" s="21" t="inlineStr">
        <is>
          <t>Продажа</t>
        </is>
      </c>
      <c r="C1091" s="21" t="inlineStr">
        <is>
          <t>Тверская</t>
        </is>
      </c>
      <c r="D1091" s="22" t="n">
        <v>558</v>
      </c>
    </row>
    <row r="1092">
      <c r="A1092" s="21" t="inlineStr">
        <is>
          <t>Коммерческая</t>
        </is>
      </c>
      <c r="B1092" s="21" t="inlineStr">
        <is>
          <t>Продажа</t>
        </is>
      </c>
      <c r="C1092" s="21" t="inlineStr">
        <is>
          <t>Томская</t>
        </is>
      </c>
      <c r="D1092" s="22" t="n">
        <v>297</v>
      </c>
    </row>
    <row r="1093">
      <c r="A1093" s="21" t="inlineStr">
        <is>
          <t>Коммерческая</t>
        </is>
      </c>
      <c r="B1093" s="21" t="inlineStr">
        <is>
          <t>Продажа</t>
        </is>
      </c>
      <c r="C1093" s="21" t="inlineStr">
        <is>
          <t>Тульская</t>
        </is>
      </c>
      <c r="D1093" s="22" t="n">
        <v>519</v>
      </c>
    </row>
    <row r="1094">
      <c r="A1094" s="21" t="inlineStr">
        <is>
          <t>Коммерческая</t>
        </is>
      </c>
      <c r="B1094" s="21" t="inlineStr">
        <is>
          <t>Продажа</t>
        </is>
      </c>
      <c r="C1094" s="21" t="inlineStr">
        <is>
          <t>Тыва</t>
        </is>
      </c>
      <c r="D1094" s="22" t="n">
        <v>33</v>
      </c>
    </row>
    <row r="1095">
      <c r="A1095" s="21" t="inlineStr">
        <is>
          <t>Коммерческая</t>
        </is>
      </c>
      <c r="B1095" s="21" t="inlineStr">
        <is>
          <t>Продажа</t>
        </is>
      </c>
      <c r="C1095" s="21" t="inlineStr">
        <is>
          <t>Тюменская</t>
        </is>
      </c>
      <c r="D1095" s="22" t="n">
        <v>4677</v>
      </c>
    </row>
    <row r="1096">
      <c r="A1096" s="21" t="inlineStr">
        <is>
          <t>Коммерческая</t>
        </is>
      </c>
      <c r="B1096" s="21" t="inlineStr">
        <is>
          <t>Продажа</t>
        </is>
      </c>
      <c r="C1096" s="21" t="inlineStr">
        <is>
          <t>Удмуртская</t>
        </is>
      </c>
      <c r="D1096" s="22" t="n">
        <v>429</v>
      </c>
    </row>
    <row r="1097">
      <c r="A1097" s="21" t="inlineStr">
        <is>
          <t>Коммерческая</t>
        </is>
      </c>
      <c r="B1097" s="21" t="inlineStr">
        <is>
          <t>Продажа</t>
        </is>
      </c>
      <c r="C1097" s="21" t="inlineStr">
        <is>
          <t>Ульяновская</t>
        </is>
      </c>
      <c r="D1097" s="22" t="n">
        <v>694</v>
      </c>
    </row>
    <row r="1098">
      <c r="A1098" s="21" t="inlineStr">
        <is>
          <t>Коммерческая</t>
        </is>
      </c>
      <c r="B1098" s="21" t="inlineStr">
        <is>
          <t>Продажа</t>
        </is>
      </c>
      <c r="C1098" s="21" t="inlineStr">
        <is>
          <t>Хабаровский</t>
        </is>
      </c>
      <c r="D1098" s="22" t="n">
        <v>438</v>
      </c>
    </row>
    <row r="1099">
      <c r="A1099" s="21" t="inlineStr">
        <is>
          <t>Коммерческая</t>
        </is>
      </c>
      <c r="B1099" s="21" t="inlineStr">
        <is>
          <t>Продажа</t>
        </is>
      </c>
      <c r="C1099" s="21" t="inlineStr">
        <is>
          <t>Хакасия</t>
        </is>
      </c>
      <c r="D1099" s="22" t="n">
        <v>198</v>
      </c>
    </row>
    <row r="1100">
      <c r="A1100" s="21" t="inlineStr">
        <is>
          <t>Коммерческая</t>
        </is>
      </c>
      <c r="B1100" s="21" t="inlineStr">
        <is>
          <t>Продажа</t>
        </is>
      </c>
      <c r="C1100" s="21" t="inlineStr">
        <is>
          <t>Ханты-Мансийский</t>
        </is>
      </c>
      <c r="D1100" s="22" t="n">
        <v>446</v>
      </c>
    </row>
    <row r="1101">
      <c r="A1101" s="21" t="inlineStr">
        <is>
          <t>Коммерческая</t>
        </is>
      </c>
      <c r="B1101" s="21" t="inlineStr">
        <is>
          <t>Продажа</t>
        </is>
      </c>
      <c r="C1101" s="21" t="inlineStr">
        <is>
          <t>Челябинская</t>
        </is>
      </c>
      <c r="D1101" s="22" t="n">
        <v>1433</v>
      </c>
    </row>
    <row r="1102">
      <c r="A1102" s="21" t="inlineStr">
        <is>
          <t>Коммерческая</t>
        </is>
      </c>
      <c r="B1102" s="21" t="inlineStr">
        <is>
          <t>Продажа</t>
        </is>
      </c>
      <c r="C1102" s="21" t="inlineStr">
        <is>
          <t>Чеченская</t>
        </is>
      </c>
      <c r="D1102" s="22" t="n">
        <v>44</v>
      </c>
    </row>
    <row r="1103">
      <c r="A1103" s="21" t="inlineStr">
        <is>
          <t>Коммерческая</t>
        </is>
      </c>
      <c r="B1103" s="21" t="inlineStr">
        <is>
          <t>Продажа</t>
        </is>
      </c>
      <c r="C1103" s="21" t="inlineStr">
        <is>
          <t>Чувашская</t>
        </is>
      </c>
      <c r="D1103" s="22" t="n">
        <v>147</v>
      </c>
    </row>
    <row r="1104">
      <c r="A1104" s="21" t="inlineStr">
        <is>
          <t>Коммерческая</t>
        </is>
      </c>
      <c r="B1104" s="21" t="inlineStr">
        <is>
          <t>Продажа</t>
        </is>
      </c>
      <c r="C1104" s="21" t="inlineStr">
        <is>
          <t>Чукотский</t>
        </is>
      </c>
      <c r="D1104" s="22" t="n">
        <v>0</v>
      </c>
    </row>
    <row r="1105">
      <c r="A1105" s="21" t="inlineStr">
        <is>
          <t>Коммерческая</t>
        </is>
      </c>
      <c r="B1105" s="21" t="inlineStr">
        <is>
          <t>Продажа</t>
        </is>
      </c>
      <c r="C1105" s="21" t="inlineStr">
        <is>
          <t>Ямало-Ненецкий</t>
        </is>
      </c>
      <c r="D1105" s="22" t="n">
        <v>345</v>
      </c>
    </row>
    <row r="1106">
      <c r="A1106" s="21" t="inlineStr">
        <is>
          <t>Коммерческая</t>
        </is>
      </c>
      <c r="B1106" s="21" t="inlineStr">
        <is>
          <t>Продажа</t>
        </is>
      </c>
      <c r="C1106" s="21" t="inlineStr">
        <is>
          <t>Ярославская</t>
        </is>
      </c>
      <c r="D1106" s="22" t="n">
        <v>432</v>
      </c>
    </row>
    <row r="1107">
      <c r="A1107" s="27" t="inlineStr">
        <is>
          <t>Коммерческая</t>
        </is>
      </c>
      <c r="B1107" s="17" t="inlineStr">
        <is>
          <t>Аренда</t>
        </is>
      </c>
      <c r="C1107" s="28" t="inlineStr">
        <is>
          <t>Адыгея</t>
        </is>
      </c>
      <c r="D1107" s="19" t="n">
        <v>141</v>
      </c>
    </row>
    <row r="1108">
      <c r="A1108" s="21" t="inlineStr">
        <is>
          <t>Коммерческая</t>
        </is>
      </c>
      <c r="B1108" s="21" t="inlineStr">
        <is>
          <t>Аренда</t>
        </is>
      </c>
      <c r="C1108" s="21" t="inlineStr">
        <is>
          <t>Алтай</t>
        </is>
      </c>
      <c r="D1108" s="22" t="n">
        <v>31</v>
      </c>
    </row>
    <row r="1109">
      <c r="A1109" s="21" t="inlineStr">
        <is>
          <t>Коммерческая</t>
        </is>
      </c>
      <c r="B1109" s="21" t="inlineStr">
        <is>
          <t>Аренда</t>
        </is>
      </c>
      <c r="C1109" s="21" t="inlineStr">
        <is>
          <t>Алтайский</t>
        </is>
      </c>
      <c r="D1109" s="22" t="n">
        <v>210</v>
      </c>
    </row>
    <row r="1110">
      <c r="A1110" s="21" t="inlineStr">
        <is>
          <t>Коммерческая</t>
        </is>
      </c>
      <c r="B1110" s="21" t="inlineStr">
        <is>
          <t>Аренда</t>
        </is>
      </c>
      <c r="C1110" s="21" t="inlineStr">
        <is>
          <t>Амурская</t>
        </is>
      </c>
      <c r="D1110" s="22" t="n">
        <v>29</v>
      </c>
    </row>
    <row r="1111">
      <c r="A1111" s="21" t="inlineStr">
        <is>
          <t>Коммерческая</t>
        </is>
      </c>
      <c r="B1111" s="21" t="inlineStr">
        <is>
          <t>Аренда</t>
        </is>
      </c>
      <c r="C1111" s="21" t="inlineStr">
        <is>
          <t>Архангельская</t>
        </is>
      </c>
      <c r="D1111" s="22" t="n">
        <v>423</v>
      </c>
    </row>
    <row r="1112">
      <c r="A1112" s="21" t="inlineStr">
        <is>
          <t>Коммерческая</t>
        </is>
      </c>
      <c r="B1112" s="21" t="inlineStr">
        <is>
          <t>Аренда</t>
        </is>
      </c>
      <c r="C1112" s="21" t="inlineStr">
        <is>
          <t>Астраханская</t>
        </is>
      </c>
      <c r="D1112" s="22" t="n">
        <v>679</v>
      </c>
    </row>
    <row r="1113">
      <c r="A1113" s="21" t="inlineStr">
        <is>
          <t>Коммерческая</t>
        </is>
      </c>
      <c r="B1113" s="21" t="inlineStr">
        <is>
          <t>Аренда</t>
        </is>
      </c>
      <c r="C1113" s="21" t="inlineStr">
        <is>
          <t>Башкортостан</t>
        </is>
      </c>
      <c r="D1113" s="22" t="n">
        <v>3816</v>
      </c>
    </row>
    <row r="1114">
      <c r="A1114" s="21" t="inlineStr">
        <is>
          <t>Коммерческая</t>
        </is>
      </c>
      <c r="B1114" s="21" t="inlineStr">
        <is>
          <t>Аренда</t>
        </is>
      </c>
      <c r="C1114" s="21" t="inlineStr">
        <is>
          <t>Белгородская</t>
        </is>
      </c>
      <c r="D1114" s="22" t="n">
        <v>334</v>
      </c>
    </row>
    <row r="1115">
      <c r="A1115" s="21" t="inlineStr">
        <is>
          <t>Коммерческая</t>
        </is>
      </c>
      <c r="B1115" s="21" t="inlineStr">
        <is>
          <t>Аренда</t>
        </is>
      </c>
      <c r="C1115" s="21" t="inlineStr">
        <is>
          <t>Брянская</t>
        </is>
      </c>
      <c r="D1115" s="22" t="n">
        <v>370</v>
      </c>
    </row>
    <row r="1116">
      <c r="A1116" s="21" t="inlineStr">
        <is>
          <t>Коммерческая</t>
        </is>
      </c>
      <c r="B1116" s="21" t="inlineStr">
        <is>
          <t>Аренда</t>
        </is>
      </c>
      <c r="C1116" s="21" t="inlineStr">
        <is>
          <t>Бурятия</t>
        </is>
      </c>
      <c r="D1116" s="22" t="n">
        <v>0</v>
      </c>
    </row>
    <row r="1117">
      <c r="A1117" s="21" t="inlineStr">
        <is>
          <t>Коммерческая</t>
        </is>
      </c>
      <c r="B1117" s="21" t="inlineStr">
        <is>
          <t>Аренда</t>
        </is>
      </c>
      <c r="C1117" s="21" t="inlineStr">
        <is>
          <t>Владимирская</t>
        </is>
      </c>
      <c r="D1117" s="22" t="n">
        <v>773</v>
      </c>
    </row>
    <row r="1118">
      <c r="A1118" s="21" t="inlineStr">
        <is>
          <t>Коммерческая</t>
        </is>
      </c>
      <c r="B1118" s="21" t="inlineStr">
        <is>
          <t>Аренда</t>
        </is>
      </c>
      <c r="C1118" s="21" t="inlineStr">
        <is>
          <t>Волгоградская</t>
        </is>
      </c>
      <c r="D1118" s="22" t="n">
        <v>555</v>
      </c>
    </row>
    <row r="1119">
      <c r="A1119" s="21" t="inlineStr">
        <is>
          <t>Коммерческая</t>
        </is>
      </c>
      <c r="B1119" s="21" t="inlineStr">
        <is>
          <t>Аренда</t>
        </is>
      </c>
      <c r="C1119" s="21" t="inlineStr">
        <is>
          <t>Вологодская</t>
        </is>
      </c>
      <c r="D1119" s="22" t="n">
        <v>122</v>
      </c>
    </row>
    <row r="1120">
      <c r="A1120" s="21" t="inlineStr">
        <is>
          <t>Коммерческая</t>
        </is>
      </c>
      <c r="B1120" s="21" t="inlineStr">
        <is>
          <t>Аренда</t>
        </is>
      </c>
      <c r="C1120" s="21" t="inlineStr">
        <is>
          <t>Воронежская</t>
        </is>
      </c>
      <c r="D1120" s="22" t="n">
        <v>633</v>
      </c>
    </row>
    <row r="1121">
      <c r="A1121" s="21" t="inlineStr">
        <is>
          <t>Коммерческая</t>
        </is>
      </c>
      <c r="B1121" s="21" t="inlineStr">
        <is>
          <t>Аренда</t>
        </is>
      </c>
      <c r="C1121" s="21" t="inlineStr">
        <is>
          <t>Дагестан</t>
        </is>
      </c>
      <c r="D1121" s="22" t="n">
        <v>131</v>
      </c>
    </row>
    <row r="1122">
      <c r="A1122" s="21" t="inlineStr">
        <is>
          <t>Коммерческая</t>
        </is>
      </c>
      <c r="B1122" s="21" t="inlineStr">
        <is>
          <t>Аренда</t>
        </is>
      </c>
      <c r="C1122" s="21" t="inlineStr">
        <is>
          <t>Еврейская</t>
        </is>
      </c>
      <c r="D1122" s="22" t="n">
        <v>0</v>
      </c>
    </row>
    <row r="1123">
      <c r="A1123" s="21" t="inlineStr">
        <is>
          <t>Коммерческая</t>
        </is>
      </c>
      <c r="B1123" s="21" t="inlineStr">
        <is>
          <t>Аренда</t>
        </is>
      </c>
      <c r="C1123" s="21" t="inlineStr">
        <is>
          <t>Забайкальский</t>
        </is>
      </c>
      <c r="D1123" s="22" t="n">
        <v>72</v>
      </c>
    </row>
    <row r="1124">
      <c r="A1124" s="21" t="inlineStr">
        <is>
          <t>Коммерческая</t>
        </is>
      </c>
      <c r="B1124" s="21" t="inlineStr">
        <is>
          <t>Аренда</t>
        </is>
      </c>
      <c r="C1124" s="21" t="inlineStr">
        <is>
          <t>Ивановская</t>
        </is>
      </c>
      <c r="D1124" s="22" t="n">
        <v>94</v>
      </c>
    </row>
    <row r="1125">
      <c r="A1125" s="21" t="inlineStr">
        <is>
          <t>Коммерческая</t>
        </is>
      </c>
      <c r="B1125" s="21" t="inlineStr">
        <is>
          <t>Аренда</t>
        </is>
      </c>
      <c r="C1125" s="21" t="inlineStr">
        <is>
          <t>Ингушетия</t>
        </is>
      </c>
      <c r="D1125" s="22" t="n">
        <v>0</v>
      </c>
    </row>
    <row r="1126">
      <c r="A1126" s="21" t="inlineStr">
        <is>
          <t>Коммерческая</t>
        </is>
      </c>
      <c r="B1126" s="21" t="inlineStr">
        <is>
          <t>Аренда</t>
        </is>
      </c>
      <c r="C1126" s="21" t="inlineStr">
        <is>
          <t>Иркутская</t>
        </is>
      </c>
      <c r="D1126" s="22" t="n">
        <v>568</v>
      </c>
    </row>
    <row r="1127">
      <c r="A1127" s="21" t="inlineStr">
        <is>
          <t>Коммерческая</t>
        </is>
      </c>
      <c r="B1127" s="21" t="inlineStr">
        <is>
          <t>Аренда</t>
        </is>
      </c>
      <c r="C1127" s="21" t="inlineStr">
        <is>
          <t>Кабардино-Балкарская</t>
        </is>
      </c>
      <c r="D1127" s="22" t="n">
        <v>68</v>
      </c>
    </row>
    <row r="1128">
      <c r="A1128" s="21" t="inlineStr">
        <is>
          <t>Коммерческая</t>
        </is>
      </c>
      <c r="B1128" s="21" t="inlineStr">
        <is>
          <t>Аренда</t>
        </is>
      </c>
      <c r="C1128" s="21" t="inlineStr">
        <is>
          <t>Калининградская</t>
        </is>
      </c>
      <c r="D1128" s="22" t="n">
        <v>610</v>
      </c>
    </row>
    <row r="1129">
      <c r="A1129" s="21" t="inlineStr">
        <is>
          <t>Коммерческая</t>
        </is>
      </c>
      <c r="B1129" s="21" t="inlineStr">
        <is>
          <t>Аренда</t>
        </is>
      </c>
      <c r="C1129" s="21" t="inlineStr">
        <is>
          <t>Калмыкия</t>
        </is>
      </c>
      <c r="D1129" s="22" t="n">
        <v>0</v>
      </c>
    </row>
    <row r="1130">
      <c r="A1130" s="21" t="inlineStr">
        <is>
          <t>Коммерческая</t>
        </is>
      </c>
      <c r="B1130" s="21" t="inlineStr">
        <is>
          <t>Аренда</t>
        </is>
      </c>
      <c r="C1130" s="21" t="inlineStr">
        <is>
          <t>Калужская</t>
        </is>
      </c>
      <c r="D1130" s="22" t="n">
        <v>397</v>
      </c>
    </row>
    <row r="1131">
      <c r="A1131" s="21" t="inlineStr">
        <is>
          <t>Коммерческая</t>
        </is>
      </c>
      <c r="B1131" s="21" t="inlineStr">
        <is>
          <t>Аренда</t>
        </is>
      </c>
      <c r="C1131" s="21" t="inlineStr">
        <is>
          <t>Камчатский</t>
        </is>
      </c>
      <c r="D1131" s="22" t="n">
        <v>0</v>
      </c>
    </row>
    <row r="1132">
      <c r="A1132" s="21" t="inlineStr">
        <is>
          <t>Коммерческая</t>
        </is>
      </c>
      <c r="B1132" s="21" t="inlineStr">
        <is>
          <t>Аренда</t>
        </is>
      </c>
      <c r="C1132" s="21" t="inlineStr">
        <is>
          <t>Карачаево-Черкесская</t>
        </is>
      </c>
      <c r="D1132" s="22" t="n">
        <v>24</v>
      </c>
    </row>
    <row r="1133">
      <c r="A1133" s="21" t="inlineStr">
        <is>
          <t>Коммерческая</t>
        </is>
      </c>
      <c r="B1133" s="21" t="inlineStr">
        <is>
          <t>Аренда</t>
        </is>
      </c>
      <c r="C1133" s="21" t="inlineStr">
        <is>
          <t>Карелия</t>
        </is>
      </c>
      <c r="D1133" s="22" t="n">
        <v>80</v>
      </c>
    </row>
    <row r="1134">
      <c r="A1134" s="21" t="inlineStr">
        <is>
          <t>Коммерческая</t>
        </is>
      </c>
      <c r="B1134" s="21" t="inlineStr">
        <is>
          <t>Аренда</t>
        </is>
      </c>
      <c r="C1134" s="21" t="inlineStr">
        <is>
          <t>Кемеровская</t>
        </is>
      </c>
      <c r="D1134" s="22" t="n">
        <v>320</v>
      </c>
    </row>
    <row r="1135">
      <c r="A1135" s="21" t="inlineStr">
        <is>
          <t>Коммерческая</t>
        </is>
      </c>
      <c r="B1135" s="21" t="inlineStr">
        <is>
          <t>Аренда</t>
        </is>
      </c>
      <c r="C1135" s="21" t="inlineStr">
        <is>
          <t>Кировская</t>
        </is>
      </c>
      <c r="D1135" s="22" t="n">
        <v>152</v>
      </c>
    </row>
    <row r="1136">
      <c r="A1136" s="21" t="inlineStr">
        <is>
          <t>Коммерческая</t>
        </is>
      </c>
      <c r="B1136" s="21" t="inlineStr">
        <is>
          <t>Аренда</t>
        </is>
      </c>
      <c r="C1136" s="21" t="inlineStr">
        <is>
          <t>Коми</t>
        </is>
      </c>
      <c r="D1136" s="22" t="n">
        <v>228</v>
      </c>
    </row>
    <row r="1137">
      <c r="A1137" s="21" t="inlineStr">
        <is>
          <t>Коммерческая</t>
        </is>
      </c>
      <c r="B1137" s="21" t="inlineStr">
        <is>
          <t>Аренда</t>
        </is>
      </c>
      <c r="C1137" s="21" t="inlineStr">
        <is>
          <t>Костромская</t>
        </is>
      </c>
      <c r="D1137" s="22" t="n">
        <v>323</v>
      </c>
    </row>
    <row r="1138">
      <c r="A1138" s="21" t="inlineStr">
        <is>
          <t>Коммерческая</t>
        </is>
      </c>
      <c r="B1138" s="21" t="inlineStr">
        <is>
          <t>Аренда</t>
        </is>
      </c>
      <c r="C1138" s="21" t="inlineStr">
        <is>
          <t>Краснодарский</t>
        </is>
      </c>
      <c r="D1138" s="22" t="n">
        <v>4405</v>
      </c>
    </row>
    <row r="1139">
      <c r="A1139" s="21" t="inlineStr">
        <is>
          <t>Коммерческая</t>
        </is>
      </c>
      <c r="B1139" s="21" t="inlineStr">
        <is>
          <t>Аренда</t>
        </is>
      </c>
      <c r="C1139" s="21" t="inlineStr">
        <is>
          <t>Красноярский</t>
        </is>
      </c>
      <c r="D1139" s="22" t="n">
        <v>1013</v>
      </c>
    </row>
    <row r="1140">
      <c r="A1140" s="21" t="inlineStr">
        <is>
          <t>Коммерческая</t>
        </is>
      </c>
      <c r="B1140" s="21" t="inlineStr">
        <is>
          <t>Аренда</t>
        </is>
      </c>
      <c r="C1140" s="21" t="inlineStr">
        <is>
          <t>Крым</t>
        </is>
      </c>
      <c r="D1140" s="22" t="n">
        <v>464</v>
      </c>
    </row>
    <row r="1141">
      <c r="A1141" s="21" t="inlineStr">
        <is>
          <t>Коммерческая</t>
        </is>
      </c>
      <c r="B1141" s="21" t="inlineStr">
        <is>
          <t>Аренда</t>
        </is>
      </c>
      <c r="C1141" s="21" t="inlineStr">
        <is>
          <t>Курганская</t>
        </is>
      </c>
      <c r="D1141" s="22" t="n">
        <v>301</v>
      </c>
    </row>
    <row r="1142">
      <c r="A1142" s="21" t="inlineStr">
        <is>
          <t>Коммерческая</t>
        </is>
      </c>
      <c r="B1142" s="21" t="inlineStr">
        <is>
          <t>Аренда</t>
        </is>
      </c>
      <c r="C1142" s="21" t="inlineStr">
        <is>
          <t>Курская</t>
        </is>
      </c>
      <c r="D1142" s="22" t="n">
        <v>106</v>
      </c>
    </row>
    <row r="1143">
      <c r="A1143" s="21" t="inlineStr">
        <is>
          <t>Коммерческая</t>
        </is>
      </c>
      <c r="B1143" s="21" t="inlineStr">
        <is>
          <t>Аренда</t>
        </is>
      </c>
      <c r="C1143" s="21" t="inlineStr">
        <is>
          <t>Ленинградская</t>
        </is>
      </c>
      <c r="D1143" s="22" t="n">
        <v>2315</v>
      </c>
    </row>
    <row r="1144">
      <c r="A1144" s="21" t="inlineStr">
        <is>
          <t>Коммерческая</t>
        </is>
      </c>
      <c r="B1144" s="21" t="inlineStr">
        <is>
          <t>Аренда</t>
        </is>
      </c>
      <c r="C1144" s="21" t="inlineStr">
        <is>
          <t>Липецкая</t>
        </is>
      </c>
      <c r="D1144" s="22" t="n">
        <v>274</v>
      </c>
    </row>
    <row r="1145">
      <c r="A1145" s="21" t="inlineStr">
        <is>
          <t>Коммерческая</t>
        </is>
      </c>
      <c r="B1145" s="21" t="inlineStr">
        <is>
          <t>Аренда</t>
        </is>
      </c>
      <c r="C1145" s="21" t="inlineStr">
        <is>
          <t>Магаданская</t>
        </is>
      </c>
      <c r="D1145" s="22" t="n">
        <v>0</v>
      </c>
    </row>
    <row r="1146">
      <c r="A1146" s="21" t="inlineStr">
        <is>
          <t>Коммерческая</t>
        </is>
      </c>
      <c r="B1146" s="21" t="inlineStr">
        <is>
          <t>Аренда</t>
        </is>
      </c>
      <c r="C1146" s="21" t="inlineStr">
        <is>
          <t>Марий Эл</t>
        </is>
      </c>
      <c r="D1146" s="22" t="n">
        <v>310</v>
      </c>
    </row>
    <row r="1147">
      <c r="A1147" s="21" t="inlineStr">
        <is>
          <t>Коммерческая</t>
        </is>
      </c>
      <c r="B1147" s="21" t="inlineStr">
        <is>
          <t>Аренда</t>
        </is>
      </c>
      <c r="C1147" s="21" t="inlineStr">
        <is>
          <t>Мордовия</t>
        </is>
      </c>
      <c r="D1147" s="22" t="n">
        <v>137</v>
      </c>
    </row>
    <row r="1148">
      <c r="A1148" s="21" t="inlineStr">
        <is>
          <t>Коммерческая</t>
        </is>
      </c>
      <c r="B1148" s="21" t="inlineStr">
        <is>
          <t>Аренда</t>
        </is>
      </c>
      <c r="C1148" s="21" t="inlineStr">
        <is>
          <t>Москва</t>
        </is>
      </c>
      <c r="D1148" s="22" t="n">
        <v>54739</v>
      </c>
    </row>
    <row r="1149">
      <c r="A1149" s="21" t="inlineStr">
        <is>
          <t>Коммерческая</t>
        </is>
      </c>
      <c r="B1149" s="21" t="inlineStr">
        <is>
          <t>Аренда</t>
        </is>
      </c>
      <c r="C1149" s="21" t="inlineStr">
        <is>
          <t>Московская</t>
        </is>
      </c>
      <c r="D1149" s="22" t="n">
        <v>13787</v>
      </c>
    </row>
    <row r="1150">
      <c r="A1150" s="21" t="inlineStr">
        <is>
          <t>Коммерческая</t>
        </is>
      </c>
      <c r="B1150" s="21" t="inlineStr">
        <is>
          <t>Аренда</t>
        </is>
      </c>
      <c r="C1150" s="21" t="inlineStr">
        <is>
          <t>Мурманская</t>
        </is>
      </c>
      <c r="D1150" s="22" t="n">
        <v>44</v>
      </c>
    </row>
    <row r="1151">
      <c r="A1151" s="21" t="inlineStr">
        <is>
          <t>Коммерческая</t>
        </is>
      </c>
      <c r="B1151" s="21" t="inlineStr">
        <is>
          <t>Аренда</t>
        </is>
      </c>
      <c r="C1151" s="21" t="inlineStr">
        <is>
          <t>Ненецкий</t>
        </is>
      </c>
      <c r="D1151" s="22" t="n">
        <v>0</v>
      </c>
    </row>
    <row r="1152">
      <c r="A1152" s="21" t="inlineStr">
        <is>
          <t>Коммерческая</t>
        </is>
      </c>
      <c r="B1152" s="21" t="inlineStr">
        <is>
          <t>Аренда</t>
        </is>
      </c>
      <c r="C1152" s="21" t="inlineStr">
        <is>
          <t>Нижегородская</t>
        </is>
      </c>
      <c r="D1152" s="22" t="n">
        <v>0</v>
      </c>
    </row>
    <row r="1153">
      <c r="A1153" s="21" t="inlineStr">
        <is>
          <t>Коммерческая</t>
        </is>
      </c>
      <c r="B1153" s="21" t="inlineStr">
        <is>
          <t>Аренда</t>
        </is>
      </c>
      <c r="C1153" s="21" t="inlineStr">
        <is>
          <t>Новгородская</t>
        </is>
      </c>
      <c r="D1153" s="22" t="n">
        <v>346</v>
      </c>
    </row>
    <row r="1154">
      <c r="A1154" s="21" t="inlineStr">
        <is>
          <t>Коммерческая</t>
        </is>
      </c>
      <c r="B1154" s="21" t="inlineStr">
        <is>
          <t>Аренда</t>
        </is>
      </c>
      <c r="C1154" s="21" t="inlineStr">
        <is>
          <t>Новосибирская</t>
        </is>
      </c>
      <c r="D1154" s="22" t="n">
        <v>2587</v>
      </c>
    </row>
    <row r="1155">
      <c r="A1155" s="21" t="inlineStr">
        <is>
          <t>Коммерческая</t>
        </is>
      </c>
      <c r="B1155" s="21" t="inlineStr">
        <is>
          <t>Аренда</t>
        </is>
      </c>
      <c r="C1155" s="21" t="inlineStr">
        <is>
          <t>Омская</t>
        </is>
      </c>
      <c r="D1155" s="22" t="n">
        <v>1701</v>
      </c>
    </row>
    <row r="1156">
      <c r="A1156" s="21" t="inlineStr">
        <is>
          <t>Коммерческая</t>
        </is>
      </c>
      <c r="B1156" s="21" t="inlineStr">
        <is>
          <t>Аренда</t>
        </is>
      </c>
      <c r="C1156" s="21" t="inlineStr">
        <is>
          <t>Оренбургская</t>
        </is>
      </c>
      <c r="D1156" s="22" t="n">
        <v>209</v>
      </c>
    </row>
    <row r="1157">
      <c r="A1157" s="21" t="inlineStr">
        <is>
          <t>Коммерческая</t>
        </is>
      </c>
      <c r="B1157" s="21" t="inlineStr">
        <is>
          <t>Аренда</t>
        </is>
      </c>
      <c r="C1157" s="21" t="inlineStr">
        <is>
          <t>Орловская</t>
        </is>
      </c>
      <c r="D1157" s="22" t="n">
        <v>209</v>
      </c>
    </row>
    <row r="1158">
      <c r="A1158" s="21" t="inlineStr">
        <is>
          <t>Коммерческая</t>
        </is>
      </c>
      <c r="B1158" s="21" t="inlineStr">
        <is>
          <t>Аренда</t>
        </is>
      </c>
      <c r="C1158" s="21" t="inlineStr">
        <is>
          <t>Пензенская</t>
        </is>
      </c>
      <c r="D1158" s="22" t="n">
        <v>573</v>
      </c>
    </row>
    <row r="1159">
      <c r="A1159" s="21" t="inlineStr">
        <is>
          <t>Коммерческая</t>
        </is>
      </c>
      <c r="B1159" s="21" t="inlineStr">
        <is>
          <t>Аренда</t>
        </is>
      </c>
      <c r="C1159" s="21" t="inlineStr">
        <is>
          <t>Пермский</t>
        </is>
      </c>
      <c r="D1159" s="22" t="n">
        <v>433</v>
      </c>
    </row>
    <row r="1160">
      <c r="A1160" s="21" t="inlineStr">
        <is>
          <t>Коммерческая</t>
        </is>
      </c>
      <c r="B1160" s="21" t="inlineStr">
        <is>
          <t>Аренда</t>
        </is>
      </c>
      <c r="C1160" s="21" t="inlineStr">
        <is>
          <t>Приморский</t>
        </is>
      </c>
      <c r="D1160" s="22" t="n">
        <v>51</v>
      </c>
    </row>
    <row r="1161">
      <c r="A1161" s="21" t="inlineStr">
        <is>
          <t>Коммерческая</t>
        </is>
      </c>
      <c r="B1161" s="21" t="inlineStr">
        <is>
          <t>Аренда</t>
        </is>
      </c>
      <c r="C1161" s="21" t="inlineStr">
        <is>
          <t>Псковская</t>
        </is>
      </c>
      <c r="D1161" s="22" t="n">
        <v>70</v>
      </c>
    </row>
    <row r="1162">
      <c r="A1162" s="21" t="inlineStr">
        <is>
          <t>Коммерческая</t>
        </is>
      </c>
      <c r="B1162" s="21" t="inlineStr">
        <is>
          <t>Аренда</t>
        </is>
      </c>
      <c r="C1162" s="21" t="inlineStr">
        <is>
          <t>Ростовская</t>
        </is>
      </c>
      <c r="D1162" s="22" t="n">
        <v>2217</v>
      </c>
    </row>
    <row r="1163">
      <c r="A1163" s="21" t="inlineStr">
        <is>
          <t>Коммерческая</t>
        </is>
      </c>
      <c r="B1163" s="21" t="inlineStr">
        <is>
          <t>Аренда</t>
        </is>
      </c>
      <c r="C1163" s="21" t="inlineStr">
        <is>
          <t>Рязанская</t>
        </is>
      </c>
      <c r="D1163" s="22" t="n">
        <v>287</v>
      </c>
    </row>
    <row r="1164">
      <c r="A1164" s="21" t="inlineStr">
        <is>
          <t>Коммерческая</t>
        </is>
      </c>
      <c r="B1164" s="21" t="inlineStr">
        <is>
          <t>Аренда</t>
        </is>
      </c>
      <c r="C1164" s="21" t="inlineStr">
        <is>
          <t>Самарская</t>
        </is>
      </c>
      <c r="D1164" s="22" t="n">
        <v>2436</v>
      </c>
    </row>
    <row r="1165">
      <c r="A1165" s="21" t="inlineStr">
        <is>
          <t>Коммерческая</t>
        </is>
      </c>
      <c r="B1165" s="21" t="inlineStr">
        <is>
          <t>Аренда</t>
        </is>
      </c>
      <c r="C1165" s="21" t="inlineStr">
        <is>
          <t>Санкт-Петербург</t>
        </is>
      </c>
      <c r="D1165" s="22" t="n">
        <v>21496</v>
      </c>
    </row>
    <row r="1166">
      <c r="A1166" s="21" t="inlineStr">
        <is>
          <t>Коммерческая</t>
        </is>
      </c>
      <c r="B1166" s="21" t="inlineStr">
        <is>
          <t>Аренда</t>
        </is>
      </c>
      <c r="C1166" s="21" t="inlineStr">
        <is>
          <t>Саратовская</t>
        </is>
      </c>
      <c r="D1166" s="22" t="n">
        <v>1376</v>
      </c>
    </row>
    <row r="1167">
      <c r="A1167" s="21" t="inlineStr">
        <is>
          <t>Коммерческая</t>
        </is>
      </c>
      <c r="B1167" s="21" t="inlineStr">
        <is>
          <t>Аренда</t>
        </is>
      </c>
      <c r="C1167" s="21" t="inlineStr">
        <is>
          <t>Саха (Якутия)</t>
        </is>
      </c>
      <c r="D1167" s="22" t="n">
        <v>21</v>
      </c>
    </row>
    <row r="1168">
      <c r="A1168" s="21" t="inlineStr">
        <is>
          <t>Коммерческая</t>
        </is>
      </c>
      <c r="B1168" s="21" t="inlineStr">
        <is>
          <t>Аренда</t>
        </is>
      </c>
      <c r="C1168" s="21" t="inlineStr">
        <is>
          <t>Сахалинская</t>
        </is>
      </c>
      <c r="D1168" s="22" t="n">
        <v>55</v>
      </c>
    </row>
    <row r="1169">
      <c r="A1169" s="21" t="inlineStr">
        <is>
          <t>Коммерческая</t>
        </is>
      </c>
      <c r="B1169" s="21" t="inlineStr">
        <is>
          <t>Аренда</t>
        </is>
      </c>
      <c r="C1169" s="21" t="inlineStr">
        <is>
          <t>Свердловская</t>
        </is>
      </c>
      <c r="D1169" s="22" t="n">
        <v>2809</v>
      </c>
    </row>
    <row r="1170">
      <c r="A1170" s="21" t="inlineStr">
        <is>
          <t>Коммерческая</t>
        </is>
      </c>
      <c r="B1170" s="21" t="inlineStr">
        <is>
          <t>Аренда</t>
        </is>
      </c>
      <c r="C1170" s="21" t="inlineStr">
        <is>
          <t>Севастополь</t>
        </is>
      </c>
      <c r="D1170" s="22" t="n">
        <v>807</v>
      </c>
    </row>
    <row r="1171">
      <c r="A1171" s="21" t="inlineStr">
        <is>
          <t>Коммерческая</t>
        </is>
      </c>
      <c r="B1171" s="21" t="inlineStr">
        <is>
          <t>Аренда</t>
        </is>
      </c>
      <c r="C1171" s="21" t="inlineStr">
        <is>
          <t>Северная Осетия - Алания</t>
        </is>
      </c>
      <c r="D1171" s="22" t="n">
        <v>106</v>
      </c>
    </row>
    <row r="1172">
      <c r="A1172" s="21" t="inlineStr">
        <is>
          <t>Коммерческая</t>
        </is>
      </c>
      <c r="B1172" s="21" t="inlineStr">
        <is>
          <t>Аренда</t>
        </is>
      </c>
      <c r="C1172" s="21" t="inlineStr">
        <is>
          <t>Смоленская</t>
        </is>
      </c>
      <c r="D1172" s="22" t="n">
        <v>184</v>
      </c>
    </row>
    <row r="1173">
      <c r="A1173" s="21" t="inlineStr">
        <is>
          <t>Коммерческая</t>
        </is>
      </c>
      <c r="B1173" s="21" t="inlineStr">
        <is>
          <t>Аренда</t>
        </is>
      </c>
      <c r="C1173" s="21" t="inlineStr">
        <is>
          <t>Ставропольский</t>
        </is>
      </c>
      <c r="D1173" s="22" t="n">
        <v>546</v>
      </c>
    </row>
    <row r="1174">
      <c r="A1174" s="21" t="inlineStr">
        <is>
          <t>Коммерческая</t>
        </is>
      </c>
      <c r="B1174" s="21" t="inlineStr">
        <is>
          <t>Аренда</t>
        </is>
      </c>
      <c r="C1174" s="21" t="inlineStr">
        <is>
          <t>Тамбовская</t>
        </is>
      </c>
      <c r="D1174" s="22" t="n">
        <v>137</v>
      </c>
    </row>
    <row r="1175">
      <c r="A1175" s="21" t="inlineStr">
        <is>
          <t>Коммерческая</t>
        </is>
      </c>
      <c r="B1175" s="21" t="inlineStr">
        <is>
          <t>Аренда</t>
        </is>
      </c>
      <c r="C1175" s="21" t="inlineStr">
        <is>
          <t>Татарстан</t>
        </is>
      </c>
      <c r="D1175" s="22" t="n">
        <v>2740</v>
      </c>
    </row>
    <row r="1176">
      <c r="A1176" s="21" t="inlineStr">
        <is>
          <t>Коммерческая</t>
        </is>
      </c>
      <c r="B1176" s="21" t="inlineStr">
        <is>
          <t>Аренда</t>
        </is>
      </c>
      <c r="C1176" s="21" t="inlineStr">
        <is>
          <t>Тверская</t>
        </is>
      </c>
      <c r="D1176" s="22" t="n">
        <v>481</v>
      </c>
    </row>
    <row r="1177">
      <c r="A1177" s="21" t="inlineStr">
        <is>
          <t>Коммерческая</t>
        </is>
      </c>
      <c r="B1177" s="21" t="inlineStr">
        <is>
          <t>Аренда</t>
        </is>
      </c>
      <c r="C1177" s="21" t="inlineStr">
        <is>
          <t>Томская</t>
        </is>
      </c>
      <c r="D1177" s="22" t="n">
        <v>326</v>
      </c>
    </row>
    <row r="1178">
      <c r="A1178" s="21" t="inlineStr">
        <is>
          <t>Коммерческая</t>
        </is>
      </c>
      <c r="B1178" s="21" t="inlineStr">
        <is>
          <t>Аренда</t>
        </is>
      </c>
      <c r="C1178" s="21" t="inlineStr">
        <is>
          <t>Тульская</t>
        </is>
      </c>
      <c r="D1178" s="22" t="n">
        <v>442</v>
      </c>
    </row>
    <row r="1179">
      <c r="A1179" s="21" t="inlineStr">
        <is>
          <t>Коммерческая</t>
        </is>
      </c>
      <c r="B1179" s="21" t="inlineStr">
        <is>
          <t>Аренда</t>
        </is>
      </c>
      <c r="C1179" s="21" t="inlineStr">
        <is>
          <t>Тыва</t>
        </is>
      </c>
      <c r="D1179" s="22" t="n">
        <v>0</v>
      </c>
    </row>
    <row r="1180">
      <c r="A1180" s="21" t="inlineStr">
        <is>
          <t>Коммерческая</t>
        </is>
      </c>
      <c r="B1180" s="21" t="inlineStr">
        <is>
          <t>Аренда</t>
        </is>
      </c>
      <c r="C1180" s="21" t="inlineStr">
        <is>
          <t>Тюменская</t>
        </is>
      </c>
      <c r="D1180" s="22" t="n">
        <v>3973</v>
      </c>
    </row>
    <row r="1181">
      <c r="A1181" s="21" t="inlineStr">
        <is>
          <t>Коммерческая</t>
        </is>
      </c>
      <c r="B1181" s="21" t="inlineStr">
        <is>
          <t>Аренда</t>
        </is>
      </c>
      <c r="C1181" s="21" t="inlineStr">
        <is>
          <t>Удмуртская</t>
        </is>
      </c>
      <c r="D1181" s="22" t="n">
        <v>424</v>
      </c>
    </row>
    <row r="1182">
      <c r="A1182" s="21" t="inlineStr">
        <is>
          <t>Коммерческая</t>
        </is>
      </c>
      <c r="B1182" s="21" t="inlineStr">
        <is>
          <t>Аренда</t>
        </is>
      </c>
      <c r="C1182" s="21" t="inlineStr">
        <is>
          <t>Ульяновская</t>
        </is>
      </c>
      <c r="D1182" s="22" t="n">
        <v>2283</v>
      </c>
    </row>
    <row r="1183">
      <c r="A1183" s="21" t="inlineStr">
        <is>
          <t>Коммерческая</t>
        </is>
      </c>
      <c r="B1183" s="21" t="inlineStr">
        <is>
          <t>Аренда</t>
        </is>
      </c>
      <c r="C1183" s="21" t="inlineStr">
        <is>
          <t>Хабаровский</t>
        </is>
      </c>
      <c r="D1183" s="22" t="n">
        <v>458</v>
      </c>
    </row>
    <row r="1184">
      <c r="A1184" s="21" t="inlineStr">
        <is>
          <t>Коммерческая</t>
        </is>
      </c>
      <c r="B1184" s="21" t="inlineStr">
        <is>
          <t>Аренда</t>
        </is>
      </c>
      <c r="C1184" s="21" t="inlineStr">
        <is>
          <t>Хакасия</t>
        </is>
      </c>
      <c r="D1184" s="22" t="n">
        <v>25</v>
      </c>
    </row>
    <row r="1185">
      <c r="A1185" s="21" t="inlineStr">
        <is>
          <t>Коммерческая</t>
        </is>
      </c>
      <c r="B1185" s="21" t="inlineStr">
        <is>
          <t>Аренда</t>
        </is>
      </c>
      <c r="C1185" s="21" t="inlineStr">
        <is>
          <t>Ханты-Мансийский</t>
        </is>
      </c>
      <c r="D1185" s="22" t="n">
        <v>256</v>
      </c>
    </row>
    <row r="1186">
      <c r="A1186" s="21" t="inlineStr">
        <is>
          <t>Коммерческая</t>
        </is>
      </c>
      <c r="B1186" s="21" t="inlineStr">
        <is>
          <t>Аренда</t>
        </is>
      </c>
      <c r="C1186" s="21" t="inlineStr">
        <is>
          <t>Челябинская</t>
        </is>
      </c>
      <c r="D1186" s="22" t="n">
        <v>1553</v>
      </c>
    </row>
    <row r="1187">
      <c r="A1187" s="21" t="inlineStr">
        <is>
          <t>Коммерческая</t>
        </is>
      </c>
      <c r="B1187" s="21" t="inlineStr">
        <is>
          <t>Аренда</t>
        </is>
      </c>
      <c r="C1187" s="21" t="inlineStr">
        <is>
          <t>Чеченская</t>
        </is>
      </c>
      <c r="D1187" s="22" t="n">
        <v>0</v>
      </c>
    </row>
    <row r="1188">
      <c r="A1188" s="21" t="inlineStr">
        <is>
          <t>Коммерческая</t>
        </is>
      </c>
      <c r="B1188" s="21" t="inlineStr">
        <is>
          <t>Аренда</t>
        </is>
      </c>
      <c r="C1188" s="21" t="inlineStr">
        <is>
          <t>Чувашская</t>
        </is>
      </c>
      <c r="D1188" s="22" t="n">
        <v>81</v>
      </c>
    </row>
    <row r="1189">
      <c r="A1189" s="21" t="inlineStr">
        <is>
          <t>Коммерческая</t>
        </is>
      </c>
      <c r="B1189" s="21" t="inlineStr">
        <is>
          <t>Аренда</t>
        </is>
      </c>
      <c r="C1189" s="21" t="inlineStr">
        <is>
          <t>Чукотский</t>
        </is>
      </c>
      <c r="D1189" s="22" t="n">
        <v>0</v>
      </c>
    </row>
    <row r="1190">
      <c r="A1190" s="21" t="inlineStr">
        <is>
          <t>Коммерческая</t>
        </is>
      </c>
      <c r="B1190" s="21" t="inlineStr">
        <is>
          <t>Аренда</t>
        </is>
      </c>
      <c r="C1190" s="21" t="inlineStr">
        <is>
          <t>Ямало-Ненецкий</t>
        </is>
      </c>
      <c r="D1190" s="22" t="n">
        <v>79</v>
      </c>
    </row>
    <row r="1191">
      <c r="A1191" s="21" t="inlineStr">
        <is>
          <t>Коммерческая</t>
        </is>
      </c>
      <c r="B1191" s="21" t="inlineStr">
        <is>
          <t>Аренда</t>
        </is>
      </c>
      <c r="C1191" s="21" t="inlineStr">
        <is>
          <t>Ярославская</t>
        </is>
      </c>
      <c r="D1191" s="22" t="n">
        <v>840</v>
      </c>
    </row>
    <row r="1193">
      <c r="A1193" s="29" t="inlineStr">
        <is>
          <t>Итого (по фильтру)</t>
        </is>
      </c>
      <c r="C1193" s="30" t="inlineStr">
        <is>
          <t>← сумма видимых строк</t>
        </is>
      </c>
      <c r="D1193" s="31">
        <f>SUBTOTAL(109,D2:D1191)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78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5"/>
  <cols>
    <col width="26" customWidth="1" min="1" max="1"/>
    <col width="30" customWidth="1" min="2" max="2"/>
    <col width="22" customWidth="1" min="3" max="3"/>
    <col width="12" customWidth="1" min="4" max="5"/>
  </cols>
  <sheetData>
    <row r="1">
      <c r="A1" s="25" t="inlineStr">
        <is>
          <t>Группа</t>
        </is>
      </c>
      <c r="B1" s="25" t="inlineStr">
        <is>
          <t>Категория</t>
        </is>
      </c>
      <c r="C1" s="25" t="inlineStr">
        <is>
          <t>Город</t>
        </is>
      </c>
      <c r="D1" s="26" t="inlineStr">
        <is>
          <t>2026-06-11</t>
        </is>
      </c>
      <c r="E1" s="26" t="inlineStr">
        <is>
          <t>2026-06-12</t>
        </is>
      </c>
    </row>
    <row r="2">
      <c r="A2" s="33" t="inlineStr">
        <is>
          <t>Покупка</t>
        </is>
      </c>
      <c r="B2" s="34" t="inlineStr">
        <is>
          <t>Квартиры</t>
        </is>
      </c>
      <c r="C2" s="33" t="inlineStr">
        <is>
          <t>🇷🇺 Вся Россия</t>
        </is>
      </c>
      <c r="D2" s="35" t="n">
        <v>724157</v>
      </c>
      <c r="E2" s="35" t="n">
        <v>720954</v>
      </c>
    </row>
    <row r="3">
      <c r="A3" s="21" t="inlineStr">
        <is>
          <t>Покупка</t>
        </is>
      </c>
      <c r="B3" s="21" t="inlineStr">
        <is>
          <t>Квартиры</t>
        </is>
      </c>
      <c r="C3" s="21" t="inlineStr">
        <is>
          <t>Москва</t>
        </is>
      </c>
      <c r="D3" s="22" t="n">
        <v>64176</v>
      </c>
      <c r="E3" s="21" t="n"/>
    </row>
    <row r="4">
      <c r="A4" s="21" t="inlineStr">
        <is>
          <t>Покупка</t>
        </is>
      </c>
      <c r="B4" s="21" t="inlineStr">
        <is>
          <t>Квартиры</t>
        </is>
      </c>
      <c r="C4" s="21" t="inlineStr">
        <is>
          <t>Санкт-Петербург</t>
        </is>
      </c>
      <c r="D4" s="22" t="n">
        <v>48234</v>
      </c>
      <c r="E4" s="21" t="n"/>
    </row>
    <row r="5">
      <c r="A5" s="21" t="inlineStr">
        <is>
          <t>Покупка</t>
        </is>
      </c>
      <c r="B5" s="21" t="inlineStr">
        <is>
          <t>Квартиры</t>
        </is>
      </c>
      <c r="C5" s="21" t="inlineStr">
        <is>
          <t>Новосибирск</t>
        </is>
      </c>
      <c r="D5" s="22" t="n">
        <v>23764</v>
      </c>
      <c r="E5" s="21" t="n"/>
    </row>
    <row r="6">
      <c r="A6" s="21" t="inlineStr">
        <is>
          <t>Покупка</t>
        </is>
      </c>
      <c r="B6" s="21" t="inlineStr">
        <is>
          <t>Квартиры</t>
        </is>
      </c>
      <c r="C6" s="21" t="inlineStr">
        <is>
          <t>Екатеринбург</t>
        </is>
      </c>
      <c r="D6" s="22" t="n">
        <v>35000</v>
      </c>
      <c r="E6" s="21" t="n"/>
    </row>
    <row r="7">
      <c r="A7" s="21" t="inlineStr">
        <is>
          <t>Покупка</t>
        </is>
      </c>
      <c r="B7" s="21" t="inlineStr">
        <is>
          <t>Квартиры</t>
        </is>
      </c>
      <c r="C7" s="21" t="inlineStr">
        <is>
          <t>Казань</t>
        </is>
      </c>
      <c r="D7" s="22" t="n">
        <v>14529</v>
      </c>
      <c r="E7" s="21" t="n"/>
    </row>
    <row r="8">
      <c r="A8" s="21" t="inlineStr">
        <is>
          <t>Покупка</t>
        </is>
      </c>
      <c r="B8" s="21" t="inlineStr">
        <is>
          <t>Квартиры</t>
        </is>
      </c>
      <c r="C8" s="21" t="inlineStr">
        <is>
          <t>Красноярск</t>
        </is>
      </c>
      <c r="D8" s="22" t="n">
        <v>14189</v>
      </c>
      <c r="E8" s="21" t="n"/>
    </row>
    <row r="9">
      <c r="A9" s="21" t="inlineStr">
        <is>
          <t>Покупка</t>
        </is>
      </c>
      <c r="B9" s="21" t="inlineStr">
        <is>
          <t>Квартиры</t>
        </is>
      </c>
      <c r="C9" s="21" t="inlineStr">
        <is>
          <t>Нижний Новгород</t>
        </is>
      </c>
      <c r="D9" s="22" t="n">
        <v>9212</v>
      </c>
      <c r="E9" s="21" t="n"/>
    </row>
    <row r="10">
      <c r="A10" s="21" t="inlineStr">
        <is>
          <t>Покупка</t>
        </is>
      </c>
      <c r="B10" s="21" t="inlineStr">
        <is>
          <t>Квартиры</t>
        </is>
      </c>
      <c r="C10" s="21" t="inlineStr">
        <is>
          <t>Челябинск</t>
        </is>
      </c>
      <c r="D10" s="22" t="n">
        <v>10811</v>
      </c>
      <c r="E10" s="21" t="n"/>
    </row>
    <row r="11">
      <c r="A11" s="21" t="inlineStr">
        <is>
          <t>Покупка</t>
        </is>
      </c>
      <c r="B11" s="21" t="inlineStr">
        <is>
          <t>Квартиры</t>
        </is>
      </c>
      <c r="C11" s="21" t="inlineStr">
        <is>
          <t>Уфа</t>
        </is>
      </c>
      <c r="D11" s="22" t="n">
        <v>22529</v>
      </c>
      <c r="E11" s="21" t="n"/>
    </row>
    <row r="12">
      <c r="A12" s="21" t="inlineStr">
        <is>
          <t>Покупка</t>
        </is>
      </c>
      <c r="B12" s="21" t="inlineStr">
        <is>
          <t>Квартиры</t>
        </is>
      </c>
      <c r="C12" s="21" t="inlineStr">
        <is>
          <t>Краснодар</t>
        </is>
      </c>
      <c r="D12" s="22" t="n">
        <v>48810</v>
      </c>
      <c r="E12" s="21" t="n"/>
    </row>
    <row r="13">
      <c r="A13" s="21" t="inlineStr">
        <is>
          <t>Покупка</t>
        </is>
      </c>
      <c r="B13" s="21" t="inlineStr">
        <is>
          <t>Квартиры</t>
        </is>
      </c>
      <c r="C13" s="21" t="inlineStr">
        <is>
          <t>Самара</t>
        </is>
      </c>
      <c r="D13" s="22" t="n">
        <v>10363</v>
      </c>
      <c r="E13" s="21" t="n"/>
    </row>
    <row r="14">
      <c r="A14" s="21" t="inlineStr">
        <is>
          <t>Покупка</t>
        </is>
      </c>
      <c r="B14" s="21" t="inlineStr">
        <is>
          <t>Квартиры</t>
        </is>
      </c>
      <c r="C14" s="21" t="inlineStr">
        <is>
          <t>Ростов-на-Дону</t>
        </is>
      </c>
      <c r="D14" s="22" t="n">
        <v>31328</v>
      </c>
      <c r="E14" s="21" t="n"/>
    </row>
    <row r="15">
      <c r="A15" s="21" t="inlineStr">
        <is>
          <t>Покупка</t>
        </is>
      </c>
      <c r="B15" s="21" t="inlineStr">
        <is>
          <t>Квартиры</t>
        </is>
      </c>
      <c r="C15" s="21" t="inlineStr">
        <is>
          <t>Омск</t>
        </is>
      </c>
      <c r="D15" s="22" t="n">
        <v>7617</v>
      </c>
      <c r="E15" s="21" t="n"/>
    </row>
    <row r="16">
      <c r="A16" s="21" t="inlineStr">
        <is>
          <t>Покупка</t>
        </is>
      </c>
      <c r="B16" s="21" t="inlineStr">
        <is>
          <t>Квартиры</t>
        </is>
      </c>
      <c r="C16" s="21" t="inlineStr">
        <is>
          <t>Воронеж</t>
        </is>
      </c>
      <c r="D16" s="22" t="n">
        <v>13250</v>
      </c>
      <c r="E16" s="21" t="n"/>
    </row>
    <row r="17">
      <c r="A17" s="21" t="inlineStr">
        <is>
          <t>Покупка</t>
        </is>
      </c>
      <c r="B17" s="21" t="inlineStr">
        <is>
          <t>Квартиры</t>
        </is>
      </c>
      <c r="C17" s="21" t="inlineStr">
        <is>
          <t>Пермь</t>
        </is>
      </c>
      <c r="D17" s="22" t="n">
        <v>11429</v>
      </c>
      <c r="E17" s="21" t="n"/>
    </row>
    <row r="18">
      <c r="A18" s="21" t="inlineStr">
        <is>
          <t>Покупка</t>
        </is>
      </c>
      <c r="B18" s="21" t="inlineStr">
        <is>
          <t>Квартиры</t>
        </is>
      </c>
      <c r="C18" s="21" t="inlineStr">
        <is>
          <t>Волгоград</t>
        </is>
      </c>
      <c r="D18" s="22" t="n">
        <v>8713</v>
      </c>
      <c r="E18" s="21" t="n"/>
    </row>
    <row r="19">
      <c r="A19" s="33" t="inlineStr">
        <is>
          <t>Покупка</t>
        </is>
      </c>
      <c r="B19" s="34" t="inlineStr">
        <is>
          <t>Квартиры вторичка</t>
        </is>
      </c>
      <c r="C19" s="33" t="inlineStr">
        <is>
          <t>🇷🇺 Вся Россия</t>
        </is>
      </c>
      <c r="D19" s="35" t="n">
        <v>261742</v>
      </c>
      <c r="E19" s="35" t="n">
        <v>258987</v>
      </c>
    </row>
    <row r="20">
      <c r="A20" s="21" t="inlineStr">
        <is>
          <t>Покупка</t>
        </is>
      </c>
      <c r="B20" s="21" t="inlineStr">
        <is>
          <t>Квартиры вторичка</t>
        </is>
      </c>
      <c r="C20" s="21" t="inlineStr">
        <is>
          <t>Москва</t>
        </is>
      </c>
      <c r="D20" s="22" t="n">
        <v>20462</v>
      </c>
      <c r="E20" s="21" t="n"/>
    </row>
    <row r="21">
      <c r="A21" s="21" t="inlineStr">
        <is>
          <t>Покупка</t>
        </is>
      </c>
      <c r="B21" s="21" t="inlineStr">
        <is>
          <t>Квартиры вторичка</t>
        </is>
      </c>
      <c r="C21" s="21" t="inlineStr">
        <is>
          <t>Санкт-Петербург</t>
        </is>
      </c>
      <c r="D21" s="22" t="n">
        <v>16593</v>
      </c>
      <c r="E21" s="21" t="n"/>
    </row>
    <row r="22">
      <c r="A22" s="21" t="inlineStr">
        <is>
          <t>Покупка</t>
        </is>
      </c>
      <c r="B22" s="21" t="inlineStr">
        <is>
          <t>Квартиры вторичка</t>
        </is>
      </c>
      <c r="C22" s="21" t="inlineStr">
        <is>
          <t>Новосибирск</t>
        </is>
      </c>
      <c r="D22" s="22" t="n">
        <v>8041</v>
      </c>
      <c r="E22" s="21" t="n"/>
    </row>
    <row r="23">
      <c r="A23" s="21" t="inlineStr">
        <is>
          <t>Покупка</t>
        </is>
      </c>
      <c r="B23" s="21" t="inlineStr">
        <is>
          <t>Квартиры вторичка</t>
        </is>
      </c>
      <c r="C23" s="21" t="inlineStr">
        <is>
          <t>Екатеринбург</t>
        </is>
      </c>
      <c r="D23" s="22" t="n">
        <v>6619</v>
      </c>
      <c r="E23" s="21" t="n"/>
    </row>
    <row r="24">
      <c r="A24" s="21" t="inlineStr">
        <is>
          <t>Покупка</t>
        </is>
      </c>
      <c r="B24" s="21" t="inlineStr">
        <is>
          <t>Квартиры вторичка</t>
        </is>
      </c>
      <c r="C24" s="21" t="inlineStr">
        <is>
          <t>Казань</t>
        </is>
      </c>
      <c r="D24" s="22" t="n">
        <v>3572</v>
      </c>
      <c r="E24" s="21" t="n"/>
    </row>
    <row r="25">
      <c r="A25" s="21" t="inlineStr">
        <is>
          <t>Покупка</t>
        </is>
      </c>
      <c r="B25" s="21" t="inlineStr">
        <is>
          <t>Квартиры вторичка</t>
        </is>
      </c>
      <c r="C25" s="21" t="inlineStr">
        <is>
          <t>Красноярск</t>
        </is>
      </c>
      <c r="D25" s="22" t="n">
        <v>5153</v>
      </c>
      <c r="E25" s="21" t="n"/>
    </row>
    <row r="26">
      <c r="A26" s="21" t="inlineStr">
        <is>
          <t>Покупка</t>
        </is>
      </c>
      <c r="B26" s="21" t="inlineStr">
        <is>
          <t>Квартиры вторичка</t>
        </is>
      </c>
      <c r="C26" s="21" t="inlineStr">
        <is>
          <t>Нижний Новгород</t>
        </is>
      </c>
      <c r="D26" s="22" t="n">
        <v>3773</v>
      </c>
      <c r="E26" s="21" t="n"/>
    </row>
    <row r="27">
      <c r="A27" s="21" t="inlineStr">
        <is>
          <t>Покупка</t>
        </is>
      </c>
      <c r="B27" s="21" t="inlineStr">
        <is>
          <t>Квартиры вторичка</t>
        </is>
      </c>
      <c r="C27" s="21" t="inlineStr">
        <is>
          <t>Челябинск</t>
        </is>
      </c>
      <c r="D27" s="22" t="n">
        <v>3897</v>
      </c>
      <c r="E27" s="21" t="n"/>
    </row>
    <row r="28">
      <c r="A28" s="21" t="inlineStr">
        <is>
          <t>Покупка</t>
        </is>
      </c>
      <c r="B28" s="21" t="inlineStr">
        <is>
          <t>Квартиры вторичка</t>
        </is>
      </c>
      <c r="C28" s="21" t="inlineStr">
        <is>
          <t>Уфа</t>
        </is>
      </c>
      <c r="D28" s="22" t="n">
        <v>4582</v>
      </c>
      <c r="E28" s="21" t="n"/>
    </row>
    <row r="29">
      <c r="A29" s="21" t="inlineStr">
        <is>
          <t>Покупка</t>
        </is>
      </c>
      <c r="B29" s="21" t="inlineStr">
        <is>
          <t>Квартиры вторичка</t>
        </is>
      </c>
      <c r="C29" s="21" t="inlineStr">
        <is>
          <t>Краснодар</t>
        </is>
      </c>
      <c r="D29" s="22" t="n">
        <v>14192</v>
      </c>
      <c r="E29" s="21" t="n"/>
    </row>
    <row r="30">
      <c r="A30" s="21" t="inlineStr">
        <is>
          <t>Покупка</t>
        </is>
      </c>
      <c r="B30" s="21" t="inlineStr">
        <is>
          <t>Квартиры вторичка</t>
        </is>
      </c>
      <c r="C30" s="21" t="inlineStr">
        <is>
          <t>Самара</t>
        </is>
      </c>
      <c r="D30" s="22" t="n">
        <v>3440</v>
      </c>
      <c r="E30" s="21" t="n"/>
    </row>
    <row r="31">
      <c r="A31" s="21" t="inlineStr">
        <is>
          <t>Покупка</t>
        </is>
      </c>
      <c r="B31" s="21" t="inlineStr">
        <is>
          <t>Квартиры вторичка</t>
        </is>
      </c>
      <c r="C31" s="21" t="inlineStr">
        <is>
          <t>Ростов-на-Дону</t>
        </is>
      </c>
      <c r="D31" s="22" t="n">
        <v>9162</v>
      </c>
      <c r="E31" s="21" t="n"/>
    </row>
    <row r="32">
      <c r="A32" s="21" t="inlineStr">
        <is>
          <t>Покупка</t>
        </is>
      </c>
      <c r="B32" s="21" t="inlineStr">
        <is>
          <t>Квартиры вторичка</t>
        </is>
      </c>
      <c r="C32" s="21" t="inlineStr">
        <is>
          <t>Омск</t>
        </is>
      </c>
      <c r="D32" s="22" t="n">
        <v>5503</v>
      </c>
      <c r="E32" s="21" t="n"/>
    </row>
    <row r="33">
      <c r="A33" s="21" t="inlineStr">
        <is>
          <t>Покупка</t>
        </is>
      </c>
      <c r="B33" s="21" t="inlineStr">
        <is>
          <t>Квартиры вторичка</t>
        </is>
      </c>
      <c r="C33" s="21" t="inlineStr">
        <is>
          <t>Воронеж</t>
        </is>
      </c>
      <c r="D33" s="22" t="n">
        <v>4697</v>
      </c>
      <c r="E33" s="21" t="n"/>
    </row>
    <row r="34">
      <c r="A34" s="21" t="inlineStr">
        <is>
          <t>Покупка</t>
        </is>
      </c>
      <c r="B34" s="21" t="inlineStr">
        <is>
          <t>Квартиры вторичка</t>
        </is>
      </c>
      <c r="C34" s="21" t="inlineStr">
        <is>
          <t>Пермь</t>
        </is>
      </c>
      <c r="D34" s="22" t="n">
        <v>2132</v>
      </c>
      <c r="E34" s="21" t="n"/>
    </row>
    <row r="35">
      <c r="A35" s="21" t="inlineStr">
        <is>
          <t>Покупка</t>
        </is>
      </c>
      <c r="B35" s="21" t="inlineStr">
        <is>
          <t>Квартиры вторичка</t>
        </is>
      </c>
      <c r="C35" s="21" t="inlineStr">
        <is>
          <t>Волгоград</t>
        </is>
      </c>
      <c r="D35" s="22" t="n">
        <v>4113</v>
      </c>
      <c r="E35" s="21" t="n"/>
    </row>
    <row r="36">
      <c r="A36" s="33" t="inlineStr">
        <is>
          <t>Покупка</t>
        </is>
      </c>
      <c r="B36" s="34" t="inlineStr">
        <is>
          <t>Квартиры новостройки</t>
        </is>
      </c>
      <c r="C36" s="33" t="inlineStr">
        <is>
          <t>🇷🇺 Вся Россия</t>
        </is>
      </c>
      <c r="D36" s="35" t="n">
        <v>462416</v>
      </c>
      <c r="E36" s="35" t="n">
        <v>462371</v>
      </c>
    </row>
    <row r="37">
      <c r="A37" s="21" t="inlineStr">
        <is>
          <t>Покупка</t>
        </is>
      </c>
      <c r="B37" s="21" t="inlineStr">
        <is>
          <t>Квартиры новостройки</t>
        </is>
      </c>
      <c r="C37" s="21" t="inlineStr">
        <is>
          <t>Москва</t>
        </is>
      </c>
      <c r="D37" s="22" t="n">
        <v>43714</v>
      </c>
      <c r="E37" s="21" t="n"/>
    </row>
    <row r="38">
      <c r="A38" s="21" t="inlineStr">
        <is>
          <t>Покупка</t>
        </is>
      </c>
      <c r="B38" s="21" t="inlineStr">
        <is>
          <t>Квартиры новостройки</t>
        </is>
      </c>
      <c r="C38" s="21" t="inlineStr">
        <is>
          <t>Санкт-Петербург</t>
        </is>
      </c>
      <c r="D38" s="22" t="n">
        <v>31641</v>
      </c>
      <c r="E38" s="21" t="n"/>
    </row>
    <row r="39">
      <c r="A39" s="21" t="inlineStr">
        <is>
          <t>Покупка</t>
        </is>
      </c>
      <c r="B39" s="21" t="inlineStr">
        <is>
          <t>Квартиры новостройки</t>
        </is>
      </c>
      <c r="C39" s="21" t="inlineStr">
        <is>
          <t>Новосибирск</t>
        </is>
      </c>
      <c r="D39" s="22" t="n">
        <v>15723</v>
      </c>
      <c r="E39" s="21" t="n"/>
    </row>
    <row r="40">
      <c r="A40" s="21" t="inlineStr">
        <is>
          <t>Покупка</t>
        </is>
      </c>
      <c r="B40" s="21" t="inlineStr">
        <is>
          <t>Квартиры новостройки</t>
        </is>
      </c>
      <c r="C40" s="21" t="inlineStr">
        <is>
          <t>Екатеринбург</t>
        </is>
      </c>
      <c r="D40" s="22" t="n">
        <v>28381</v>
      </c>
      <c r="E40" s="21" t="n"/>
    </row>
    <row r="41">
      <c r="A41" s="21" t="inlineStr">
        <is>
          <t>Покупка</t>
        </is>
      </c>
      <c r="B41" s="21" t="inlineStr">
        <is>
          <t>Квартиры новостройки</t>
        </is>
      </c>
      <c r="C41" s="21" t="inlineStr">
        <is>
          <t>Казань</t>
        </is>
      </c>
      <c r="D41" s="22" t="n">
        <v>10957</v>
      </c>
      <c r="E41" s="21" t="n"/>
    </row>
    <row r="42">
      <c r="A42" s="21" t="inlineStr">
        <is>
          <t>Покупка</t>
        </is>
      </c>
      <c r="B42" s="21" t="inlineStr">
        <is>
          <t>Квартиры новостройки</t>
        </is>
      </c>
      <c r="C42" s="21" t="inlineStr">
        <is>
          <t>Красноярск</t>
        </is>
      </c>
      <c r="D42" s="22" t="n">
        <v>9036</v>
      </c>
      <c r="E42" s="21" t="n"/>
    </row>
    <row r="43">
      <c r="A43" s="21" t="inlineStr">
        <is>
          <t>Покупка</t>
        </is>
      </c>
      <c r="B43" s="21" t="inlineStr">
        <is>
          <t>Квартиры новостройки</t>
        </is>
      </c>
      <c r="C43" s="21" t="inlineStr">
        <is>
          <t>Нижний Новгород</t>
        </is>
      </c>
      <c r="D43" s="22" t="n">
        <v>5439</v>
      </c>
      <c r="E43" s="21" t="n"/>
    </row>
    <row r="44">
      <c r="A44" s="21" t="inlineStr">
        <is>
          <t>Покупка</t>
        </is>
      </c>
      <c r="B44" s="21" t="inlineStr">
        <is>
          <t>Квартиры новостройки</t>
        </is>
      </c>
      <c r="C44" s="21" t="inlineStr">
        <is>
          <t>Челябинск</t>
        </is>
      </c>
      <c r="D44" s="22" t="n">
        <v>6914</v>
      </c>
      <c r="E44" s="21" t="n"/>
    </row>
    <row r="45">
      <c r="A45" s="21" t="inlineStr">
        <is>
          <t>Покупка</t>
        </is>
      </c>
      <c r="B45" s="21" t="inlineStr">
        <is>
          <t>Квартиры новостройки</t>
        </is>
      </c>
      <c r="C45" s="21" t="inlineStr">
        <is>
          <t>Уфа</t>
        </is>
      </c>
      <c r="D45" s="22" t="n">
        <v>17947</v>
      </c>
      <c r="E45" s="21" t="n"/>
    </row>
    <row r="46">
      <c r="A46" s="21" t="inlineStr">
        <is>
          <t>Покупка</t>
        </is>
      </c>
      <c r="B46" s="21" t="inlineStr">
        <is>
          <t>Квартиры новостройки</t>
        </is>
      </c>
      <c r="C46" s="21" t="inlineStr">
        <is>
          <t>Краснодар</t>
        </is>
      </c>
      <c r="D46" s="22" t="n">
        <v>34618</v>
      </c>
      <c r="E46" s="21" t="n"/>
    </row>
    <row r="47">
      <c r="A47" s="21" t="inlineStr">
        <is>
          <t>Покупка</t>
        </is>
      </c>
      <c r="B47" s="21" t="inlineStr">
        <is>
          <t>Квартиры новостройки</t>
        </is>
      </c>
      <c r="C47" s="21" t="inlineStr">
        <is>
          <t>Самара</t>
        </is>
      </c>
      <c r="D47" s="22" t="n">
        <v>6923</v>
      </c>
      <c r="E47" s="21" t="n"/>
    </row>
    <row r="48">
      <c r="A48" s="21" t="inlineStr">
        <is>
          <t>Покупка</t>
        </is>
      </c>
      <c r="B48" s="21" t="inlineStr">
        <is>
          <t>Квартиры новостройки</t>
        </is>
      </c>
      <c r="C48" s="21" t="inlineStr">
        <is>
          <t>Ростов-на-Дону</t>
        </is>
      </c>
      <c r="D48" s="22" t="n">
        <v>22166</v>
      </c>
      <c r="E48" s="21" t="n"/>
    </row>
    <row r="49">
      <c r="A49" s="21" t="inlineStr">
        <is>
          <t>Покупка</t>
        </is>
      </c>
      <c r="B49" s="21" t="inlineStr">
        <is>
          <t>Квартиры новостройки</t>
        </is>
      </c>
      <c r="C49" s="21" t="inlineStr">
        <is>
          <t>Омск</t>
        </is>
      </c>
      <c r="D49" s="22" t="n">
        <v>2114</v>
      </c>
      <c r="E49" s="21" t="n"/>
    </row>
    <row r="50">
      <c r="A50" s="21" t="inlineStr">
        <is>
          <t>Покупка</t>
        </is>
      </c>
      <c r="B50" s="21" t="inlineStr">
        <is>
          <t>Квартиры новостройки</t>
        </is>
      </c>
      <c r="C50" s="21" t="inlineStr">
        <is>
          <t>Воронеж</t>
        </is>
      </c>
      <c r="D50" s="22" t="n">
        <v>8553</v>
      </c>
      <c r="E50" s="21" t="n"/>
    </row>
    <row r="51">
      <c r="A51" s="21" t="inlineStr">
        <is>
          <t>Покупка</t>
        </is>
      </c>
      <c r="B51" s="21" t="inlineStr">
        <is>
          <t>Квартиры новостройки</t>
        </is>
      </c>
      <c r="C51" s="21" t="inlineStr">
        <is>
          <t>Пермь</t>
        </is>
      </c>
      <c r="D51" s="22" t="n">
        <v>9297</v>
      </c>
      <c r="E51" s="21" t="n"/>
    </row>
    <row r="52">
      <c r="A52" s="21" t="inlineStr">
        <is>
          <t>Покупка</t>
        </is>
      </c>
      <c r="B52" s="21" t="inlineStr">
        <is>
          <t>Квартиры новостройки</t>
        </is>
      </c>
      <c r="C52" s="21" t="inlineStr">
        <is>
          <t>Волгоград</t>
        </is>
      </c>
      <c r="D52" s="22" t="n">
        <v>4600</v>
      </c>
      <c r="E52" s="21" t="n"/>
    </row>
    <row r="53">
      <c r="A53" s="33" t="inlineStr">
        <is>
          <t>Покупка</t>
        </is>
      </c>
      <c r="B53" s="34" t="inlineStr">
        <is>
          <t>Комнаты</t>
        </is>
      </c>
      <c r="C53" s="33" t="inlineStr">
        <is>
          <t>🇷🇺 Вся Россия</t>
        </is>
      </c>
      <c r="D53" s="35" t="n">
        <v>11955</v>
      </c>
      <c r="E53" s="35" t="n">
        <v>11833</v>
      </c>
    </row>
    <row r="54">
      <c r="A54" s="21" t="inlineStr">
        <is>
          <t>Покупка</t>
        </is>
      </c>
      <c r="B54" s="21" t="inlineStr">
        <is>
          <t>Комнаты</t>
        </is>
      </c>
      <c r="C54" s="21" t="inlineStr">
        <is>
          <t>Москва</t>
        </is>
      </c>
      <c r="D54" s="22" t="n">
        <v>537</v>
      </c>
      <c r="E54" s="21" t="n"/>
    </row>
    <row r="55">
      <c r="A55" s="21" t="inlineStr">
        <is>
          <t>Покупка</t>
        </is>
      </c>
      <c r="B55" s="21" t="inlineStr">
        <is>
          <t>Комнаты</t>
        </is>
      </c>
      <c r="C55" s="21" t="inlineStr">
        <is>
          <t>Санкт-Петербург</t>
        </is>
      </c>
      <c r="D55" s="22" t="n">
        <v>1736</v>
      </c>
      <c r="E55" s="21" t="n"/>
    </row>
    <row r="56">
      <c r="A56" s="21" t="inlineStr">
        <is>
          <t>Покупка</t>
        </is>
      </c>
      <c r="B56" s="21" t="inlineStr">
        <is>
          <t>Комнаты</t>
        </is>
      </c>
      <c r="C56" s="21" t="inlineStr">
        <is>
          <t>Новосибирск</t>
        </is>
      </c>
      <c r="D56" s="22" t="n">
        <v>419</v>
      </c>
      <c r="E56" s="21" t="n"/>
    </row>
    <row r="57">
      <c r="A57" s="21" t="inlineStr">
        <is>
          <t>Покупка</t>
        </is>
      </c>
      <c r="B57" s="21" t="inlineStr">
        <is>
          <t>Комнаты</t>
        </is>
      </c>
      <c r="C57" s="21" t="inlineStr">
        <is>
          <t>Екатеринбург</t>
        </is>
      </c>
      <c r="D57" s="22" t="n">
        <v>486</v>
      </c>
      <c r="E57" s="21" t="n"/>
    </row>
    <row r="58">
      <c r="A58" s="21" t="inlineStr">
        <is>
          <t>Покупка</t>
        </is>
      </c>
      <c r="B58" s="21" t="inlineStr">
        <is>
          <t>Комнаты</t>
        </is>
      </c>
      <c r="C58" s="21" t="inlineStr">
        <is>
          <t>Казань</t>
        </is>
      </c>
      <c r="D58" s="22" t="n">
        <v>174</v>
      </c>
      <c r="E58" s="21" t="n"/>
    </row>
    <row r="59">
      <c r="A59" s="21" t="inlineStr">
        <is>
          <t>Покупка</t>
        </is>
      </c>
      <c r="B59" s="21" t="inlineStr">
        <is>
          <t>Комнаты</t>
        </is>
      </c>
      <c r="C59" s="21" t="inlineStr">
        <is>
          <t>Красноярск</t>
        </is>
      </c>
      <c r="D59" s="22" t="n">
        <v>260</v>
      </c>
      <c r="E59" s="21" t="n"/>
    </row>
    <row r="60">
      <c r="A60" s="21" t="inlineStr">
        <is>
          <t>Покупка</t>
        </is>
      </c>
      <c r="B60" s="21" t="inlineStr">
        <is>
          <t>Комнаты</t>
        </is>
      </c>
      <c r="C60" s="21" t="inlineStr">
        <is>
          <t>Нижний Новгород</t>
        </is>
      </c>
      <c r="D60" s="22" t="n">
        <v>254</v>
      </c>
      <c r="E60" s="21" t="n"/>
    </row>
    <row r="61">
      <c r="A61" s="21" t="inlineStr">
        <is>
          <t>Покупка</t>
        </is>
      </c>
      <c r="B61" s="21" t="inlineStr">
        <is>
          <t>Комнаты</t>
        </is>
      </c>
      <c r="C61" s="21" t="inlineStr">
        <is>
          <t>Челябинск</t>
        </is>
      </c>
      <c r="D61" s="22" t="n">
        <v>91</v>
      </c>
      <c r="E61" s="21" t="n"/>
    </row>
    <row r="62">
      <c r="A62" s="21" t="inlineStr">
        <is>
          <t>Покупка</t>
        </is>
      </c>
      <c r="B62" s="21" t="inlineStr">
        <is>
          <t>Комнаты</t>
        </is>
      </c>
      <c r="C62" s="21" t="inlineStr">
        <is>
          <t>Уфа</t>
        </is>
      </c>
      <c r="D62" s="22" t="n">
        <v>287</v>
      </c>
      <c r="E62" s="21" t="n"/>
    </row>
    <row r="63">
      <c r="A63" s="21" t="inlineStr">
        <is>
          <t>Покупка</t>
        </is>
      </c>
      <c r="B63" s="21" t="inlineStr">
        <is>
          <t>Комнаты</t>
        </is>
      </c>
      <c r="C63" s="21" t="inlineStr">
        <is>
          <t>Краснодар</t>
        </is>
      </c>
      <c r="D63" s="22" t="n">
        <v>130</v>
      </c>
      <c r="E63" s="21" t="n"/>
    </row>
    <row r="64">
      <c r="A64" s="21" t="inlineStr">
        <is>
          <t>Покупка</t>
        </is>
      </c>
      <c r="B64" s="21" t="inlineStr">
        <is>
          <t>Комнаты</t>
        </is>
      </c>
      <c r="C64" s="21" t="inlineStr">
        <is>
          <t>Самара</t>
        </is>
      </c>
      <c r="D64" s="22" t="n">
        <v>118</v>
      </c>
      <c r="E64" s="21" t="n"/>
    </row>
    <row r="65">
      <c r="A65" s="21" t="inlineStr">
        <is>
          <t>Покупка</t>
        </is>
      </c>
      <c r="B65" s="21" t="inlineStr">
        <is>
          <t>Комнаты</t>
        </is>
      </c>
      <c r="C65" s="21" t="inlineStr">
        <is>
          <t>Ростов-на-Дону</t>
        </is>
      </c>
      <c r="D65" s="22" t="n">
        <v>165</v>
      </c>
      <c r="E65" s="21" t="n"/>
    </row>
    <row r="66">
      <c r="A66" s="21" t="inlineStr">
        <is>
          <t>Покупка</t>
        </is>
      </c>
      <c r="B66" s="21" t="inlineStr">
        <is>
          <t>Комнаты</t>
        </is>
      </c>
      <c r="C66" s="21" t="inlineStr">
        <is>
          <t>Омск</t>
        </is>
      </c>
      <c r="D66" s="22" t="n">
        <v>280</v>
      </c>
      <c r="E66" s="21" t="n"/>
    </row>
    <row r="67">
      <c r="A67" s="21" t="inlineStr">
        <is>
          <t>Покупка</t>
        </is>
      </c>
      <c r="B67" s="21" t="inlineStr">
        <is>
          <t>Комнаты</t>
        </is>
      </c>
      <c r="C67" s="21" t="inlineStr">
        <is>
          <t>Воронеж</t>
        </is>
      </c>
      <c r="D67" s="22" t="n">
        <v>223</v>
      </c>
      <c r="E67" s="21" t="n"/>
    </row>
    <row r="68">
      <c r="A68" s="21" t="inlineStr">
        <is>
          <t>Покупка</t>
        </is>
      </c>
      <c r="B68" s="21" t="inlineStr">
        <is>
          <t>Комнаты</t>
        </is>
      </c>
      <c r="C68" s="21" t="inlineStr">
        <is>
          <t>Пермь</t>
        </is>
      </c>
      <c r="D68" s="22" t="n">
        <v>211</v>
      </c>
      <c r="E68" s="21" t="n"/>
    </row>
    <row r="69">
      <c r="A69" s="21" t="inlineStr">
        <is>
          <t>Покупка</t>
        </is>
      </c>
      <c r="B69" s="21" t="inlineStr">
        <is>
          <t>Комнаты</t>
        </is>
      </c>
      <c r="C69" s="21" t="inlineStr">
        <is>
          <t>Волгоград</t>
        </is>
      </c>
      <c r="D69" s="22" t="n">
        <v>299</v>
      </c>
      <c r="E69" s="21" t="n"/>
    </row>
    <row r="70">
      <c r="A70" s="33" t="inlineStr">
        <is>
          <t>Покупка</t>
        </is>
      </c>
      <c r="B70" s="34" t="inlineStr">
        <is>
          <t>Дом</t>
        </is>
      </c>
      <c r="C70" s="33" t="inlineStr">
        <is>
          <t>🇷🇺 Вся Россия</t>
        </is>
      </c>
      <c r="D70" s="35" t="n">
        <v>107418</v>
      </c>
      <c r="E70" s="35" t="n">
        <v>107247</v>
      </c>
    </row>
    <row r="71">
      <c r="A71" s="21" t="inlineStr">
        <is>
          <t>Покупка</t>
        </is>
      </c>
      <c r="B71" s="21" t="inlineStr">
        <is>
          <t>Дом</t>
        </is>
      </c>
      <c r="C71" s="21" t="inlineStr">
        <is>
          <t>Москва</t>
        </is>
      </c>
      <c r="D71" s="22" t="n">
        <v>1933</v>
      </c>
      <c r="E71" s="21" t="n"/>
    </row>
    <row r="72">
      <c r="A72" s="21" t="inlineStr">
        <is>
          <t>Покупка</t>
        </is>
      </c>
      <c r="B72" s="21" t="inlineStr">
        <is>
          <t>Дом</t>
        </is>
      </c>
      <c r="C72" s="21" t="inlineStr">
        <is>
          <t>Санкт-Петербург</t>
        </is>
      </c>
      <c r="D72" s="22" t="n">
        <v>940</v>
      </c>
      <c r="E72" s="21" t="n"/>
    </row>
    <row r="73">
      <c r="A73" s="21" t="inlineStr">
        <is>
          <t>Покупка</t>
        </is>
      </c>
      <c r="B73" s="21" t="inlineStr">
        <is>
          <t>Дом</t>
        </is>
      </c>
      <c r="C73" s="21" t="inlineStr">
        <is>
          <t>Новосибирск</t>
        </is>
      </c>
      <c r="D73" s="22" t="n">
        <v>2237</v>
      </c>
      <c r="E73" s="21" t="n"/>
    </row>
    <row r="74">
      <c r="A74" s="21" t="inlineStr">
        <is>
          <t>Покупка</t>
        </is>
      </c>
      <c r="B74" s="21" t="inlineStr">
        <is>
          <t>Дом</t>
        </is>
      </c>
      <c r="C74" s="21" t="inlineStr">
        <is>
          <t>Екатеринбург</t>
        </is>
      </c>
      <c r="D74" s="22" t="n">
        <v>1598</v>
      </c>
      <c r="E74" s="21" t="n"/>
    </row>
    <row r="75">
      <c r="A75" s="21" t="inlineStr">
        <is>
          <t>Покупка</t>
        </is>
      </c>
      <c r="B75" s="21" t="inlineStr">
        <is>
          <t>Дом</t>
        </is>
      </c>
      <c r="C75" s="21" t="inlineStr">
        <is>
          <t>Казань</t>
        </is>
      </c>
      <c r="D75" s="22" t="n">
        <v>1794</v>
      </c>
      <c r="E75" s="21" t="n"/>
    </row>
    <row r="76">
      <c r="A76" s="21" t="inlineStr">
        <is>
          <t>Покупка</t>
        </is>
      </c>
      <c r="B76" s="21" t="inlineStr">
        <is>
          <t>Дом</t>
        </is>
      </c>
      <c r="C76" s="21" t="inlineStr">
        <is>
          <t>Красноярск</t>
        </is>
      </c>
      <c r="D76" s="22" t="n">
        <v>1324</v>
      </c>
      <c r="E76" s="21" t="n"/>
    </row>
    <row r="77">
      <c r="A77" s="21" t="inlineStr">
        <is>
          <t>Покупка</t>
        </is>
      </c>
      <c r="B77" s="21" t="inlineStr">
        <is>
          <t>Дом</t>
        </is>
      </c>
      <c r="C77" s="21" t="inlineStr">
        <is>
          <t>Нижний Новгород</t>
        </is>
      </c>
      <c r="D77" s="22" t="n">
        <v>837</v>
      </c>
      <c r="E77" s="21" t="n"/>
    </row>
    <row r="78">
      <c r="A78" s="21" t="inlineStr">
        <is>
          <t>Покупка</t>
        </is>
      </c>
      <c r="B78" s="21" t="inlineStr">
        <is>
          <t>Дом</t>
        </is>
      </c>
      <c r="C78" s="21" t="inlineStr">
        <is>
          <t>Челябинск</t>
        </is>
      </c>
      <c r="D78" s="22" t="n">
        <v>907</v>
      </c>
      <c r="E78" s="21" t="n"/>
    </row>
    <row r="79">
      <c r="A79" s="21" t="inlineStr">
        <is>
          <t>Покупка</t>
        </is>
      </c>
      <c r="B79" s="21" t="inlineStr">
        <is>
          <t>Дом</t>
        </is>
      </c>
      <c r="C79" s="21" t="inlineStr">
        <is>
          <t>Уфа</t>
        </is>
      </c>
      <c r="D79" s="22" t="n">
        <v>3525</v>
      </c>
      <c r="E79" s="21" t="n"/>
    </row>
    <row r="80">
      <c r="A80" s="21" t="inlineStr">
        <is>
          <t>Покупка</t>
        </is>
      </c>
      <c r="B80" s="21" t="inlineStr">
        <is>
          <t>Дом</t>
        </is>
      </c>
      <c r="C80" s="21" t="inlineStr">
        <is>
          <t>Краснодар</t>
        </is>
      </c>
      <c r="D80" s="22" t="n">
        <v>14780</v>
      </c>
      <c r="E80" s="21" t="n"/>
    </row>
    <row r="81">
      <c r="A81" s="21" t="inlineStr">
        <is>
          <t>Покупка</t>
        </is>
      </c>
      <c r="B81" s="21" t="inlineStr">
        <is>
          <t>Дом</t>
        </is>
      </c>
      <c r="C81" s="21" t="inlineStr">
        <is>
          <t>Самара</t>
        </is>
      </c>
      <c r="D81" s="22" t="n">
        <v>861</v>
      </c>
      <c r="E81" s="21" t="n"/>
    </row>
    <row r="82">
      <c r="A82" s="21" t="inlineStr">
        <is>
          <t>Покупка</t>
        </is>
      </c>
      <c r="B82" s="21" t="inlineStr">
        <is>
          <t>Дом</t>
        </is>
      </c>
      <c r="C82" s="21" t="inlineStr">
        <is>
          <t>Ростов-на-Дону</t>
        </is>
      </c>
      <c r="D82" s="22" t="n">
        <v>6213</v>
      </c>
      <c r="E82" s="21" t="n"/>
    </row>
    <row r="83">
      <c r="A83" s="21" t="inlineStr">
        <is>
          <t>Покупка</t>
        </is>
      </c>
      <c r="B83" s="21" t="inlineStr">
        <is>
          <t>Дом</t>
        </is>
      </c>
      <c r="C83" s="21" t="inlineStr">
        <is>
          <t>Омск</t>
        </is>
      </c>
      <c r="D83" s="22" t="n">
        <v>2170</v>
      </c>
      <c r="E83" s="21" t="n"/>
    </row>
    <row r="84">
      <c r="A84" s="21" t="inlineStr">
        <is>
          <t>Покупка</t>
        </is>
      </c>
      <c r="B84" s="21" t="inlineStr">
        <is>
          <t>Дом</t>
        </is>
      </c>
      <c r="C84" s="21" t="inlineStr">
        <is>
          <t>Воронеж</t>
        </is>
      </c>
      <c r="D84" s="22" t="n">
        <v>753</v>
      </c>
      <c r="E84" s="21" t="n"/>
    </row>
    <row r="85">
      <c r="A85" s="21" t="inlineStr">
        <is>
          <t>Покупка</t>
        </is>
      </c>
      <c r="B85" s="21" t="inlineStr">
        <is>
          <t>Дом</t>
        </is>
      </c>
      <c r="C85" s="21" t="inlineStr">
        <is>
          <t>Пермь</t>
        </is>
      </c>
      <c r="D85" s="22" t="n">
        <v>539</v>
      </c>
      <c r="E85" s="21" t="n"/>
    </row>
    <row r="86">
      <c r="A86" s="21" t="inlineStr">
        <is>
          <t>Покупка</t>
        </is>
      </c>
      <c r="B86" s="21" t="inlineStr">
        <is>
          <t>Дом</t>
        </is>
      </c>
      <c r="C86" s="21" t="inlineStr">
        <is>
          <t>Волгоград</t>
        </is>
      </c>
      <c r="D86" s="22" t="n">
        <v>1675</v>
      </c>
      <c r="E86" s="21" t="n"/>
    </row>
    <row r="87">
      <c r="A87" s="33" t="inlineStr">
        <is>
          <t>Покупка</t>
        </is>
      </c>
      <c r="B87" s="34" t="inlineStr">
        <is>
          <t>Дача</t>
        </is>
      </c>
      <c r="C87" s="33" t="inlineStr">
        <is>
          <t>🇷🇺 Вся Россия</t>
        </is>
      </c>
      <c r="D87" s="35" t="n">
        <v>105220</v>
      </c>
      <c r="E87" s="35" t="n">
        <v>105063</v>
      </c>
    </row>
    <row r="88">
      <c r="A88" s="21" t="inlineStr">
        <is>
          <t>Покупка</t>
        </is>
      </c>
      <c r="B88" s="21" t="inlineStr">
        <is>
          <t>Дача</t>
        </is>
      </c>
      <c r="C88" s="21" t="inlineStr">
        <is>
          <t>Москва</t>
        </is>
      </c>
      <c r="D88" s="22" t="n">
        <v>1843</v>
      </c>
      <c r="E88" s="21" t="n"/>
    </row>
    <row r="89">
      <c r="A89" s="21" t="inlineStr">
        <is>
          <t>Покупка</t>
        </is>
      </c>
      <c r="B89" s="21" t="inlineStr">
        <is>
          <t>Дача</t>
        </is>
      </c>
      <c r="C89" s="21" t="inlineStr">
        <is>
          <t>Санкт-Петербург</t>
        </is>
      </c>
      <c r="D89" s="22" t="n">
        <v>917</v>
      </c>
      <c r="E89" s="21" t="n"/>
    </row>
    <row r="90">
      <c r="A90" s="21" t="inlineStr">
        <is>
          <t>Покупка</t>
        </is>
      </c>
      <c r="B90" s="21" t="inlineStr">
        <is>
          <t>Дача</t>
        </is>
      </c>
      <c r="C90" s="21" t="inlineStr">
        <is>
          <t>Новосибирск</t>
        </is>
      </c>
      <c r="D90" s="22" t="n">
        <v>2210</v>
      </c>
      <c r="E90" s="21" t="n"/>
    </row>
    <row r="91">
      <c r="A91" s="21" t="inlineStr">
        <is>
          <t>Покупка</t>
        </is>
      </c>
      <c r="B91" s="21" t="inlineStr">
        <is>
          <t>Дача</t>
        </is>
      </c>
      <c r="C91" s="21" t="inlineStr">
        <is>
          <t>Екатеринбург</t>
        </is>
      </c>
      <c r="D91" s="22" t="n">
        <v>1582</v>
      </c>
      <c r="E91" s="21" t="n"/>
    </row>
    <row r="92">
      <c r="A92" s="21" t="inlineStr">
        <is>
          <t>Покупка</t>
        </is>
      </c>
      <c r="B92" s="21" t="inlineStr">
        <is>
          <t>Дача</t>
        </is>
      </c>
      <c r="C92" s="21" t="inlineStr">
        <is>
          <t>Казань</t>
        </is>
      </c>
      <c r="D92" s="22" t="n">
        <v>1781</v>
      </c>
      <c r="E92" s="21" t="n"/>
    </row>
    <row r="93">
      <c r="A93" s="21" t="inlineStr">
        <is>
          <t>Покупка</t>
        </is>
      </c>
      <c r="B93" s="21" t="inlineStr">
        <is>
          <t>Дача</t>
        </is>
      </c>
      <c r="C93" s="21" t="inlineStr">
        <is>
          <t>Красноярск</t>
        </is>
      </c>
      <c r="D93" s="22" t="n">
        <v>1293</v>
      </c>
      <c r="E93" s="21" t="n"/>
    </row>
    <row r="94">
      <c r="A94" s="21" t="inlineStr">
        <is>
          <t>Покупка</t>
        </is>
      </c>
      <c r="B94" s="21" t="inlineStr">
        <is>
          <t>Дача</t>
        </is>
      </c>
      <c r="C94" s="21" t="inlineStr">
        <is>
          <t>Нижний Новгород</t>
        </is>
      </c>
      <c r="D94" s="22" t="n">
        <v>824</v>
      </c>
      <c r="E94" s="21" t="n"/>
    </row>
    <row r="95">
      <c r="A95" s="21" t="inlineStr">
        <is>
          <t>Покупка</t>
        </is>
      </c>
      <c r="B95" s="21" t="inlineStr">
        <is>
          <t>Дача</t>
        </is>
      </c>
      <c r="C95" s="21" t="inlineStr">
        <is>
          <t>Челябинск</t>
        </is>
      </c>
      <c r="D95" s="22" t="n">
        <v>896</v>
      </c>
      <c r="E95" s="21" t="n"/>
    </row>
    <row r="96">
      <c r="A96" s="21" t="inlineStr">
        <is>
          <t>Покупка</t>
        </is>
      </c>
      <c r="B96" s="21" t="inlineStr">
        <is>
          <t>Дача</t>
        </is>
      </c>
      <c r="C96" s="21" t="inlineStr">
        <is>
          <t>Уфа</t>
        </is>
      </c>
      <c r="D96" s="22" t="n">
        <v>3497</v>
      </c>
      <c r="E96" s="21" t="n"/>
    </row>
    <row r="97">
      <c r="A97" s="21" t="inlineStr">
        <is>
          <t>Покупка</t>
        </is>
      </c>
      <c r="B97" s="21" t="inlineStr">
        <is>
          <t>Дача</t>
        </is>
      </c>
      <c r="C97" s="21" t="inlineStr">
        <is>
          <t>Краснодар</t>
        </is>
      </c>
      <c r="D97" s="22" t="n">
        <v>14491</v>
      </c>
      <c r="E97" s="21" t="n"/>
    </row>
    <row r="98">
      <c r="A98" s="21" t="inlineStr">
        <is>
          <t>Покупка</t>
        </is>
      </c>
      <c r="B98" s="21" t="inlineStr">
        <is>
          <t>Дача</t>
        </is>
      </c>
      <c r="C98" s="21" t="inlineStr">
        <is>
          <t>Самара</t>
        </is>
      </c>
      <c r="D98" s="22" t="n">
        <v>828</v>
      </c>
      <c r="E98" s="21" t="n"/>
    </row>
    <row r="99">
      <c r="A99" s="21" t="inlineStr">
        <is>
          <t>Покупка</t>
        </is>
      </c>
      <c r="B99" s="21" t="inlineStr">
        <is>
          <t>Дача</t>
        </is>
      </c>
      <c r="C99" s="21" t="inlineStr">
        <is>
          <t>Ростов-на-Дону</t>
        </is>
      </c>
      <c r="D99" s="22" t="n">
        <v>6034</v>
      </c>
      <c r="E99" s="21" t="n"/>
    </row>
    <row r="100">
      <c r="A100" s="21" t="inlineStr">
        <is>
          <t>Покупка</t>
        </is>
      </c>
      <c r="B100" s="21" t="inlineStr">
        <is>
          <t>Дача</t>
        </is>
      </c>
      <c r="C100" s="21" t="inlineStr">
        <is>
          <t>Омск</t>
        </is>
      </c>
      <c r="D100" s="22" t="n">
        <v>2154</v>
      </c>
      <c r="E100" s="21" t="n"/>
    </row>
    <row r="101">
      <c r="A101" s="21" t="inlineStr">
        <is>
          <t>Покупка</t>
        </is>
      </c>
      <c r="B101" s="21" t="inlineStr">
        <is>
          <t>Дача</t>
        </is>
      </c>
      <c r="C101" s="21" t="inlineStr">
        <is>
          <t>Воронеж</t>
        </is>
      </c>
      <c r="D101" s="22" t="n">
        <v>736</v>
      </c>
      <c r="E101" s="21" t="n"/>
    </row>
    <row r="102">
      <c r="A102" s="21" t="inlineStr">
        <is>
          <t>Покупка</t>
        </is>
      </c>
      <c r="B102" s="21" t="inlineStr">
        <is>
          <t>Дача</t>
        </is>
      </c>
      <c r="C102" s="21" t="inlineStr">
        <is>
          <t>Пермь</t>
        </is>
      </c>
      <c r="D102" s="22" t="n">
        <v>528</v>
      </c>
      <c r="E102" s="21" t="n"/>
    </row>
    <row r="103">
      <c r="A103" s="21" t="inlineStr">
        <is>
          <t>Покупка</t>
        </is>
      </c>
      <c r="B103" s="21" t="inlineStr">
        <is>
          <t>Дача</t>
        </is>
      </c>
      <c r="C103" s="21" t="inlineStr">
        <is>
          <t>Волгоград</t>
        </is>
      </c>
      <c r="D103" s="22" t="n">
        <v>1660</v>
      </c>
      <c r="E103" s="21" t="n"/>
    </row>
    <row r="104">
      <c r="A104" s="33" t="inlineStr">
        <is>
          <t>Покупка</t>
        </is>
      </c>
      <c r="B104" s="34" t="inlineStr">
        <is>
          <t>Коттеджи</t>
        </is>
      </c>
      <c r="C104" s="33" t="inlineStr">
        <is>
          <t>🇷🇺 Вся Россия</t>
        </is>
      </c>
      <c r="D104" s="35" t="n">
        <v>28020</v>
      </c>
      <c r="E104" s="35" t="n">
        <v>28012</v>
      </c>
    </row>
    <row r="105">
      <c r="A105" s="21" t="inlineStr">
        <is>
          <t>Покупка</t>
        </is>
      </c>
      <c r="B105" s="21" t="inlineStr">
        <is>
          <t>Коттеджи</t>
        </is>
      </c>
      <c r="C105" s="21" t="inlineStr">
        <is>
          <t>Москва</t>
        </is>
      </c>
      <c r="D105" s="22" t="n">
        <v>1356</v>
      </c>
      <c r="E105" s="21" t="n"/>
    </row>
    <row r="106">
      <c r="A106" s="21" t="inlineStr">
        <is>
          <t>Покупка</t>
        </is>
      </c>
      <c r="B106" s="21" t="inlineStr">
        <is>
          <t>Коттеджи</t>
        </is>
      </c>
      <c r="C106" s="21" t="inlineStr">
        <is>
          <t>Санкт-Петербург</t>
        </is>
      </c>
      <c r="D106" s="22" t="n">
        <v>587</v>
      </c>
      <c r="E106" s="21" t="n"/>
    </row>
    <row r="107">
      <c r="A107" s="21" t="inlineStr">
        <is>
          <t>Покупка</t>
        </is>
      </c>
      <c r="B107" s="21" t="inlineStr">
        <is>
          <t>Коттеджи</t>
        </is>
      </c>
      <c r="C107" s="21" t="inlineStr">
        <is>
          <t>Новосибирск</t>
        </is>
      </c>
      <c r="D107" s="22" t="n">
        <v>556</v>
      </c>
      <c r="E107" s="21" t="n"/>
    </row>
    <row r="108">
      <c r="A108" s="21" t="inlineStr">
        <is>
          <t>Покупка</t>
        </is>
      </c>
      <c r="B108" s="21" t="inlineStr">
        <is>
          <t>Коттеджи</t>
        </is>
      </c>
      <c r="C108" s="21" t="inlineStr">
        <is>
          <t>Екатеринбург</t>
        </is>
      </c>
      <c r="D108" s="22" t="n">
        <v>409</v>
      </c>
      <c r="E108" s="21" t="n"/>
    </row>
    <row r="109">
      <c r="A109" s="21" t="inlineStr">
        <is>
          <t>Покупка</t>
        </is>
      </c>
      <c r="B109" s="21" t="inlineStr">
        <is>
          <t>Коттеджи</t>
        </is>
      </c>
      <c r="C109" s="21" t="inlineStr">
        <is>
          <t>Казань</t>
        </is>
      </c>
      <c r="D109" s="22" t="n">
        <v>604</v>
      </c>
      <c r="E109" s="21" t="n"/>
    </row>
    <row r="110">
      <c r="A110" s="21" t="inlineStr">
        <is>
          <t>Покупка</t>
        </is>
      </c>
      <c r="B110" s="21" t="inlineStr">
        <is>
          <t>Коттеджи</t>
        </is>
      </c>
      <c r="C110" s="21" t="inlineStr">
        <is>
          <t>Красноярск</t>
        </is>
      </c>
      <c r="D110" s="22" t="n">
        <v>416</v>
      </c>
      <c r="E110" s="21" t="n"/>
    </row>
    <row r="111">
      <c r="A111" s="21" t="inlineStr">
        <is>
          <t>Покупка</t>
        </is>
      </c>
      <c r="B111" s="21" t="inlineStr">
        <is>
          <t>Коттеджи</t>
        </is>
      </c>
      <c r="C111" s="21" t="inlineStr">
        <is>
          <t>Нижний Новгород</t>
        </is>
      </c>
      <c r="D111" s="22" t="n">
        <v>315</v>
      </c>
      <c r="E111" s="21" t="n"/>
    </row>
    <row r="112">
      <c r="A112" s="21" t="inlineStr">
        <is>
          <t>Покупка</t>
        </is>
      </c>
      <c r="B112" s="21" t="inlineStr">
        <is>
          <t>Коттеджи</t>
        </is>
      </c>
      <c r="C112" s="21" t="inlineStr">
        <is>
          <t>Челябинск</t>
        </is>
      </c>
      <c r="D112" s="22" t="n">
        <v>211</v>
      </c>
      <c r="E112" s="21" t="n"/>
    </row>
    <row r="113">
      <c r="A113" s="21" t="inlineStr">
        <is>
          <t>Покупка</t>
        </is>
      </c>
      <c r="B113" s="21" t="inlineStr">
        <is>
          <t>Коттеджи</t>
        </is>
      </c>
      <c r="C113" s="21" t="inlineStr">
        <is>
          <t>Уфа</t>
        </is>
      </c>
      <c r="D113" s="22" t="n">
        <v>989</v>
      </c>
      <c r="E113" s="21" t="n"/>
    </row>
    <row r="114">
      <c r="A114" s="21" t="inlineStr">
        <is>
          <t>Покупка</t>
        </is>
      </c>
      <c r="B114" s="21" t="inlineStr">
        <is>
          <t>Коттеджи</t>
        </is>
      </c>
      <c r="C114" s="21" t="inlineStr">
        <is>
          <t>Краснодар</t>
        </is>
      </c>
      <c r="D114" s="22" t="n">
        <v>3302</v>
      </c>
      <c r="E114" s="21" t="n"/>
    </row>
    <row r="115">
      <c r="A115" s="21" t="inlineStr">
        <is>
          <t>Покупка</t>
        </is>
      </c>
      <c r="B115" s="21" t="inlineStr">
        <is>
          <t>Коттеджи</t>
        </is>
      </c>
      <c r="C115" s="21" t="inlineStr">
        <is>
          <t>Самара</t>
        </is>
      </c>
      <c r="D115" s="22" t="n">
        <v>344</v>
      </c>
      <c r="E115" s="21" t="n"/>
    </row>
    <row r="116">
      <c r="A116" s="21" t="inlineStr">
        <is>
          <t>Покупка</t>
        </is>
      </c>
      <c r="B116" s="21" t="inlineStr">
        <is>
          <t>Коттеджи</t>
        </is>
      </c>
      <c r="C116" s="21" t="inlineStr">
        <is>
          <t>Ростов-на-Дону</t>
        </is>
      </c>
      <c r="D116" s="22" t="n">
        <v>1006</v>
      </c>
      <c r="E116" s="21" t="n"/>
    </row>
    <row r="117">
      <c r="A117" s="21" t="inlineStr">
        <is>
          <t>Покупка</t>
        </is>
      </c>
      <c r="B117" s="21" t="inlineStr">
        <is>
          <t>Коттеджи</t>
        </is>
      </c>
      <c r="C117" s="21" t="inlineStr">
        <is>
          <t>Омск</t>
        </is>
      </c>
      <c r="D117" s="22" t="n">
        <v>359</v>
      </c>
      <c r="E117" s="21" t="n"/>
    </row>
    <row r="118">
      <c r="A118" s="21" t="inlineStr">
        <is>
          <t>Покупка</t>
        </is>
      </c>
      <c r="B118" s="21" t="inlineStr">
        <is>
          <t>Коттеджи</t>
        </is>
      </c>
      <c r="C118" s="21" t="inlineStr">
        <is>
          <t>Воронеж</t>
        </is>
      </c>
      <c r="D118" s="22" t="n">
        <v>213</v>
      </c>
      <c r="E118" s="21" t="n"/>
    </row>
    <row r="119">
      <c r="A119" s="21" t="inlineStr">
        <is>
          <t>Покупка</t>
        </is>
      </c>
      <c r="B119" s="21" t="inlineStr">
        <is>
          <t>Коттеджи</t>
        </is>
      </c>
      <c r="C119" s="21" t="inlineStr">
        <is>
          <t>Пермь</t>
        </is>
      </c>
      <c r="D119" s="22" t="n">
        <v>176</v>
      </c>
      <c r="E119" s="21" t="n"/>
    </row>
    <row r="120">
      <c r="A120" s="21" t="inlineStr">
        <is>
          <t>Покупка</t>
        </is>
      </c>
      <c r="B120" s="21" t="inlineStr">
        <is>
          <t>Коттеджи</t>
        </is>
      </c>
      <c r="C120" s="21" t="inlineStr">
        <is>
          <t>Волгоград</t>
        </is>
      </c>
      <c r="D120" s="22" t="n">
        <v>366</v>
      </c>
      <c r="E120" s="21" t="n"/>
    </row>
    <row r="121">
      <c r="A121" s="33" t="inlineStr">
        <is>
          <t>Покупка</t>
        </is>
      </c>
      <c r="B121" s="34" t="inlineStr">
        <is>
          <t>Таунхаусы</t>
        </is>
      </c>
      <c r="C121" s="33" t="inlineStr">
        <is>
          <t>🇷🇺 Вся Россия</t>
        </is>
      </c>
      <c r="D121" s="35" t="n">
        <v>3673</v>
      </c>
      <c r="E121" s="35" t="n">
        <v>3674</v>
      </c>
    </row>
    <row r="122">
      <c r="A122" s="21" t="inlineStr">
        <is>
          <t>Покупка</t>
        </is>
      </c>
      <c r="B122" s="21" t="inlineStr">
        <is>
          <t>Таунхаусы</t>
        </is>
      </c>
      <c r="C122" s="21" t="inlineStr">
        <is>
          <t>Москва</t>
        </is>
      </c>
      <c r="D122" s="22" t="n">
        <v>195</v>
      </c>
      <c r="E122" s="21" t="n"/>
    </row>
    <row r="123">
      <c r="A123" s="21" t="inlineStr">
        <is>
          <t>Покупка</t>
        </is>
      </c>
      <c r="B123" s="21" t="inlineStr">
        <is>
          <t>Таунхаусы</t>
        </is>
      </c>
      <c r="C123" s="21" t="inlineStr">
        <is>
          <t>Санкт-Петербург</t>
        </is>
      </c>
      <c r="D123" s="22" t="n">
        <v>130</v>
      </c>
      <c r="E123" s="21" t="n"/>
    </row>
    <row r="124">
      <c r="A124" s="21" t="inlineStr">
        <is>
          <t>Покупка</t>
        </is>
      </c>
      <c r="B124" s="21" t="inlineStr">
        <is>
          <t>Таунхаусы</t>
        </is>
      </c>
      <c r="C124" s="21" t="inlineStr">
        <is>
          <t>Новосибирск</t>
        </is>
      </c>
      <c r="D124" s="22" t="n">
        <v>63</v>
      </c>
      <c r="E124" s="21" t="n"/>
    </row>
    <row r="125">
      <c r="A125" s="21" t="inlineStr">
        <is>
          <t>Покупка</t>
        </is>
      </c>
      <c r="B125" s="21" t="inlineStr">
        <is>
          <t>Таунхаусы</t>
        </is>
      </c>
      <c r="C125" s="21" t="inlineStr">
        <is>
          <t>Екатеринбург</t>
        </is>
      </c>
      <c r="D125" s="22" t="n">
        <v>52</v>
      </c>
      <c r="E125" s="21" t="n"/>
    </row>
    <row r="126">
      <c r="A126" s="21" t="inlineStr">
        <is>
          <t>Покупка</t>
        </is>
      </c>
      <c r="B126" s="21" t="inlineStr">
        <is>
          <t>Таунхаусы</t>
        </is>
      </c>
      <c r="C126" s="21" t="inlineStr">
        <is>
          <t>Казань</t>
        </is>
      </c>
      <c r="D126" s="22" t="n">
        <v>55</v>
      </c>
      <c r="E126" s="21" t="n"/>
    </row>
    <row r="127">
      <c r="A127" s="21" t="inlineStr">
        <is>
          <t>Покупка</t>
        </is>
      </c>
      <c r="B127" s="21" t="inlineStr">
        <is>
          <t>Таунхаусы</t>
        </is>
      </c>
      <c r="C127" s="21" t="inlineStr">
        <is>
          <t>Красноярск</t>
        </is>
      </c>
      <c r="D127" s="22" t="n">
        <v>12</v>
      </c>
      <c r="E127" s="21" t="n"/>
    </row>
    <row r="128">
      <c r="A128" s="21" t="inlineStr">
        <is>
          <t>Покупка</t>
        </is>
      </c>
      <c r="B128" s="21" t="inlineStr">
        <is>
          <t>Таунхаусы</t>
        </is>
      </c>
      <c r="C128" s="21" t="inlineStr">
        <is>
          <t>Нижний Новгород</t>
        </is>
      </c>
      <c r="D128" s="22" t="n">
        <v>85</v>
      </c>
      <c r="E128" s="21" t="n"/>
    </row>
    <row r="129">
      <c r="A129" s="21" t="inlineStr">
        <is>
          <t>Покупка</t>
        </is>
      </c>
      <c r="B129" s="21" t="inlineStr">
        <is>
          <t>Таунхаусы</t>
        </is>
      </c>
      <c r="C129" s="21" t="inlineStr">
        <is>
          <t>Челябинск</t>
        </is>
      </c>
      <c r="D129" s="22" t="n">
        <v>27</v>
      </c>
      <c r="E129" s="21" t="n"/>
    </row>
    <row r="130">
      <c r="A130" s="21" t="inlineStr">
        <is>
          <t>Покупка</t>
        </is>
      </c>
      <c r="B130" s="21" t="inlineStr">
        <is>
          <t>Таунхаусы</t>
        </is>
      </c>
      <c r="C130" s="21" t="inlineStr">
        <is>
          <t>Уфа</t>
        </is>
      </c>
      <c r="D130" s="22" t="n">
        <v>138</v>
      </c>
      <c r="E130" s="21" t="n"/>
    </row>
    <row r="131">
      <c r="A131" s="21" t="inlineStr">
        <is>
          <t>Покупка</t>
        </is>
      </c>
      <c r="B131" s="21" t="inlineStr">
        <is>
          <t>Таунхаусы</t>
        </is>
      </c>
      <c r="C131" s="21" t="inlineStr">
        <is>
          <t>Краснодар</t>
        </is>
      </c>
      <c r="D131" s="22" t="n">
        <v>573</v>
      </c>
      <c r="E131" s="21" t="n"/>
    </row>
    <row r="132">
      <c r="A132" s="21" t="inlineStr">
        <is>
          <t>Покупка</t>
        </is>
      </c>
      <c r="B132" s="21" t="inlineStr">
        <is>
          <t>Таунхаусы</t>
        </is>
      </c>
      <c r="C132" s="21" t="inlineStr">
        <is>
          <t>Самара</t>
        </is>
      </c>
      <c r="D132" s="22" t="n">
        <v>46</v>
      </c>
      <c r="E132" s="21" t="n"/>
    </row>
    <row r="133">
      <c r="A133" s="21" t="inlineStr">
        <is>
          <t>Покупка</t>
        </is>
      </c>
      <c r="B133" s="21" t="inlineStr">
        <is>
          <t>Таунхаусы</t>
        </is>
      </c>
      <c r="C133" s="21" t="inlineStr">
        <is>
          <t>Ростов-на-Дону</t>
        </is>
      </c>
      <c r="D133" s="22" t="n">
        <v>64</v>
      </c>
      <c r="E133" s="21" t="n"/>
    </row>
    <row r="134">
      <c r="A134" s="21" t="inlineStr">
        <is>
          <t>Покупка</t>
        </is>
      </c>
      <c r="B134" s="21" t="inlineStr">
        <is>
          <t>Таунхаусы</t>
        </is>
      </c>
      <c r="C134" s="21" t="inlineStr">
        <is>
          <t>Омск</t>
        </is>
      </c>
      <c r="D134" s="22" t="n">
        <v>23</v>
      </c>
      <c r="E134" s="21" t="n"/>
    </row>
    <row r="135">
      <c r="A135" s="21" t="inlineStr">
        <is>
          <t>Покупка</t>
        </is>
      </c>
      <c r="B135" s="21" t="inlineStr">
        <is>
          <t>Таунхаусы</t>
        </is>
      </c>
      <c r="C135" s="21" t="inlineStr">
        <is>
          <t>Воронеж</t>
        </is>
      </c>
      <c r="D135" s="22" t="n">
        <v>31</v>
      </c>
      <c r="E135" s="21" t="n"/>
    </row>
    <row r="136">
      <c r="A136" s="21" t="inlineStr">
        <is>
          <t>Покупка</t>
        </is>
      </c>
      <c r="B136" s="21" t="inlineStr">
        <is>
          <t>Таунхаусы</t>
        </is>
      </c>
      <c r="C136" s="21" t="inlineStr">
        <is>
          <t>Пермь</t>
        </is>
      </c>
      <c r="D136" s="22" t="n">
        <v>39</v>
      </c>
      <c r="E136" s="21" t="n"/>
    </row>
    <row r="137">
      <c r="A137" s="21" t="inlineStr">
        <is>
          <t>Покупка</t>
        </is>
      </c>
      <c r="B137" s="21" t="inlineStr">
        <is>
          <t>Таунхаусы</t>
        </is>
      </c>
      <c r="C137" s="21" t="inlineStr">
        <is>
          <t>Волгоград</t>
        </is>
      </c>
      <c r="D137" s="22" t="n">
        <v>15</v>
      </c>
      <c r="E137" s="21" t="n"/>
    </row>
    <row r="138">
      <c r="A138" s="33" t="inlineStr">
        <is>
          <t>Покупка</t>
        </is>
      </c>
      <c r="B138" s="34" t="inlineStr">
        <is>
          <t>Части дома</t>
        </is>
      </c>
      <c r="C138" s="33" t="inlineStr">
        <is>
          <t>🇷🇺 Вся Россия</t>
        </is>
      </c>
      <c r="D138" s="35" t="n">
        <v>3773</v>
      </c>
      <c r="E138" s="35" t="n">
        <v>3771</v>
      </c>
    </row>
    <row r="139">
      <c r="A139" s="21" t="inlineStr">
        <is>
          <t>Покупка</t>
        </is>
      </c>
      <c r="B139" s="21" t="inlineStr">
        <is>
          <t>Части дома</t>
        </is>
      </c>
      <c r="C139" s="21" t="inlineStr">
        <is>
          <t>Москва</t>
        </is>
      </c>
      <c r="D139" s="22" t="n">
        <v>16</v>
      </c>
      <c r="E139" s="21" t="n"/>
    </row>
    <row r="140">
      <c r="A140" s="21" t="inlineStr">
        <is>
          <t>Покупка</t>
        </is>
      </c>
      <c r="B140" s="21" t="inlineStr">
        <is>
          <t>Части дома</t>
        </is>
      </c>
      <c r="C140" s="21" t="inlineStr">
        <is>
          <t>Санкт-Петербург</t>
        </is>
      </c>
      <c r="D140" s="22" t="n">
        <v>32</v>
      </c>
      <c r="E140" s="21" t="n"/>
    </row>
    <row r="141">
      <c r="A141" s="21" t="inlineStr">
        <is>
          <t>Покупка</t>
        </is>
      </c>
      <c r="B141" s="21" t="inlineStr">
        <is>
          <t>Части дома</t>
        </is>
      </c>
      <c r="C141" s="21" t="inlineStr">
        <is>
          <t>Новосибирск</t>
        </is>
      </c>
      <c r="D141" s="22" t="n">
        <v>191</v>
      </c>
      <c r="E141" s="21" t="n"/>
    </row>
    <row r="142">
      <c r="A142" s="21" t="inlineStr">
        <is>
          <t>Покупка</t>
        </is>
      </c>
      <c r="B142" s="21" t="inlineStr">
        <is>
          <t>Части дома</t>
        </is>
      </c>
      <c r="C142" s="21" t="inlineStr">
        <is>
          <t>Екатеринбург</t>
        </is>
      </c>
      <c r="D142" s="22" t="n">
        <v>20</v>
      </c>
      <c r="E142" s="21" t="n"/>
    </row>
    <row r="143">
      <c r="A143" s="21" t="inlineStr">
        <is>
          <t>Покупка</t>
        </is>
      </c>
      <c r="B143" s="21" t="inlineStr">
        <is>
          <t>Части дома</t>
        </is>
      </c>
      <c r="C143" s="21" t="inlineStr">
        <is>
          <t>Казань</t>
        </is>
      </c>
      <c r="D143" s="22" t="n">
        <v>19</v>
      </c>
      <c r="E143" s="21" t="n"/>
    </row>
    <row r="144">
      <c r="A144" s="21" t="inlineStr">
        <is>
          <t>Покупка</t>
        </is>
      </c>
      <c r="B144" s="21" t="inlineStr">
        <is>
          <t>Части дома</t>
        </is>
      </c>
      <c r="C144" s="21" t="inlineStr">
        <is>
          <t>Красноярск</t>
        </is>
      </c>
      <c r="D144" s="22" t="n">
        <v>26</v>
      </c>
      <c r="E144" s="21" t="n"/>
    </row>
    <row r="145">
      <c r="A145" s="21" t="inlineStr">
        <is>
          <t>Покупка</t>
        </is>
      </c>
      <c r="B145" s="21" t="inlineStr">
        <is>
          <t>Части дома</t>
        </is>
      </c>
      <c r="C145" s="21" t="inlineStr">
        <is>
          <t>Нижний Новгород</t>
        </is>
      </c>
      <c r="D145" s="22" t="n">
        <v>63</v>
      </c>
      <c r="E145" s="21" t="n"/>
    </row>
    <row r="146">
      <c r="A146" s="21" t="inlineStr">
        <is>
          <t>Покупка</t>
        </is>
      </c>
      <c r="B146" s="21" t="inlineStr">
        <is>
          <t>Части дома</t>
        </is>
      </c>
      <c r="C146" s="21" t="inlineStr">
        <is>
          <t>Челябинск</t>
        </is>
      </c>
      <c r="D146" s="22" t="n">
        <v>26</v>
      </c>
      <c r="E146" s="21" t="n"/>
    </row>
    <row r="147">
      <c r="A147" s="21" t="inlineStr">
        <is>
          <t>Покупка</t>
        </is>
      </c>
      <c r="B147" s="21" t="inlineStr">
        <is>
          <t>Части дома</t>
        </is>
      </c>
      <c r="C147" s="21" t="inlineStr">
        <is>
          <t>Уфа</t>
        </is>
      </c>
      <c r="D147" s="22" t="n">
        <v>34</v>
      </c>
      <c r="E147" s="21" t="n"/>
    </row>
    <row r="148">
      <c r="A148" s="21" t="inlineStr">
        <is>
          <t>Покупка</t>
        </is>
      </c>
      <c r="B148" s="21" t="inlineStr">
        <is>
          <t>Части дома</t>
        </is>
      </c>
      <c r="C148" s="21" t="inlineStr">
        <is>
          <t>Краснодар</t>
        </is>
      </c>
      <c r="D148" s="22" t="n">
        <v>328</v>
      </c>
      <c r="E148" s="21" t="n"/>
    </row>
    <row r="149">
      <c r="A149" s="21" t="inlineStr">
        <is>
          <t>Покупка</t>
        </is>
      </c>
      <c r="B149" s="21" t="inlineStr">
        <is>
          <t>Части дома</t>
        </is>
      </c>
      <c r="C149" s="21" t="inlineStr">
        <is>
          <t>Самара</t>
        </is>
      </c>
      <c r="D149" s="22" t="n">
        <v>29</v>
      </c>
      <c r="E149" s="21" t="n"/>
    </row>
    <row r="150">
      <c r="A150" s="21" t="inlineStr">
        <is>
          <t>Покупка</t>
        </is>
      </c>
      <c r="B150" s="21" t="inlineStr">
        <is>
          <t>Части дома</t>
        </is>
      </c>
      <c r="C150" s="21" t="inlineStr">
        <is>
          <t>Ростов-на-Дону</t>
        </is>
      </c>
      <c r="D150" s="22" t="n">
        <v>172</v>
      </c>
      <c r="E150" s="21" t="n"/>
    </row>
    <row r="151">
      <c r="A151" s="21" t="inlineStr">
        <is>
          <t>Покупка</t>
        </is>
      </c>
      <c r="B151" s="21" t="inlineStr">
        <is>
          <t>Части дома</t>
        </is>
      </c>
      <c r="C151" s="21" t="inlineStr">
        <is>
          <t>Омск</t>
        </is>
      </c>
      <c r="D151" s="22" t="n">
        <v>126</v>
      </c>
      <c r="E151" s="21" t="n"/>
    </row>
    <row r="152">
      <c r="A152" s="21" t="inlineStr">
        <is>
          <t>Покупка</t>
        </is>
      </c>
      <c r="B152" s="21" t="inlineStr">
        <is>
          <t>Части дома</t>
        </is>
      </c>
      <c r="C152" s="21" t="inlineStr">
        <is>
          <t>Воронеж</t>
        </is>
      </c>
      <c r="D152" s="22" t="n">
        <v>182</v>
      </c>
      <c r="E152" s="21" t="n"/>
    </row>
    <row r="153">
      <c r="A153" s="21" t="inlineStr">
        <is>
          <t>Покупка</t>
        </is>
      </c>
      <c r="B153" s="21" t="inlineStr">
        <is>
          <t>Части дома</t>
        </is>
      </c>
      <c r="C153" s="21" t="inlineStr">
        <is>
          <t>Пермь</t>
        </is>
      </c>
      <c r="D153" s="22" t="n">
        <v>9</v>
      </c>
      <c r="E153" s="21" t="n"/>
    </row>
    <row r="154">
      <c r="A154" s="21" t="inlineStr">
        <is>
          <t>Покупка</t>
        </is>
      </c>
      <c r="B154" s="21" t="inlineStr">
        <is>
          <t>Части дома</t>
        </is>
      </c>
      <c r="C154" s="21" t="inlineStr">
        <is>
          <t>Волгоград</t>
        </is>
      </c>
      <c r="D154" s="22" t="n">
        <v>63</v>
      </c>
      <c r="E154" s="21" t="n"/>
    </row>
    <row r="155">
      <c r="A155" s="33" t="inlineStr">
        <is>
          <t>Покупка</t>
        </is>
      </c>
      <c r="B155" s="34" t="inlineStr">
        <is>
          <t>Участок</t>
        </is>
      </c>
      <c r="C155" s="33" t="inlineStr">
        <is>
          <t>🇷🇺 Вся Россия</t>
        </is>
      </c>
      <c r="D155" s="35" t="n">
        <v>51819</v>
      </c>
      <c r="E155" s="35" t="n">
        <v>51927</v>
      </c>
    </row>
    <row r="156">
      <c r="A156" s="21" t="inlineStr">
        <is>
          <t>Покупка</t>
        </is>
      </c>
      <c r="B156" s="21" t="inlineStr">
        <is>
          <t>Участок</t>
        </is>
      </c>
      <c r="C156" s="21" t="inlineStr">
        <is>
          <t>Москва</t>
        </is>
      </c>
      <c r="D156" s="22" t="n">
        <v>802</v>
      </c>
      <c r="E156" s="21" t="n"/>
    </row>
    <row r="157">
      <c r="A157" s="21" t="inlineStr">
        <is>
          <t>Покупка</t>
        </is>
      </c>
      <c r="B157" s="21" t="inlineStr">
        <is>
          <t>Участок</t>
        </is>
      </c>
      <c r="C157" s="21" t="inlineStr">
        <is>
          <t>Санкт-Петербург</t>
        </is>
      </c>
      <c r="D157" s="22" t="n">
        <v>860</v>
      </c>
      <c r="E157" s="21" t="n"/>
    </row>
    <row r="158">
      <c r="A158" s="21" t="inlineStr">
        <is>
          <t>Покупка</t>
        </is>
      </c>
      <c r="B158" s="21" t="inlineStr">
        <is>
          <t>Участок</t>
        </is>
      </c>
      <c r="C158" s="21" t="inlineStr">
        <is>
          <t>Новосибирск</t>
        </is>
      </c>
      <c r="D158" s="22" t="n">
        <v>776</v>
      </c>
      <c r="E158" s="21" t="n"/>
    </row>
    <row r="159">
      <c r="A159" s="21" t="inlineStr">
        <is>
          <t>Покупка</t>
        </is>
      </c>
      <c r="B159" s="21" t="inlineStr">
        <is>
          <t>Участок</t>
        </is>
      </c>
      <c r="C159" s="21" t="inlineStr">
        <is>
          <t>Екатеринбург</t>
        </is>
      </c>
      <c r="D159" s="22" t="n">
        <v>735</v>
      </c>
      <c r="E159" s="21" t="n"/>
    </row>
    <row r="160">
      <c r="A160" s="21" t="inlineStr">
        <is>
          <t>Покупка</t>
        </is>
      </c>
      <c r="B160" s="21" t="inlineStr">
        <is>
          <t>Участок</t>
        </is>
      </c>
      <c r="C160" s="21" t="inlineStr">
        <is>
          <t>Казань</t>
        </is>
      </c>
      <c r="D160" s="22" t="n">
        <v>858</v>
      </c>
      <c r="E160" s="21" t="n"/>
    </row>
    <row r="161">
      <c r="A161" s="21" t="inlineStr">
        <is>
          <t>Покупка</t>
        </is>
      </c>
      <c r="B161" s="21" t="inlineStr">
        <is>
          <t>Участок</t>
        </is>
      </c>
      <c r="C161" s="21" t="inlineStr">
        <is>
          <t>Красноярск</t>
        </is>
      </c>
      <c r="D161" s="22" t="n">
        <v>575</v>
      </c>
      <c r="E161" s="21" t="n"/>
    </row>
    <row r="162">
      <c r="A162" s="21" t="inlineStr">
        <is>
          <t>Покупка</t>
        </is>
      </c>
      <c r="B162" s="21" t="inlineStr">
        <is>
          <t>Участок</t>
        </is>
      </c>
      <c r="C162" s="21" t="inlineStr">
        <is>
          <t>Нижний Новгород</t>
        </is>
      </c>
      <c r="D162" s="22" t="n">
        <v>401</v>
      </c>
      <c r="E162" s="21" t="n"/>
    </row>
    <row r="163">
      <c r="A163" s="21" t="inlineStr">
        <is>
          <t>Покупка</t>
        </is>
      </c>
      <c r="B163" s="21" t="inlineStr">
        <is>
          <t>Участок</t>
        </is>
      </c>
      <c r="C163" s="21" t="inlineStr">
        <is>
          <t>Челябинск</t>
        </is>
      </c>
      <c r="D163" s="22" t="n">
        <v>225</v>
      </c>
      <c r="E163" s="21" t="n"/>
    </row>
    <row r="164">
      <c r="A164" s="21" t="inlineStr">
        <is>
          <t>Покупка</t>
        </is>
      </c>
      <c r="B164" s="21" t="inlineStr">
        <is>
          <t>Участок</t>
        </is>
      </c>
      <c r="C164" s="21" t="inlineStr">
        <is>
          <t>Уфа</t>
        </is>
      </c>
      <c r="D164" s="22" t="n">
        <v>1034</v>
      </c>
      <c r="E164" s="21" t="n"/>
    </row>
    <row r="165">
      <c r="A165" s="21" t="inlineStr">
        <is>
          <t>Покупка</t>
        </is>
      </c>
      <c r="B165" s="21" t="inlineStr">
        <is>
          <t>Участок</t>
        </is>
      </c>
      <c r="C165" s="21" t="inlineStr">
        <is>
          <t>Краснодар</t>
        </is>
      </c>
      <c r="D165" s="22" t="n">
        <v>2216</v>
      </c>
      <c r="E165" s="21" t="n"/>
    </row>
    <row r="166">
      <c r="A166" s="21" t="inlineStr">
        <is>
          <t>Покупка</t>
        </is>
      </c>
      <c r="B166" s="21" t="inlineStr">
        <is>
          <t>Участок</t>
        </is>
      </c>
      <c r="C166" s="21" t="inlineStr">
        <is>
          <t>Самара</t>
        </is>
      </c>
      <c r="D166" s="22" t="n">
        <v>381</v>
      </c>
      <c r="E166" s="21" t="n"/>
    </row>
    <row r="167">
      <c r="A167" s="21" t="inlineStr">
        <is>
          <t>Покупка</t>
        </is>
      </c>
      <c r="B167" s="21" t="inlineStr">
        <is>
          <t>Участок</t>
        </is>
      </c>
      <c r="C167" s="21" t="inlineStr">
        <is>
          <t>Ростов-на-Дону</t>
        </is>
      </c>
      <c r="D167" s="22" t="n">
        <v>1716</v>
      </c>
      <c r="E167" s="21" t="n"/>
    </row>
    <row r="168">
      <c r="A168" s="21" t="inlineStr">
        <is>
          <t>Покупка</t>
        </is>
      </c>
      <c r="B168" s="21" t="inlineStr">
        <is>
          <t>Участок</t>
        </is>
      </c>
      <c r="C168" s="21" t="inlineStr">
        <is>
          <t>Омск</t>
        </is>
      </c>
      <c r="D168" s="22" t="n">
        <v>495</v>
      </c>
      <c r="E168" s="21" t="n"/>
    </row>
    <row r="169">
      <c r="A169" s="21" t="inlineStr">
        <is>
          <t>Покупка</t>
        </is>
      </c>
      <c r="B169" s="21" t="inlineStr">
        <is>
          <t>Участок</t>
        </is>
      </c>
      <c r="C169" s="21" t="inlineStr">
        <is>
          <t>Воронеж</t>
        </is>
      </c>
      <c r="D169" s="22" t="n">
        <v>822</v>
      </c>
      <c r="E169" s="21" t="n"/>
    </row>
    <row r="170">
      <c r="A170" s="21" t="inlineStr">
        <is>
          <t>Покупка</t>
        </is>
      </c>
      <c r="B170" s="21" t="inlineStr">
        <is>
          <t>Участок</t>
        </is>
      </c>
      <c r="C170" s="21" t="inlineStr">
        <is>
          <t>Пермь</t>
        </is>
      </c>
      <c r="D170" s="22" t="n">
        <v>285</v>
      </c>
      <c r="E170" s="21" t="n"/>
    </row>
    <row r="171">
      <c r="A171" s="21" t="inlineStr">
        <is>
          <t>Покупка</t>
        </is>
      </c>
      <c r="B171" s="21" t="inlineStr">
        <is>
          <t>Участок</t>
        </is>
      </c>
      <c r="C171" s="21" t="inlineStr">
        <is>
          <t>Волгоград</t>
        </is>
      </c>
      <c r="D171" s="22" t="n">
        <v>1148</v>
      </c>
      <c r="E171" s="21" t="n"/>
    </row>
    <row r="172">
      <c r="A172" s="33" t="inlineStr">
        <is>
          <t>Покупка</t>
        </is>
      </c>
      <c r="B172" s="34" t="inlineStr">
        <is>
          <t>Апартаменты</t>
        </is>
      </c>
      <c r="C172" s="33" t="inlineStr">
        <is>
          <t>🇷🇺 Вся Россия</t>
        </is>
      </c>
      <c r="D172" s="35" t="n">
        <v>14219</v>
      </c>
      <c r="E172" s="35" t="n">
        <v>14180</v>
      </c>
    </row>
    <row r="173">
      <c r="A173" s="21" t="inlineStr">
        <is>
          <t>Покупка</t>
        </is>
      </c>
      <c r="B173" s="21" t="inlineStr">
        <is>
          <t>Апартаменты</t>
        </is>
      </c>
      <c r="C173" s="21" t="inlineStr">
        <is>
          <t>Москва</t>
        </is>
      </c>
      <c r="D173" s="22" t="n">
        <v>4619</v>
      </c>
      <c r="E173" s="21" t="n"/>
    </row>
    <row r="174">
      <c r="A174" s="21" t="inlineStr">
        <is>
          <t>Покупка</t>
        </is>
      </c>
      <c r="B174" s="21" t="inlineStr">
        <is>
          <t>Апартаменты</t>
        </is>
      </c>
      <c r="C174" s="21" t="inlineStr">
        <is>
          <t>Санкт-Петербург</t>
        </is>
      </c>
      <c r="D174" s="22" t="n">
        <v>3197</v>
      </c>
      <c r="E174" s="21" t="n"/>
    </row>
    <row r="175">
      <c r="A175" s="21" t="inlineStr">
        <is>
          <t>Покупка</t>
        </is>
      </c>
      <c r="B175" s="21" t="inlineStr">
        <is>
          <t>Апартаменты</t>
        </is>
      </c>
      <c r="C175" s="21" t="inlineStr">
        <is>
          <t>Новосибирск</t>
        </is>
      </c>
      <c r="D175" s="22" t="n">
        <v>1073</v>
      </c>
      <c r="E175" s="21" t="n"/>
    </row>
    <row r="176">
      <c r="A176" s="21" t="inlineStr">
        <is>
          <t>Покупка</t>
        </is>
      </c>
      <c r="B176" s="21" t="inlineStr">
        <is>
          <t>Апартаменты</t>
        </is>
      </c>
      <c r="C176" s="21" t="inlineStr">
        <is>
          <t>Екатеринбург</t>
        </is>
      </c>
      <c r="D176" s="22" t="n">
        <v>79</v>
      </c>
      <c r="E176" s="21" t="n"/>
    </row>
    <row r="177">
      <c r="A177" s="21" t="inlineStr">
        <is>
          <t>Покупка</t>
        </is>
      </c>
      <c r="B177" s="21" t="inlineStr">
        <is>
          <t>Апартаменты</t>
        </is>
      </c>
      <c r="C177" s="21" t="inlineStr">
        <is>
          <t>Казань</t>
        </is>
      </c>
      <c r="D177" s="22" t="n">
        <v>13</v>
      </c>
      <c r="E177" s="21" t="n"/>
    </row>
    <row r="178">
      <c r="A178" s="21" t="inlineStr">
        <is>
          <t>Покупка</t>
        </is>
      </c>
      <c r="B178" s="21" t="inlineStr">
        <is>
          <t>Апартаменты</t>
        </is>
      </c>
      <c r="C178" s="21" t="inlineStr">
        <is>
          <t>Красноярск</t>
        </is>
      </c>
      <c r="D178" s="22" t="n">
        <v>24</v>
      </c>
      <c r="E178" s="21" t="n"/>
    </row>
    <row r="179">
      <c r="A179" s="21" t="inlineStr">
        <is>
          <t>Покупка</t>
        </is>
      </c>
      <c r="B179" s="21" t="inlineStr">
        <is>
          <t>Апартаменты</t>
        </is>
      </c>
      <c r="C179" s="21" t="inlineStr">
        <is>
          <t>Нижний Новгород</t>
        </is>
      </c>
      <c r="D179" s="22" t="n">
        <v>32</v>
      </c>
      <c r="E179" s="21" t="n"/>
    </row>
    <row r="180">
      <c r="A180" s="21" t="inlineStr">
        <is>
          <t>Покупка</t>
        </is>
      </c>
      <c r="B180" s="21" t="inlineStr">
        <is>
          <t>Апартаменты</t>
        </is>
      </c>
      <c r="C180" s="21" t="inlineStr">
        <is>
          <t>Челябинск</t>
        </is>
      </c>
      <c r="D180" s="22" t="n">
        <v>21</v>
      </c>
      <c r="E180" s="21" t="n"/>
    </row>
    <row r="181">
      <c r="A181" s="21" t="inlineStr">
        <is>
          <t>Покупка</t>
        </is>
      </c>
      <c r="B181" s="21" t="inlineStr">
        <is>
          <t>Апартаменты</t>
        </is>
      </c>
      <c r="C181" s="21" t="inlineStr">
        <is>
          <t>Уфа</t>
        </is>
      </c>
      <c r="D181" s="22" t="n">
        <v>1059</v>
      </c>
      <c r="E181" s="21" t="n"/>
    </row>
    <row r="182">
      <c r="A182" s="21" t="inlineStr">
        <is>
          <t>Покупка</t>
        </is>
      </c>
      <c r="B182" s="21" t="inlineStr">
        <is>
          <t>Апартаменты</t>
        </is>
      </c>
      <c r="C182" s="21" t="inlineStr">
        <is>
          <t>Краснодар</t>
        </is>
      </c>
      <c r="D182" s="22" t="n">
        <v>71</v>
      </c>
      <c r="E182" s="21" t="n"/>
    </row>
    <row r="183">
      <c r="A183" s="21" t="inlineStr">
        <is>
          <t>Покупка</t>
        </is>
      </c>
      <c r="B183" s="21" t="inlineStr">
        <is>
          <t>Апартаменты</t>
        </is>
      </c>
      <c r="C183" s="21" t="inlineStr">
        <is>
          <t>Самара</t>
        </is>
      </c>
      <c r="D183" s="22" t="n">
        <v>11</v>
      </c>
      <c r="E183" s="21" t="n"/>
    </row>
    <row r="184">
      <c r="A184" s="21" t="inlineStr">
        <is>
          <t>Покупка</t>
        </is>
      </c>
      <c r="B184" s="21" t="inlineStr">
        <is>
          <t>Апартаменты</t>
        </is>
      </c>
      <c r="C184" s="21" t="inlineStr">
        <is>
          <t>Ростов-на-Дону</t>
        </is>
      </c>
      <c r="D184" s="22" t="n">
        <v>13</v>
      </c>
      <c r="E184" s="21" t="n"/>
    </row>
    <row r="185">
      <c r="A185" s="21" t="inlineStr">
        <is>
          <t>Покупка</t>
        </is>
      </c>
      <c r="B185" s="21" t="inlineStr">
        <is>
          <t>Апартаменты</t>
        </is>
      </c>
      <c r="C185" s="21" t="inlineStr">
        <is>
          <t>Омск</t>
        </is>
      </c>
      <c r="D185" s="22" t="n">
        <v>15</v>
      </c>
      <c r="E185" s="21" t="n"/>
    </row>
    <row r="186">
      <c r="A186" s="21" t="inlineStr">
        <is>
          <t>Покупка</t>
        </is>
      </c>
      <c r="B186" s="21" t="inlineStr">
        <is>
          <t>Апартаменты</t>
        </is>
      </c>
      <c r="C186" s="21" t="inlineStr">
        <is>
          <t>Воронеж</t>
        </is>
      </c>
      <c r="D186" s="22" t="n">
        <v>15</v>
      </c>
      <c r="E186" s="21" t="n"/>
    </row>
    <row r="187">
      <c r="A187" s="21" t="inlineStr">
        <is>
          <t>Покупка</t>
        </is>
      </c>
      <c r="B187" s="21" t="inlineStr">
        <is>
          <t>Апартаменты</t>
        </is>
      </c>
      <c r="C187" s="21" t="inlineStr">
        <is>
          <t>Пермь</t>
        </is>
      </c>
      <c r="D187" s="22" t="n">
        <v>13</v>
      </c>
      <c r="E187" s="21" t="n"/>
    </row>
    <row r="188">
      <c r="A188" s="21" t="inlineStr">
        <is>
          <t>Покупка</t>
        </is>
      </c>
      <c r="B188" s="21" t="inlineStr">
        <is>
          <t>Апартаменты</t>
        </is>
      </c>
      <c r="C188" s="21" t="inlineStr">
        <is>
          <t>Волгоград</t>
        </is>
      </c>
      <c r="D188" s="22" t="n">
        <v>10</v>
      </c>
      <c r="E188" s="21" t="n"/>
    </row>
    <row r="189">
      <c r="A189" s="33" t="inlineStr">
        <is>
          <t>Покупка</t>
        </is>
      </c>
      <c r="B189" s="34" t="inlineStr">
        <is>
          <t>Загородная</t>
        </is>
      </c>
      <c r="C189" s="33" t="inlineStr">
        <is>
          <t>🇷🇺 Вся Россия</t>
        </is>
      </c>
      <c r="D189" s="35" t="n">
        <v>166812</v>
      </c>
      <c r="E189" s="35" t="n">
        <v>166748</v>
      </c>
    </row>
    <row r="190">
      <c r="A190" s="21" t="inlineStr">
        <is>
          <t>Покупка</t>
        </is>
      </c>
      <c r="B190" s="21" t="inlineStr">
        <is>
          <t>Загородная</t>
        </is>
      </c>
      <c r="C190" s="21" t="inlineStr">
        <is>
          <t>Москва</t>
        </is>
      </c>
      <c r="D190" s="22" t="n">
        <v>2946</v>
      </c>
      <c r="E190" s="21" t="n"/>
    </row>
    <row r="191">
      <c r="A191" s="21" t="inlineStr">
        <is>
          <t>Покупка</t>
        </is>
      </c>
      <c r="B191" s="21" t="inlineStr">
        <is>
          <t>Загородная</t>
        </is>
      </c>
      <c r="C191" s="21" t="inlineStr">
        <is>
          <t>Санкт-Петербург</t>
        </is>
      </c>
      <c r="D191" s="22" t="n">
        <v>1962</v>
      </c>
      <c r="E191" s="21" t="n"/>
    </row>
    <row r="192">
      <c r="A192" s="21" t="inlineStr">
        <is>
          <t>Покупка</t>
        </is>
      </c>
      <c r="B192" s="21" t="inlineStr">
        <is>
          <t>Загородная</t>
        </is>
      </c>
      <c r="C192" s="21" t="inlineStr">
        <is>
          <t>Новосибирск</t>
        </is>
      </c>
      <c r="D192" s="22" t="n">
        <v>3267</v>
      </c>
      <c r="E192" s="21" t="n"/>
    </row>
    <row r="193">
      <c r="A193" s="21" t="inlineStr">
        <is>
          <t>Покупка</t>
        </is>
      </c>
      <c r="B193" s="21" t="inlineStr">
        <is>
          <t>Загородная</t>
        </is>
      </c>
      <c r="C193" s="21" t="inlineStr">
        <is>
          <t>Екатеринбург</t>
        </is>
      </c>
      <c r="D193" s="22" t="n">
        <v>2405</v>
      </c>
      <c r="E193" s="21" t="n"/>
    </row>
    <row r="194">
      <c r="A194" s="21" t="inlineStr">
        <is>
          <t>Покупка</t>
        </is>
      </c>
      <c r="B194" s="21" t="inlineStr">
        <is>
          <t>Загородная</t>
        </is>
      </c>
      <c r="C194" s="21" t="inlineStr">
        <is>
          <t>Казань</t>
        </is>
      </c>
      <c r="D194" s="22" t="n">
        <v>2726</v>
      </c>
      <c r="E194" s="21" t="n"/>
    </row>
    <row r="195">
      <c r="A195" s="21" t="inlineStr">
        <is>
          <t>Покупка</t>
        </is>
      </c>
      <c r="B195" s="21" t="inlineStr">
        <is>
          <t>Загородная</t>
        </is>
      </c>
      <c r="C195" s="21" t="inlineStr">
        <is>
          <t>Красноярск</t>
        </is>
      </c>
      <c r="D195" s="22" t="n">
        <v>1937</v>
      </c>
      <c r="E195" s="21" t="n"/>
    </row>
    <row r="196">
      <c r="A196" s="21" t="inlineStr">
        <is>
          <t>Покупка</t>
        </is>
      </c>
      <c r="B196" s="21" t="inlineStr">
        <is>
          <t>Загородная</t>
        </is>
      </c>
      <c r="C196" s="21" t="inlineStr">
        <is>
          <t>Нижний Новгород</t>
        </is>
      </c>
      <c r="D196" s="22" t="n">
        <v>1386</v>
      </c>
      <c r="E196" s="21" t="n"/>
    </row>
    <row r="197">
      <c r="A197" s="21" t="inlineStr">
        <is>
          <t>Покупка</t>
        </is>
      </c>
      <c r="B197" s="21" t="inlineStr">
        <is>
          <t>Загородная</t>
        </is>
      </c>
      <c r="C197" s="21" t="inlineStr">
        <is>
          <t>Челябинск</t>
        </is>
      </c>
      <c r="D197" s="22" t="n">
        <v>1185</v>
      </c>
      <c r="E197" s="21" t="n"/>
    </row>
    <row r="198">
      <c r="A198" s="21" t="inlineStr">
        <is>
          <t>Покупка</t>
        </is>
      </c>
      <c r="B198" s="21" t="inlineStr">
        <is>
          <t>Загородная</t>
        </is>
      </c>
      <c r="C198" s="21" t="inlineStr">
        <is>
          <t>Уфа</t>
        </is>
      </c>
      <c r="D198" s="22" t="n">
        <v>4731</v>
      </c>
      <c r="E198" s="21" t="n"/>
    </row>
    <row r="199">
      <c r="A199" s="21" t="inlineStr">
        <is>
          <t>Покупка</t>
        </is>
      </c>
      <c r="B199" s="21" t="inlineStr">
        <is>
          <t>Загородная</t>
        </is>
      </c>
      <c r="C199" s="21" t="inlineStr">
        <is>
          <t>Краснодар</t>
        </is>
      </c>
      <c r="D199" s="22" t="n">
        <v>17897</v>
      </c>
      <c r="E199" s="21" t="n"/>
    </row>
    <row r="200">
      <c r="A200" s="21" t="inlineStr">
        <is>
          <t>Покупка</t>
        </is>
      </c>
      <c r="B200" s="21" t="inlineStr">
        <is>
          <t>Загородная</t>
        </is>
      </c>
      <c r="C200" s="21" t="inlineStr">
        <is>
          <t>Самара</t>
        </is>
      </c>
      <c r="D200" s="22" t="n">
        <v>1317</v>
      </c>
      <c r="E200" s="21" t="n"/>
    </row>
    <row r="201">
      <c r="A201" s="21" t="inlineStr">
        <is>
          <t>Покупка</t>
        </is>
      </c>
      <c r="B201" s="21" t="inlineStr">
        <is>
          <t>Загородная</t>
        </is>
      </c>
      <c r="C201" s="21" t="inlineStr">
        <is>
          <t>Ростов-на-Дону</t>
        </is>
      </c>
      <c r="D201" s="22" t="n">
        <v>8165</v>
      </c>
      <c r="E201" s="21" t="n"/>
    </row>
    <row r="202">
      <c r="A202" s="21" t="inlineStr">
        <is>
          <t>Покупка</t>
        </is>
      </c>
      <c r="B202" s="21" t="inlineStr">
        <is>
          <t>Загородная</t>
        </is>
      </c>
      <c r="C202" s="21" t="inlineStr">
        <is>
          <t>Омск</t>
        </is>
      </c>
      <c r="D202" s="22" t="n">
        <v>2814</v>
      </c>
      <c r="E202" s="21" t="n"/>
    </row>
    <row r="203">
      <c r="A203" s="21" t="inlineStr">
        <is>
          <t>Покупка</t>
        </is>
      </c>
      <c r="B203" s="21" t="inlineStr">
        <is>
          <t>Загородная</t>
        </is>
      </c>
      <c r="C203" s="21" t="inlineStr">
        <is>
          <t>Воронеж</t>
        </is>
      </c>
      <c r="D203" s="22" t="n">
        <v>1788</v>
      </c>
      <c r="E203" s="21" t="n"/>
    </row>
    <row r="204">
      <c r="A204" s="21" t="inlineStr">
        <is>
          <t>Покупка</t>
        </is>
      </c>
      <c r="B204" s="21" t="inlineStr">
        <is>
          <t>Загородная</t>
        </is>
      </c>
      <c r="C204" s="21" t="inlineStr">
        <is>
          <t>Пермь</t>
        </is>
      </c>
      <c r="D204" s="22" t="n">
        <v>872</v>
      </c>
      <c r="E204" s="21" t="n"/>
    </row>
    <row r="205">
      <c r="A205" s="21" t="inlineStr">
        <is>
          <t>Покупка</t>
        </is>
      </c>
      <c r="B205" s="21" t="inlineStr">
        <is>
          <t>Загородная</t>
        </is>
      </c>
      <c r="C205" s="21" t="inlineStr">
        <is>
          <t>Волгоград</t>
        </is>
      </c>
      <c r="D205" s="22" t="n">
        <v>2901</v>
      </c>
      <c r="E205" s="21" t="n"/>
    </row>
    <row r="206">
      <c r="A206" s="33" t="inlineStr">
        <is>
          <t>Покупка</t>
        </is>
      </c>
      <c r="B206" s="34" t="inlineStr">
        <is>
          <t>Элитная</t>
        </is>
      </c>
      <c r="C206" s="33" t="inlineStr">
        <is>
          <t>🇷🇺 Вся Россия</t>
        </is>
      </c>
      <c r="D206" s="35" t="n">
        <v>264463</v>
      </c>
      <c r="E206" s="35" t="n">
        <v>260101</v>
      </c>
    </row>
    <row r="207">
      <c r="A207" s="21" t="inlineStr">
        <is>
          <t>Покупка</t>
        </is>
      </c>
      <c r="B207" s="21" t="inlineStr">
        <is>
          <t>Элитная</t>
        </is>
      </c>
      <c r="C207" s="21" t="inlineStr">
        <is>
          <t>Москва</t>
        </is>
      </c>
      <c r="D207" s="22" t="n">
        <v>18999</v>
      </c>
      <c r="E207" s="21" t="n"/>
    </row>
    <row r="208">
      <c r="A208" s="21" t="inlineStr">
        <is>
          <t>Покупка</t>
        </is>
      </c>
      <c r="B208" s="21" t="inlineStr">
        <is>
          <t>Элитная</t>
        </is>
      </c>
      <c r="C208" s="21" t="inlineStr">
        <is>
          <t>Санкт-Петербург</t>
        </is>
      </c>
      <c r="D208" s="22" t="n">
        <v>14858</v>
      </c>
      <c r="E208" s="21" t="n"/>
    </row>
    <row r="209">
      <c r="A209" s="21" t="inlineStr">
        <is>
          <t>Покупка</t>
        </is>
      </c>
      <c r="B209" s="21" t="inlineStr">
        <is>
          <t>Элитная</t>
        </is>
      </c>
      <c r="C209" s="21" t="inlineStr">
        <is>
          <t>Новосибирск</t>
        </is>
      </c>
      <c r="D209" s="22" t="n">
        <v>8445</v>
      </c>
      <c r="E209" s="21" t="n"/>
    </row>
    <row r="210">
      <c r="A210" s="21" t="inlineStr">
        <is>
          <t>Покупка</t>
        </is>
      </c>
      <c r="B210" s="21" t="inlineStr">
        <is>
          <t>Элитная</t>
        </is>
      </c>
      <c r="C210" s="21" t="inlineStr">
        <is>
          <t>Екатеринбург</t>
        </is>
      </c>
      <c r="D210" s="22" t="n">
        <v>13098</v>
      </c>
      <c r="E210" s="21" t="n"/>
    </row>
    <row r="211">
      <c r="A211" s="21" t="inlineStr">
        <is>
          <t>Покупка</t>
        </is>
      </c>
      <c r="B211" s="21" t="inlineStr">
        <is>
          <t>Элитная</t>
        </is>
      </c>
      <c r="C211" s="21" t="inlineStr">
        <is>
          <t>Казань</t>
        </is>
      </c>
      <c r="D211" s="22" t="n">
        <v>5343</v>
      </c>
      <c r="E211" s="21" t="n"/>
    </row>
    <row r="212">
      <c r="A212" s="21" t="inlineStr">
        <is>
          <t>Покупка</t>
        </is>
      </c>
      <c r="B212" s="21" t="inlineStr">
        <is>
          <t>Элитная</t>
        </is>
      </c>
      <c r="C212" s="21" t="inlineStr">
        <is>
          <t>Красноярск</t>
        </is>
      </c>
      <c r="D212" s="22" t="n">
        <v>5924</v>
      </c>
      <c r="E212" s="21" t="n"/>
    </row>
    <row r="213">
      <c r="A213" s="21" t="inlineStr">
        <is>
          <t>Покупка</t>
        </is>
      </c>
      <c r="B213" s="21" t="inlineStr">
        <is>
          <t>Элитная</t>
        </is>
      </c>
      <c r="C213" s="21" t="inlineStr">
        <is>
          <t>Нижний Новгород</t>
        </is>
      </c>
      <c r="D213" s="22" t="n">
        <v>3190</v>
      </c>
      <c r="E213" s="21" t="n"/>
    </row>
    <row r="214">
      <c r="A214" s="21" t="inlineStr">
        <is>
          <t>Покупка</t>
        </is>
      </c>
      <c r="B214" s="21" t="inlineStr">
        <is>
          <t>Элитная</t>
        </is>
      </c>
      <c r="C214" s="21" t="inlineStr">
        <is>
          <t>Челябинск</t>
        </is>
      </c>
      <c r="D214" s="22" t="n">
        <v>3921</v>
      </c>
      <c r="E214" s="21" t="n"/>
    </row>
    <row r="215">
      <c r="A215" s="21" t="inlineStr">
        <is>
          <t>Покупка</t>
        </is>
      </c>
      <c r="B215" s="21" t="inlineStr">
        <is>
          <t>Элитная</t>
        </is>
      </c>
      <c r="C215" s="21" t="inlineStr">
        <is>
          <t>Уфа</t>
        </is>
      </c>
      <c r="D215" s="22" t="n">
        <v>7380</v>
      </c>
      <c r="E215" s="21" t="n"/>
    </row>
    <row r="216">
      <c r="A216" s="21" t="inlineStr">
        <is>
          <t>Покупка</t>
        </is>
      </c>
      <c r="B216" s="21" t="inlineStr">
        <is>
          <t>Элитная</t>
        </is>
      </c>
      <c r="C216" s="21" t="inlineStr">
        <is>
          <t>Краснодар</t>
        </is>
      </c>
      <c r="D216" s="22" t="n">
        <v>13792</v>
      </c>
      <c r="E216" s="21" t="n"/>
    </row>
    <row r="217">
      <c r="A217" s="21" t="inlineStr">
        <is>
          <t>Покупка</t>
        </is>
      </c>
      <c r="B217" s="21" t="inlineStr">
        <is>
          <t>Элитная</t>
        </is>
      </c>
      <c r="C217" s="21" t="inlineStr">
        <is>
          <t>Самара</t>
        </is>
      </c>
      <c r="D217" s="22" t="n">
        <v>3732</v>
      </c>
      <c r="E217" s="21" t="n"/>
    </row>
    <row r="218">
      <c r="A218" s="21" t="inlineStr">
        <is>
          <t>Покупка</t>
        </is>
      </c>
      <c r="B218" s="21" t="inlineStr">
        <is>
          <t>Элитная</t>
        </is>
      </c>
      <c r="C218" s="21" t="inlineStr">
        <is>
          <t>Ростов-на-Дону</t>
        </is>
      </c>
      <c r="D218" s="22" t="n">
        <v>11120</v>
      </c>
      <c r="E218" s="21" t="n"/>
    </row>
    <row r="219">
      <c r="A219" s="21" t="inlineStr">
        <is>
          <t>Покупка</t>
        </is>
      </c>
      <c r="B219" s="21" t="inlineStr">
        <is>
          <t>Элитная</t>
        </is>
      </c>
      <c r="C219" s="21" t="inlineStr">
        <is>
          <t>Омск</t>
        </is>
      </c>
      <c r="D219" s="22" t="n">
        <v>3114</v>
      </c>
      <c r="E219" s="21" t="n"/>
    </row>
    <row r="220">
      <c r="A220" s="21" t="inlineStr">
        <is>
          <t>Покупка</t>
        </is>
      </c>
      <c r="B220" s="21" t="inlineStr">
        <is>
          <t>Элитная</t>
        </is>
      </c>
      <c r="C220" s="21" t="inlineStr">
        <is>
          <t>Воронеж</t>
        </is>
      </c>
      <c r="D220" s="22" t="n">
        <v>4735</v>
      </c>
      <c r="E220" s="21" t="n"/>
    </row>
    <row r="221">
      <c r="A221" s="21" t="inlineStr">
        <is>
          <t>Покупка</t>
        </is>
      </c>
      <c r="B221" s="21" t="inlineStr">
        <is>
          <t>Элитная</t>
        </is>
      </c>
      <c r="C221" s="21" t="inlineStr">
        <is>
          <t>Пермь</t>
        </is>
      </c>
      <c r="D221" s="22" t="n">
        <v>4188</v>
      </c>
      <c r="E221" s="21" t="n"/>
    </row>
    <row r="222">
      <c r="A222" s="21" t="inlineStr">
        <is>
          <t>Покупка</t>
        </is>
      </c>
      <c r="B222" s="21" t="inlineStr">
        <is>
          <t>Элитная</t>
        </is>
      </c>
      <c r="C222" s="21" t="inlineStr">
        <is>
          <t>Волгоград</t>
        </is>
      </c>
      <c r="D222" s="22" t="n">
        <v>3122</v>
      </c>
      <c r="E222" s="21" t="n"/>
    </row>
    <row r="223">
      <c r="A223" s="33" t="inlineStr">
        <is>
          <t>Покупка</t>
        </is>
      </c>
      <c r="B223" s="34" t="inlineStr">
        <is>
          <t>Дуплексы</t>
        </is>
      </c>
      <c r="C223" s="33" t="inlineStr">
        <is>
          <t>🇷🇺 Вся Россия</t>
        </is>
      </c>
      <c r="D223" s="35" t="n">
        <v>3673</v>
      </c>
      <c r="E223" s="35" t="n">
        <v>3674</v>
      </c>
    </row>
    <row r="224">
      <c r="A224" s="21" t="inlineStr">
        <is>
          <t>Покупка</t>
        </is>
      </c>
      <c r="B224" s="21" t="inlineStr">
        <is>
          <t>Дуплексы</t>
        </is>
      </c>
      <c r="C224" s="21" t="inlineStr">
        <is>
          <t>Москва</t>
        </is>
      </c>
      <c r="D224" s="22" t="n">
        <v>195</v>
      </c>
      <c r="E224" s="21" t="n"/>
    </row>
    <row r="225">
      <c r="A225" s="21" t="inlineStr">
        <is>
          <t>Покупка</t>
        </is>
      </c>
      <c r="B225" s="21" t="inlineStr">
        <is>
          <t>Дуплексы</t>
        </is>
      </c>
      <c r="C225" s="21" t="inlineStr">
        <is>
          <t>Санкт-Петербург</t>
        </is>
      </c>
      <c r="D225" s="22" t="n">
        <v>130</v>
      </c>
      <c r="E225" s="21" t="n"/>
    </row>
    <row r="226">
      <c r="A226" s="21" t="inlineStr">
        <is>
          <t>Покупка</t>
        </is>
      </c>
      <c r="B226" s="21" t="inlineStr">
        <is>
          <t>Дуплексы</t>
        </is>
      </c>
      <c r="C226" s="21" t="inlineStr">
        <is>
          <t>Новосибирск</t>
        </is>
      </c>
      <c r="D226" s="22" t="n">
        <v>63</v>
      </c>
      <c r="E226" s="21" t="n"/>
    </row>
    <row r="227">
      <c r="A227" s="21" t="inlineStr">
        <is>
          <t>Покупка</t>
        </is>
      </c>
      <c r="B227" s="21" t="inlineStr">
        <is>
          <t>Дуплексы</t>
        </is>
      </c>
      <c r="C227" s="21" t="inlineStr">
        <is>
          <t>Екатеринбург</t>
        </is>
      </c>
      <c r="D227" s="22" t="n">
        <v>52</v>
      </c>
      <c r="E227" s="21" t="n"/>
    </row>
    <row r="228">
      <c r="A228" s="21" t="inlineStr">
        <is>
          <t>Покупка</t>
        </is>
      </c>
      <c r="B228" s="21" t="inlineStr">
        <is>
          <t>Дуплексы</t>
        </is>
      </c>
      <c r="C228" s="21" t="inlineStr">
        <is>
          <t>Казань</t>
        </is>
      </c>
      <c r="D228" s="22" t="n">
        <v>55</v>
      </c>
      <c r="E228" s="21" t="n"/>
    </row>
    <row r="229">
      <c r="A229" s="21" t="inlineStr">
        <is>
          <t>Покупка</t>
        </is>
      </c>
      <c r="B229" s="21" t="inlineStr">
        <is>
          <t>Дуплексы</t>
        </is>
      </c>
      <c r="C229" s="21" t="inlineStr">
        <is>
          <t>Красноярск</t>
        </is>
      </c>
      <c r="D229" s="22" t="n">
        <v>12</v>
      </c>
      <c r="E229" s="21" t="n"/>
    </row>
    <row r="230">
      <c r="A230" s="21" t="inlineStr">
        <is>
          <t>Покупка</t>
        </is>
      </c>
      <c r="B230" s="21" t="inlineStr">
        <is>
          <t>Дуплексы</t>
        </is>
      </c>
      <c r="C230" s="21" t="inlineStr">
        <is>
          <t>Нижний Новгород</t>
        </is>
      </c>
      <c r="D230" s="22" t="n">
        <v>85</v>
      </c>
      <c r="E230" s="21" t="n"/>
    </row>
    <row r="231">
      <c r="A231" s="21" t="inlineStr">
        <is>
          <t>Покупка</t>
        </is>
      </c>
      <c r="B231" s="21" t="inlineStr">
        <is>
          <t>Дуплексы</t>
        </is>
      </c>
      <c r="C231" s="21" t="inlineStr">
        <is>
          <t>Челябинск</t>
        </is>
      </c>
      <c r="D231" s="22" t="n">
        <v>27</v>
      </c>
      <c r="E231" s="21" t="n"/>
    </row>
    <row r="232">
      <c r="A232" s="21" t="inlineStr">
        <is>
          <t>Покупка</t>
        </is>
      </c>
      <c r="B232" s="21" t="inlineStr">
        <is>
          <t>Дуплексы</t>
        </is>
      </c>
      <c r="C232" s="21" t="inlineStr">
        <is>
          <t>Уфа</t>
        </is>
      </c>
      <c r="D232" s="22" t="n">
        <v>138</v>
      </c>
      <c r="E232" s="21" t="n"/>
    </row>
    <row r="233">
      <c r="A233" s="21" t="inlineStr">
        <is>
          <t>Покупка</t>
        </is>
      </c>
      <c r="B233" s="21" t="inlineStr">
        <is>
          <t>Дуплексы</t>
        </is>
      </c>
      <c r="C233" s="21" t="inlineStr">
        <is>
          <t>Краснодар</t>
        </is>
      </c>
      <c r="D233" s="22" t="n">
        <v>573</v>
      </c>
      <c r="E233" s="21" t="n"/>
    </row>
    <row r="234">
      <c r="A234" s="21" t="inlineStr">
        <is>
          <t>Покупка</t>
        </is>
      </c>
      <c r="B234" s="21" t="inlineStr">
        <is>
          <t>Дуплексы</t>
        </is>
      </c>
      <c r="C234" s="21" t="inlineStr">
        <is>
          <t>Самара</t>
        </is>
      </c>
      <c r="D234" s="22" t="n">
        <v>46</v>
      </c>
      <c r="E234" s="21" t="n"/>
    </row>
    <row r="235">
      <c r="A235" s="21" t="inlineStr">
        <is>
          <t>Покупка</t>
        </is>
      </c>
      <c r="B235" s="21" t="inlineStr">
        <is>
          <t>Дуплексы</t>
        </is>
      </c>
      <c r="C235" s="21" t="inlineStr">
        <is>
          <t>Ростов-на-Дону</t>
        </is>
      </c>
      <c r="D235" s="22" t="n">
        <v>64</v>
      </c>
      <c r="E235" s="21" t="n"/>
    </row>
    <row r="236">
      <c r="A236" s="21" t="inlineStr">
        <is>
          <t>Покупка</t>
        </is>
      </c>
      <c r="B236" s="21" t="inlineStr">
        <is>
          <t>Дуплексы</t>
        </is>
      </c>
      <c r="C236" s="21" t="inlineStr">
        <is>
          <t>Омск</t>
        </is>
      </c>
      <c r="D236" s="22" t="n">
        <v>23</v>
      </c>
      <c r="E236" s="21" t="n"/>
    </row>
    <row r="237">
      <c r="A237" s="21" t="inlineStr">
        <is>
          <t>Покупка</t>
        </is>
      </c>
      <c r="B237" s="21" t="inlineStr">
        <is>
          <t>Дуплексы</t>
        </is>
      </c>
      <c r="C237" s="21" t="inlineStr">
        <is>
          <t>Воронеж</t>
        </is>
      </c>
      <c r="D237" s="22" t="n">
        <v>31</v>
      </c>
      <c r="E237" s="21" t="n"/>
    </row>
    <row r="238">
      <c r="A238" s="21" t="inlineStr">
        <is>
          <t>Покупка</t>
        </is>
      </c>
      <c r="B238" s="21" t="inlineStr">
        <is>
          <t>Дуплексы</t>
        </is>
      </c>
      <c r="C238" s="21" t="inlineStr">
        <is>
          <t>Пермь</t>
        </is>
      </c>
      <c r="D238" s="22" t="n">
        <v>39</v>
      </c>
      <c r="E238" s="21" t="n"/>
    </row>
    <row r="239">
      <c r="A239" s="21" t="inlineStr">
        <is>
          <t>Покупка</t>
        </is>
      </c>
      <c r="B239" s="21" t="inlineStr">
        <is>
          <t>Дуплексы</t>
        </is>
      </c>
      <c r="C239" s="21" t="inlineStr">
        <is>
          <t>Волгоград</t>
        </is>
      </c>
      <c r="D239" s="22" t="n">
        <v>15</v>
      </c>
      <c r="E239" s="21" t="n"/>
    </row>
    <row r="240">
      <c r="A240" s="33" t="inlineStr">
        <is>
          <t>Покупка</t>
        </is>
      </c>
      <c r="B240" s="34" t="inlineStr">
        <is>
          <t>Коммерческая</t>
        </is>
      </c>
      <c r="C240" s="33" t="inlineStr">
        <is>
          <t>🇷🇺 Вся Россия</t>
        </is>
      </c>
      <c r="D240" s="35" t="n">
        <v>82342</v>
      </c>
      <c r="E240" s="35" t="n">
        <v>82082</v>
      </c>
    </row>
    <row r="241">
      <c r="A241" s="21" t="inlineStr">
        <is>
          <t>Покупка</t>
        </is>
      </c>
      <c r="B241" s="21" t="inlineStr">
        <is>
          <t>Коммерческая</t>
        </is>
      </c>
      <c r="C241" s="21" t="inlineStr">
        <is>
          <t>Москва</t>
        </is>
      </c>
      <c r="D241" s="22" t="n">
        <v>40354</v>
      </c>
      <c r="E241" s="21" t="n"/>
    </row>
    <row r="242">
      <c r="A242" s="21" t="inlineStr">
        <is>
          <t>Покупка</t>
        </is>
      </c>
      <c r="B242" s="21" t="inlineStr">
        <is>
          <t>Коммерческая</t>
        </is>
      </c>
      <c r="C242" s="21" t="inlineStr">
        <is>
          <t>Санкт-Петербург</t>
        </is>
      </c>
      <c r="D242" s="22" t="n">
        <v>4315</v>
      </c>
      <c r="E242" s="21" t="n"/>
    </row>
    <row r="243">
      <c r="A243" s="21" t="inlineStr">
        <is>
          <t>Покупка</t>
        </is>
      </c>
      <c r="B243" s="21" t="inlineStr">
        <is>
          <t>Коммерческая</t>
        </is>
      </c>
      <c r="C243" s="21" t="inlineStr">
        <is>
          <t>Новосибирск</t>
        </is>
      </c>
      <c r="D243" s="22" t="n">
        <v>1518</v>
      </c>
      <c r="E243" s="21" t="n"/>
    </row>
    <row r="244">
      <c r="A244" s="21" t="inlineStr">
        <is>
          <t>Покупка</t>
        </is>
      </c>
      <c r="B244" s="21" t="inlineStr">
        <is>
          <t>Коммерческая</t>
        </is>
      </c>
      <c r="C244" s="21" t="inlineStr">
        <is>
          <t>Екатеринбург</t>
        </is>
      </c>
      <c r="D244" s="22" t="n">
        <v>901</v>
      </c>
      <c r="E244" s="21" t="n"/>
    </row>
    <row r="245">
      <c r="A245" s="21" t="inlineStr">
        <is>
          <t>Покупка</t>
        </is>
      </c>
      <c r="B245" s="21" t="inlineStr">
        <is>
          <t>Коммерческая</t>
        </is>
      </c>
      <c r="C245" s="21" t="inlineStr">
        <is>
          <t>Казань</t>
        </is>
      </c>
      <c r="D245" s="22" t="n">
        <v>1213</v>
      </c>
      <c r="E245" s="21" t="n"/>
    </row>
    <row r="246">
      <c r="A246" s="21" t="inlineStr">
        <is>
          <t>Покупка</t>
        </is>
      </c>
      <c r="B246" s="21" t="inlineStr">
        <is>
          <t>Коммерческая</t>
        </is>
      </c>
      <c r="C246" s="21" t="inlineStr">
        <is>
          <t>Красноярск</t>
        </is>
      </c>
      <c r="D246" s="22" t="n">
        <v>873</v>
      </c>
      <c r="E246" s="21" t="n"/>
    </row>
    <row r="247">
      <c r="A247" s="21" t="inlineStr">
        <is>
          <t>Покупка</t>
        </is>
      </c>
      <c r="B247" s="21" t="inlineStr">
        <is>
          <t>Коммерческая</t>
        </is>
      </c>
      <c r="C247" s="21" t="inlineStr">
        <is>
          <t>Нижний Новгород</t>
        </is>
      </c>
      <c r="D247" s="22" t="n">
        <v>673</v>
      </c>
      <c r="E247" s="21" t="n"/>
    </row>
    <row r="248">
      <c r="A248" s="21" t="inlineStr">
        <is>
          <t>Покупка</t>
        </is>
      </c>
      <c r="B248" s="21" t="inlineStr">
        <is>
          <t>Коммерческая</t>
        </is>
      </c>
      <c r="C248" s="21" t="inlineStr">
        <is>
          <t>Челябинск</t>
        </is>
      </c>
      <c r="D248" s="22" t="n">
        <v>512</v>
      </c>
      <c r="E248" s="21" t="n"/>
    </row>
    <row r="249">
      <c r="A249" s="21" t="inlineStr">
        <is>
          <t>Покупка</t>
        </is>
      </c>
      <c r="B249" s="21" t="inlineStr">
        <is>
          <t>Коммерческая</t>
        </is>
      </c>
      <c r="C249" s="21" t="inlineStr">
        <is>
          <t>Уфа</t>
        </is>
      </c>
      <c r="D249" s="22" t="n">
        <v>843</v>
      </c>
      <c r="E249" s="21" t="n"/>
    </row>
    <row r="250">
      <c r="A250" s="21" t="inlineStr">
        <is>
          <t>Покупка</t>
        </is>
      </c>
      <c r="B250" s="21" t="inlineStr">
        <is>
          <t>Коммерческая</t>
        </is>
      </c>
      <c r="C250" s="21" t="inlineStr">
        <is>
          <t>Краснодар</t>
        </is>
      </c>
      <c r="D250" s="22" t="n">
        <v>2842</v>
      </c>
      <c r="E250" s="21" t="n"/>
    </row>
    <row r="251">
      <c r="A251" s="21" t="inlineStr">
        <is>
          <t>Покупка</t>
        </is>
      </c>
      <c r="B251" s="21" t="inlineStr">
        <is>
          <t>Коммерческая</t>
        </is>
      </c>
      <c r="C251" s="21" t="inlineStr">
        <is>
          <t>Самара</t>
        </is>
      </c>
      <c r="D251" s="22" t="n">
        <v>814</v>
      </c>
      <c r="E251" s="21" t="n"/>
    </row>
    <row r="252">
      <c r="A252" s="21" t="inlineStr">
        <is>
          <t>Покупка</t>
        </is>
      </c>
      <c r="B252" s="21" t="inlineStr">
        <is>
          <t>Коммерческая</t>
        </is>
      </c>
      <c r="C252" s="21" t="inlineStr">
        <is>
          <t>Ростов-на-Дону</t>
        </is>
      </c>
      <c r="D252" s="22" t="n">
        <v>1230</v>
      </c>
      <c r="E252" s="21" t="n"/>
    </row>
    <row r="253">
      <c r="A253" s="21" t="inlineStr">
        <is>
          <t>Покупка</t>
        </is>
      </c>
      <c r="B253" s="21" t="inlineStr">
        <is>
          <t>Коммерческая</t>
        </is>
      </c>
      <c r="C253" s="21" t="inlineStr">
        <is>
          <t>Омск</t>
        </is>
      </c>
      <c r="D253" s="22" t="n">
        <v>966</v>
      </c>
      <c r="E253" s="21" t="n"/>
    </row>
    <row r="254">
      <c r="A254" s="21" t="inlineStr">
        <is>
          <t>Покупка</t>
        </is>
      </c>
      <c r="B254" s="21" t="inlineStr">
        <is>
          <t>Коммерческая</t>
        </is>
      </c>
      <c r="C254" s="21" t="inlineStr">
        <is>
          <t>Воронеж</t>
        </is>
      </c>
      <c r="D254" s="22" t="n">
        <v>464</v>
      </c>
      <c r="E254" s="21" t="n"/>
    </row>
    <row r="255">
      <c r="A255" s="21" t="inlineStr">
        <is>
          <t>Покупка</t>
        </is>
      </c>
      <c r="B255" s="21" t="inlineStr">
        <is>
          <t>Коммерческая</t>
        </is>
      </c>
      <c r="C255" s="21" t="inlineStr">
        <is>
          <t>Пермь</t>
        </is>
      </c>
      <c r="D255" s="22" t="n">
        <v>228</v>
      </c>
      <c r="E255" s="21" t="n"/>
    </row>
    <row r="256">
      <c r="A256" s="21" t="inlineStr">
        <is>
          <t>Покупка</t>
        </is>
      </c>
      <c r="B256" s="21" t="inlineStr">
        <is>
          <t>Коммерческая</t>
        </is>
      </c>
      <c r="C256" s="21" t="inlineStr">
        <is>
          <t>Волгоград</t>
        </is>
      </c>
      <c r="D256" s="22" t="n">
        <v>453</v>
      </c>
      <c r="E256" s="21" t="n"/>
    </row>
    <row r="257">
      <c r="A257" s="33" t="inlineStr">
        <is>
          <t>Аренда</t>
        </is>
      </c>
      <c r="B257" s="34" t="inlineStr">
        <is>
          <t>Квартиры</t>
        </is>
      </c>
      <c r="C257" s="33" t="inlineStr">
        <is>
          <t>🇷🇺 Вся Россия</t>
        </is>
      </c>
      <c r="D257" s="35" t="n">
        <v>55023</v>
      </c>
      <c r="E257" s="35" t="n">
        <v>54752</v>
      </c>
    </row>
    <row r="258">
      <c r="A258" s="21" t="inlineStr">
        <is>
          <t>Аренда</t>
        </is>
      </c>
      <c r="B258" s="21" t="inlineStr">
        <is>
          <t>Квартиры</t>
        </is>
      </c>
      <c r="C258" s="21" t="inlineStr">
        <is>
          <t>Москва</t>
        </is>
      </c>
      <c r="D258" s="22" t="n">
        <v>4262</v>
      </c>
      <c r="E258" s="21" t="n"/>
    </row>
    <row r="259">
      <c r="A259" s="21" t="inlineStr">
        <is>
          <t>Аренда</t>
        </is>
      </c>
      <c r="B259" s="21" t="inlineStr">
        <is>
          <t>Квартиры</t>
        </is>
      </c>
      <c r="C259" s="21" t="inlineStr">
        <is>
          <t>Санкт-Петербург</t>
        </is>
      </c>
      <c r="D259" s="22" t="n">
        <v>2799</v>
      </c>
      <c r="E259" s="21" t="n"/>
    </row>
    <row r="260">
      <c r="A260" s="21" t="inlineStr">
        <is>
          <t>Аренда</t>
        </is>
      </c>
      <c r="B260" s="21" t="inlineStr">
        <is>
          <t>Квартиры</t>
        </is>
      </c>
      <c r="C260" s="21" t="inlineStr">
        <is>
          <t>Новосибирск</t>
        </is>
      </c>
      <c r="D260" s="22" t="n">
        <v>6945</v>
      </c>
      <c r="E260" s="21" t="n"/>
    </row>
    <row r="261">
      <c r="A261" s="21" t="inlineStr">
        <is>
          <t>Аренда</t>
        </is>
      </c>
      <c r="B261" s="21" t="inlineStr">
        <is>
          <t>Квартиры</t>
        </is>
      </c>
      <c r="C261" s="21" t="inlineStr">
        <is>
          <t>Екатеринбург</t>
        </is>
      </c>
      <c r="D261" s="22" t="n">
        <v>1459</v>
      </c>
      <c r="E261" s="21" t="n"/>
    </row>
    <row r="262">
      <c r="A262" s="21" t="inlineStr">
        <is>
          <t>Аренда</t>
        </is>
      </c>
      <c r="B262" s="21" t="inlineStr">
        <is>
          <t>Квартиры</t>
        </is>
      </c>
      <c r="C262" s="21" t="inlineStr">
        <is>
          <t>Казань</t>
        </is>
      </c>
      <c r="D262" s="22" t="n">
        <v>2894</v>
      </c>
      <c r="E262" s="21" t="n"/>
    </row>
    <row r="263">
      <c r="A263" s="21" t="inlineStr">
        <is>
          <t>Аренда</t>
        </is>
      </c>
      <c r="B263" s="21" t="inlineStr">
        <is>
          <t>Квартиры</t>
        </is>
      </c>
      <c r="C263" s="21" t="inlineStr">
        <is>
          <t>Красноярск</t>
        </is>
      </c>
      <c r="D263" s="22" t="n">
        <v>2010</v>
      </c>
      <c r="E263" s="21" t="n"/>
    </row>
    <row r="264">
      <c r="A264" s="21" t="inlineStr">
        <is>
          <t>Аренда</t>
        </is>
      </c>
      <c r="B264" s="21" t="inlineStr">
        <is>
          <t>Квартиры</t>
        </is>
      </c>
      <c r="C264" s="21" t="inlineStr">
        <is>
          <t>Нижний Новгород</t>
        </is>
      </c>
      <c r="D264" s="22" t="n">
        <v>350</v>
      </c>
      <c r="E264" s="21" t="n"/>
    </row>
    <row r="265">
      <c r="A265" s="21" t="inlineStr">
        <is>
          <t>Аренда</t>
        </is>
      </c>
      <c r="B265" s="21" t="inlineStr">
        <is>
          <t>Квартиры</t>
        </is>
      </c>
      <c r="C265" s="21" t="inlineStr">
        <is>
          <t>Челябинск</t>
        </is>
      </c>
      <c r="D265" s="22" t="n">
        <v>776</v>
      </c>
      <c r="E265" s="21" t="n"/>
    </row>
    <row r="266">
      <c r="A266" s="21" t="inlineStr">
        <is>
          <t>Аренда</t>
        </is>
      </c>
      <c r="B266" s="21" t="inlineStr">
        <is>
          <t>Квартиры</t>
        </is>
      </c>
      <c r="C266" s="21" t="inlineStr">
        <is>
          <t>Уфа</t>
        </is>
      </c>
      <c r="D266" s="22" t="n">
        <v>4401</v>
      </c>
      <c r="E266" s="21" t="n"/>
    </row>
    <row r="267">
      <c r="A267" s="21" t="inlineStr">
        <is>
          <t>Аренда</t>
        </is>
      </c>
      <c r="B267" s="21" t="inlineStr">
        <is>
          <t>Квартиры</t>
        </is>
      </c>
      <c r="C267" s="21" t="inlineStr">
        <is>
          <t>Краснодар</t>
        </is>
      </c>
      <c r="D267" s="22" t="n">
        <v>1581</v>
      </c>
      <c r="E267" s="21" t="n"/>
    </row>
    <row r="268">
      <c r="A268" s="21" t="inlineStr">
        <is>
          <t>Аренда</t>
        </is>
      </c>
      <c r="B268" s="21" t="inlineStr">
        <is>
          <t>Квартиры</t>
        </is>
      </c>
      <c r="C268" s="21" t="inlineStr">
        <is>
          <t>Самара</t>
        </is>
      </c>
      <c r="D268" s="22" t="n">
        <v>568</v>
      </c>
      <c r="E268" s="21" t="n"/>
    </row>
    <row r="269">
      <c r="A269" s="21" t="inlineStr">
        <is>
          <t>Аренда</t>
        </is>
      </c>
      <c r="B269" s="21" t="inlineStr">
        <is>
          <t>Квартиры</t>
        </is>
      </c>
      <c r="C269" s="21" t="inlineStr">
        <is>
          <t>Ростов-на-Дону</t>
        </is>
      </c>
      <c r="D269" s="22" t="n">
        <v>1497</v>
      </c>
      <c r="E269" s="21" t="n"/>
    </row>
    <row r="270">
      <c r="A270" s="21" t="inlineStr">
        <is>
          <t>Аренда</t>
        </is>
      </c>
      <c r="B270" s="21" t="inlineStr">
        <is>
          <t>Квартиры</t>
        </is>
      </c>
      <c r="C270" s="21" t="inlineStr">
        <is>
          <t>Омск</t>
        </is>
      </c>
      <c r="D270" s="22" t="n">
        <v>460</v>
      </c>
      <c r="E270" s="21" t="n"/>
    </row>
    <row r="271">
      <c r="A271" s="21" t="inlineStr">
        <is>
          <t>Аренда</t>
        </is>
      </c>
      <c r="B271" s="21" t="inlineStr">
        <is>
          <t>Квартиры</t>
        </is>
      </c>
      <c r="C271" s="21" t="inlineStr">
        <is>
          <t>Воронеж</t>
        </is>
      </c>
      <c r="D271" s="22" t="n">
        <v>586</v>
      </c>
      <c r="E271" s="21" t="n"/>
    </row>
    <row r="272">
      <c r="A272" s="21" t="inlineStr">
        <is>
          <t>Аренда</t>
        </is>
      </c>
      <c r="B272" s="21" t="inlineStr">
        <is>
          <t>Квартиры</t>
        </is>
      </c>
      <c r="C272" s="21" t="inlineStr">
        <is>
          <t>Пермь</t>
        </is>
      </c>
      <c r="D272" s="22" t="n">
        <v>350</v>
      </c>
      <c r="E272" s="21" t="n"/>
    </row>
    <row r="273">
      <c r="A273" s="21" t="inlineStr">
        <is>
          <t>Аренда</t>
        </is>
      </c>
      <c r="B273" s="21" t="inlineStr">
        <is>
          <t>Квартиры</t>
        </is>
      </c>
      <c r="C273" s="21" t="inlineStr">
        <is>
          <t>Волгоград</t>
        </is>
      </c>
      <c r="D273" s="22" t="n">
        <v>395</v>
      </c>
      <c r="E273" s="21" t="n"/>
    </row>
    <row r="274">
      <c r="A274" s="33" t="inlineStr">
        <is>
          <t>Аренда</t>
        </is>
      </c>
      <c r="B274" s="34" t="inlineStr">
        <is>
          <t>Комнаты</t>
        </is>
      </c>
      <c r="C274" s="33" t="inlineStr">
        <is>
          <t>🇷🇺 Вся Россия</t>
        </is>
      </c>
      <c r="D274" s="35" t="n">
        <v>2401</v>
      </c>
      <c r="E274" s="35" t="n">
        <v>2379</v>
      </c>
    </row>
    <row r="275">
      <c r="A275" s="21" t="inlineStr">
        <is>
          <t>Аренда</t>
        </is>
      </c>
      <c r="B275" s="21" t="inlineStr">
        <is>
          <t>Комнаты</t>
        </is>
      </c>
      <c r="C275" s="21" t="inlineStr">
        <is>
          <t>Москва</t>
        </is>
      </c>
      <c r="D275" s="22" t="n">
        <v>296</v>
      </c>
      <c r="E275" s="21" t="n"/>
    </row>
    <row r="276">
      <c r="A276" s="21" t="inlineStr">
        <is>
          <t>Аренда</t>
        </is>
      </c>
      <c r="B276" s="21" t="inlineStr">
        <is>
          <t>Комнаты</t>
        </is>
      </c>
      <c r="C276" s="21" t="inlineStr">
        <is>
          <t>Санкт-Петербург</t>
        </is>
      </c>
      <c r="D276" s="22" t="n">
        <v>192</v>
      </c>
      <c r="E276" s="21" t="n"/>
    </row>
    <row r="277">
      <c r="A277" s="21" t="inlineStr">
        <is>
          <t>Аренда</t>
        </is>
      </c>
      <c r="B277" s="21" t="inlineStr">
        <is>
          <t>Комнаты</t>
        </is>
      </c>
      <c r="C277" s="21" t="inlineStr">
        <is>
          <t>Новосибирск</t>
        </is>
      </c>
      <c r="D277" s="22" t="n">
        <v>125</v>
      </c>
      <c r="E277" s="21" t="n"/>
    </row>
    <row r="278">
      <c r="A278" s="21" t="inlineStr">
        <is>
          <t>Аренда</t>
        </is>
      </c>
      <c r="B278" s="21" t="inlineStr">
        <is>
          <t>Комнаты</t>
        </is>
      </c>
      <c r="C278" s="21" t="inlineStr">
        <is>
          <t>Екатеринбург</t>
        </is>
      </c>
      <c r="D278" s="22" t="n">
        <v>77</v>
      </c>
      <c r="E278" s="21" t="n"/>
    </row>
    <row r="279">
      <c r="A279" s="21" t="inlineStr">
        <is>
          <t>Аренда</t>
        </is>
      </c>
      <c r="B279" s="21" t="inlineStr">
        <is>
          <t>Комнаты</t>
        </is>
      </c>
      <c r="C279" s="21" t="inlineStr">
        <is>
          <t>Казань</t>
        </is>
      </c>
      <c r="D279" s="22" t="n">
        <v>62</v>
      </c>
      <c r="E279" s="21" t="n"/>
    </row>
    <row r="280">
      <c r="A280" s="21" t="inlineStr">
        <is>
          <t>Аренда</t>
        </is>
      </c>
      <c r="B280" s="21" t="inlineStr">
        <is>
          <t>Комнаты</t>
        </is>
      </c>
      <c r="C280" s="21" t="inlineStr">
        <is>
          <t>Красноярск</t>
        </is>
      </c>
      <c r="D280" s="22" t="n">
        <v>92</v>
      </c>
      <c r="E280" s="21" t="n"/>
    </row>
    <row r="281">
      <c r="A281" s="21" t="inlineStr">
        <is>
          <t>Аренда</t>
        </is>
      </c>
      <c r="B281" s="21" t="inlineStr">
        <is>
          <t>Комнаты</t>
        </is>
      </c>
      <c r="C281" s="21" t="inlineStr">
        <is>
          <t>Нижний Новгород</t>
        </is>
      </c>
      <c r="D281" s="22" t="n">
        <v>21</v>
      </c>
      <c r="E281" s="21" t="n"/>
    </row>
    <row r="282">
      <c r="A282" s="21" t="inlineStr">
        <is>
          <t>Аренда</t>
        </is>
      </c>
      <c r="B282" s="21" t="inlineStr">
        <is>
          <t>Комнаты</t>
        </is>
      </c>
      <c r="C282" s="21" t="inlineStr">
        <is>
          <t>Челябинск</t>
        </is>
      </c>
      <c r="D282" s="22" t="n">
        <v>41</v>
      </c>
      <c r="E282" s="21" t="n"/>
    </row>
    <row r="283">
      <c r="A283" s="21" t="inlineStr">
        <is>
          <t>Аренда</t>
        </is>
      </c>
      <c r="B283" s="21" t="inlineStr">
        <is>
          <t>Комнаты</t>
        </is>
      </c>
      <c r="C283" s="21" t="inlineStr">
        <is>
          <t>Уфа</t>
        </is>
      </c>
      <c r="D283" s="22" t="n">
        <v>350</v>
      </c>
      <c r="E283" s="21" t="n"/>
    </row>
    <row r="284">
      <c r="A284" s="21" t="inlineStr">
        <is>
          <t>Аренда</t>
        </is>
      </c>
      <c r="B284" s="21" t="inlineStr">
        <is>
          <t>Комнаты</t>
        </is>
      </c>
      <c r="C284" s="21" t="inlineStr">
        <is>
          <t>Краснодар</t>
        </is>
      </c>
      <c r="D284" s="22" t="n">
        <v>21</v>
      </c>
      <c r="E284" s="21" t="n"/>
    </row>
    <row r="285">
      <c r="A285" s="21" t="inlineStr">
        <is>
          <t>Аренда</t>
        </is>
      </c>
      <c r="B285" s="21" t="inlineStr">
        <is>
          <t>Комнаты</t>
        </is>
      </c>
      <c r="C285" s="21" t="inlineStr">
        <is>
          <t>Самара</t>
        </is>
      </c>
      <c r="D285" s="22" t="n">
        <v>27</v>
      </c>
      <c r="E285" s="21" t="n"/>
    </row>
    <row r="286">
      <c r="A286" s="21" t="inlineStr">
        <is>
          <t>Аренда</t>
        </is>
      </c>
      <c r="B286" s="21" t="inlineStr">
        <is>
          <t>Комнаты</t>
        </is>
      </c>
      <c r="C286" s="21" t="inlineStr">
        <is>
          <t>Ростов-на-Дону</t>
        </is>
      </c>
      <c r="D286" s="22" t="n">
        <v>34</v>
      </c>
      <c r="E286" s="21" t="n"/>
    </row>
    <row r="287">
      <c r="A287" s="21" t="inlineStr">
        <is>
          <t>Аренда</t>
        </is>
      </c>
      <c r="B287" s="21" t="inlineStr">
        <is>
          <t>Комнаты</t>
        </is>
      </c>
      <c r="C287" s="21" t="inlineStr">
        <is>
          <t>Омск</t>
        </is>
      </c>
      <c r="D287" s="22" t="n">
        <v>41</v>
      </c>
      <c r="E287" s="21" t="n"/>
    </row>
    <row r="288">
      <c r="A288" s="21" t="inlineStr">
        <is>
          <t>Аренда</t>
        </is>
      </c>
      <c r="B288" s="21" t="inlineStr">
        <is>
          <t>Комнаты</t>
        </is>
      </c>
      <c r="C288" s="21" t="inlineStr">
        <is>
          <t>Воронеж</t>
        </is>
      </c>
      <c r="D288" s="22" t="n">
        <v>19</v>
      </c>
      <c r="E288" s="21" t="n"/>
    </row>
    <row r="289">
      <c r="A289" s="21" t="inlineStr">
        <is>
          <t>Аренда</t>
        </is>
      </c>
      <c r="B289" s="21" t="inlineStr">
        <is>
          <t>Комнаты</t>
        </is>
      </c>
      <c r="C289" s="21" t="inlineStr">
        <is>
          <t>Пермь</t>
        </is>
      </c>
      <c r="D289" s="22" t="n">
        <v>33</v>
      </c>
      <c r="E289" s="21" t="n"/>
    </row>
    <row r="290">
      <c r="A290" s="21" t="inlineStr">
        <is>
          <t>Аренда</t>
        </is>
      </c>
      <c r="B290" s="21" t="inlineStr">
        <is>
          <t>Комнаты</t>
        </is>
      </c>
      <c r="C290" s="21" t="inlineStr">
        <is>
          <t>Волгоград</t>
        </is>
      </c>
      <c r="D290" s="22" t="n">
        <v>38</v>
      </c>
      <c r="E290" s="21" t="n"/>
    </row>
    <row r="291">
      <c r="A291" s="33" t="inlineStr">
        <is>
          <t>Аренда</t>
        </is>
      </c>
      <c r="B291" s="34" t="inlineStr">
        <is>
          <t>Дома</t>
        </is>
      </c>
      <c r="C291" s="33" t="inlineStr">
        <is>
          <t>🇷🇺 Вся Россия</t>
        </is>
      </c>
      <c r="D291" s="35" t="n">
        <v>821</v>
      </c>
      <c r="E291" s="35" t="n">
        <v>821</v>
      </c>
    </row>
    <row r="292">
      <c r="A292" s="21" t="inlineStr">
        <is>
          <t>Аренда</t>
        </is>
      </c>
      <c r="B292" s="21" t="inlineStr">
        <is>
          <t>Дома</t>
        </is>
      </c>
      <c r="C292" s="21" t="inlineStr">
        <is>
          <t>Москва</t>
        </is>
      </c>
      <c r="D292" s="22" t="n">
        <v>80</v>
      </c>
      <c r="E292" s="21" t="n"/>
    </row>
    <row r="293">
      <c r="A293" s="21" t="inlineStr">
        <is>
          <t>Аренда</t>
        </is>
      </c>
      <c r="B293" s="21" t="inlineStr">
        <is>
          <t>Дома</t>
        </is>
      </c>
      <c r="C293" s="21" t="inlineStr">
        <is>
          <t>Санкт-Петербург</t>
        </is>
      </c>
      <c r="D293" s="22" t="n">
        <v>43</v>
      </c>
      <c r="E293" s="21" t="n"/>
    </row>
    <row r="294">
      <c r="A294" s="21" t="inlineStr">
        <is>
          <t>Аренда</t>
        </is>
      </c>
      <c r="B294" s="21" t="inlineStr">
        <is>
          <t>Дома</t>
        </is>
      </c>
      <c r="C294" s="21" t="inlineStr">
        <is>
          <t>Новосибирск</t>
        </is>
      </c>
      <c r="D294" s="22" t="n">
        <v>38</v>
      </c>
      <c r="E294" s="21" t="n"/>
    </row>
    <row r="295">
      <c r="A295" s="21" t="inlineStr">
        <is>
          <t>Аренда</t>
        </is>
      </c>
      <c r="B295" s="21" t="inlineStr">
        <is>
          <t>Дома</t>
        </is>
      </c>
      <c r="C295" s="21" t="inlineStr">
        <is>
          <t>Екатеринбург</t>
        </is>
      </c>
      <c r="D295" s="22" t="n">
        <v>12</v>
      </c>
      <c r="E295" s="21" t="n"/>
    </row>
    <row r="296">
      <c r="A296" s="21" t="inlineStr">
        <is>
          <t>Аренда</t>
        </is>
      </c>
      <c r="B296" s="21" t="inlineStr">
        <is>
          <t>Дома</t>
        </is>
      </c>
      <c r="C296" s="21" t="inlineStr">
        <is>
          <t>Казань</t>
        </is>
      </c>
      <c r="D296" s="22" t="n">
        <v>35</v>
      </c>
      <c r="E296" s="21" t="n"/>
    </row>
    <row r="297">
      <c r="A297" s="21" t="inlineStr">
        <is>
          <t>Аренда</t>
        </is>
      </c>
      <c r="B297" s="21" t="inlineStr">
        <is>
          <t>Дома</t>
        </is>
      </c>
      <c r="C297" s="21" t="inlineStr">
        <is>
          <t>Красноярск</t>
        </is>
      </c>
      <c r="D297" s="22" t="n">
        <v>20</v>
      </c>
      <c r="E297" s="21" t="n"/>
    </row>
    <row r="298">
      <c r="A298" s="21" t="inlineStr">
        <is>
          <t>Аренда</t>
        </is>
      </c>
      <c r="B298" s="21" t="inlineStr">
        <is>
          <t>Дома</t>
        </is>
      </c>
      <c r="C298" s="21" t="inlineStr">
        <is>
          <t>Нижний Новгород</t>
        </is>
      </c>
      <c r="D298" s="22" t="n">
        <v>5</v>
      </c>
      <c r="E298" s="21" t="n"/>
    </row>
    <row r="299">
      <c r="A299" s="21" t="inlineStr">
        <is>
          <t>Аренда</t>
        </is>
      </c>
      <c r="B299" s="21" t="inlineStr">
        <is>
          <t>Дома</t>
        </is>
      </c>
      <c r="C299" s="21" t="inlineStr">
        <is>
          <t>Челябинск</t>
        </is>
      </c>
      <c r="D299" s="22" t="n">
        <v>6</v>
      </c>
      <c r="E299" s="21" t="n"/>
    </row>
    <row r="300">
      <c r="A300" s="21" t="inlineStr">
        <is>
          <t>Аренда</t>
        </is>
      </c>
      <c r="B300" s="21" t="inlineStr">
        <is>
          <t>Дома</t>
        </is>
      </c>
      <c r="C300" s="21" t="inlineStr">
        <is>
          <t>Уфа</t>
        </is>
      </c>
      <c r="D300" s="22" t="n">
        <v>17</v>
      </c>
      <c r="E300" s="21" t="n"/>
    </row>
    <row r="301">
      <c r="A301" s="21" t="inlineStr">
        <is>
          <t>Аренда</t>
        </is>
      </c>
      <c r="B301" s="21" t="inlineStr">
        <is>
          <t>Дома</t>
        </is>
      </c>
      <c r="C301" s="21" t="inlineStr">
        <is>
          <t>Краснодар</t>
        </is>
      </c>
      <c r="D301" s="22" t="n">
        <v>57</v>
      </c>
      <c r="E301" s="21" t="n"/>
    </row>
    <row r="302">
      <c r="A302" s="21" t="inlineStr">
        <is>
          <t>Аренда</t>
        </is>
      </c>
      <c r="B302" s="21" t="inlineStr">
        <is>
          <t>Дома</t>
        </is>
      </c>
      <c r="C302" s="21" t="inlineStr">
        <is>
          <t>Самара</t>
        </is>
      </c>
      <c r="D302" s="22" t="n">
        <v>18</v>
      </c>
      <c r="E302" s="21" t="n"/>
    </row>
    <row r="303">
      <c r="A303" s="21" t="inlineStr">
        <is>
          <t>Аренда</t>
        </is>
      </c>
      <c r="B303" s="21" t="inlineStr">
        <is>
          <t>Дома</t>
        </is>
      </c>
      <c r="C303" s="21" t="inlineStr">
        <is>
          <t>Ростов-на-Дону</t>
        </is>
      </c>
      <c r="D303" s="22" t="n">
        <v>66</v>
      </c>
      <c r="E303" s="21" t="n"/>
    </row>
    <row r="304">
      <c r="A304" s="21" t="inlineStr">
        <is>
          <t>Аренда</t>
        </is>
      </c>
      <c r="B304" s="21" t="inlineStr">
        <is>
          <t>Дома</t>
        </is>
      </c>
      <c r="C304" s="21" t="inlineStr">
        <is>
          <t>Воронеж</t>
        </is>
      </c>
      <c r="D304" s="22" t="n">
        <v>5</v>
      </c>
      <c r="E304" s="21" t="n"/>
    </row>
    <row r="305">
      <c r="A305" s="21" t="inlineStr">
        <is>
          <t>Аренда</t>
        </is>
      </c>
      <c r="B305" s="21" t="inlineStr">
        <is>
          <t>Дома</t>
        </is>
      </c>
      <c r="C305" s="21" t="inlineStr">
        <is>
          <t>Пермь</t>
        </is>
      </c>
      <c r="D305" s="22" t="n">
        <v>5</v>
      </c>
      <c r="E305" s="21" t="n"/>
    </row>
    <row r="306">
      <c r="A306" s="21" t="inlineStr">
        <is>
          <t>Аренда</t>
        </is>
      </c>
      <c r="B306" s="21" t="inlineStr">
        <is>
          <t>Дома</t>
        </is>
      </c>
      <c r="C306" s="21" t="inlineStr">
        <is>
          <t>Волгоград</t>
        </is>
      </c>
      <c r="D306" s="22" t="n">
        <v>16</v>
      </c>
      <c r="E306" s="21" t="n"/>
    </row>
    <row r="307">
      <c r="A307" s="33" t="inlineStr">
        <is>
          <t>Аренда</t>
        </is>
      </c>
      <c r="B307" s="34" t="inlineStr">
        <is>
          <t>Дачи</t>
        </is>
      </c>
      <c r="C307" s="33" t="inlineStr">
        <is>
          <t>🇷🇺 Вся Россия</t>
        </is>
      </c>
      <c r="D307" s="35" t="n">
        <v>769</v>
      </c>
      <c r="E307" s="35" t="n">
        <v>769</v>
      </c>
    </row>
    <row r="308">
      <c r="A308" s="21" t="inlineStr">
        <is>
          <t>Аренда</t>
        </is>
      </c>
      <c r="B308" s="21" t="inlineStr">
        <is>
          <t>Дачи</t>
        </is>
      </c>
      <c r="C308" s="21" t="inlineStr">
        <is>
          <t>Москва</t>
        </is>
      </c>
      <c r="D308" s="22" t="n">
        <v>73</v>
      </c>
      <c r="E308" s="21" t="n"/>
    </row>
    <row r="309">
      <c r="A309" s="21" t="inlineStr">
        <is>
          <t>Аренда</t>
        </is>
      </c>
      <c r="B309" s="21" t="inlineStr">
        <is>
          <t>Дачи</t>
        </is>
      </c>
      <c r="C309" s="21" t="inlineStr">
        <is>
          <t>Санкт-Петербург</t>
        </is>
      </c>
      <c r="D309" s="22" t="n">
        <v>40</v>
      </c>
      <c r="E309" s="21" t="n"/>
    </row>
    <row r="310">
      <c r="A310" s="21" t="inlineStr">
        <is>
          <t>Аренда</t>
        </is>
      </c>
      <c r="B310" s="21" t="inlineStr">
        <is>
          <t>Дачи</t>
        </is>
      </c>
      <c r="C310" s="21" t="inlineStr">
        <is>
          <t>Новосибирск</t>
        </is>
      </c>
      <c r="D310" s="22" t="n">
        <v>36</v>
      </c>
      <c r="E310" s="21" t="n"/>
    </row>
    <row r="311">
      <c r="A311" s="21" t="inlineStr">
        <is>
          <t>Аренда</t>
        </is>
      </c>
      <c r="B311" s="21" t="inlineStr">
        <is>
          <t>Дачи</t>
        </is>
      </c>
      <c r="C311" s="21" t="inlineStr">
        <is>
          <t>Екатеринбург</t>
        </is>
      </c>
      <c r="D311" s="22" t="n">
        <v>12</v>
      </c>
      <c r="E311" s="21" t="n"/>
    </row>
    <row r="312">
      <c r="A312" s="21" t="inlineStr">
        <is>
          <t>Аренда</t>
        </is>
      </c>
      <c r="B312" s="21" t="inlineStr">
        <is>
          <t>Дачи</t>
        </is>
      </c>
      <c r="C312" s="21" t="inlineStr">
        <is>
          <t>Казань</t>
        </is>
      </c>
      <c r="D312" s="22" t="n">
        <v>34</v>
      </c>
      <c r="E312" s="21" t="n"/>
    </row>
    <row r="313">
      <c r="A313" s="21" t="inlineStr">
        <is>
          <t>Аренда</t>
        </is>
      </c>
      <c r="B313" s="21" t="inlineStr">
        <is>
          <t>Дачи</t>
        </is>
      </c>
      <c r="C313" s="21" t="inlineStr">
        <is>
          <t>Красноярск</t>
        </is>
      </c>
      <c r="D313" s="22" t="n">
        <v>19</v>
      </c>
      <c r="E313" s="21" t="n"/>
    </row>
    <row r="314">
      <c r="A314" s="21" t="inlineStr">
        <is>
          <t>Аренда</t>
        </is>
      </c>
      <c r="B314" s="21" t="inlineStr">
        <is>
          <t>Дачи</t>
        </is>
      </c>
      <c r="C314" s="21" t="inlineStr">
        <is>
          <t>Нижний Новгород</t>
        </is>
      </c>
      <c r="D314" s="22" t="n">
        <v>5</v>
      </c>
      <c r="E314" s="21" t="n"/>
    </row>
    <row r="315">
      <c r="A315" s="21" t="inlineStr">
        <is>
          <t>Аренда</t>
        </is>
      </c>
      <c r="B315" s="21" t="inlineStr">
        <is>
          <t>Дачи</t>
        </is>
      </c>
      <c r="C315" s="21" t="inlineStr">
        <is>
          <t>Челябинск</t>
        </is>
      </c>
      <c r="D315" s="22" t="n">
        <v>5</v>
      </c>
      <c r="E315" s="21" t="n"/>
    </row>
    <row r="316">
      <c r="A316" s="21" t="inlineStr">
        <is>
          <t>Аренда</t>
        </is>
      </c>
      <c r="B316" s="21" t="inlineStr">
        <is>
          <t>Дачи</t>
        </is>
      </c>
      <c r="C316" s="21" t="inlineStr">
        <is>
          <t>Уфа</t>
        </is>
      </c>
      <c r="D316" s="22" t="n">
        <v>16</v>
      </c>
      <c r="E316" s="21" t="n"/>
    </row>
    <row r="317">
      <c r="A317" s="21" t="inlineStr">
        <is>
          <t>Аренда</t>
        </is>
      </c>
      <c r="B317" s="21" t="inlineStr">
        <is>
          <t>Дачи</t>
        </is>
      </c>
      <c r="C317" s="21" t="inlineStr">
        <is>
          <t>Краснодар</t>
        </is>
      </c>
      <c r="D317" s="22" t="n">
        <v>54</v>
      </c>
      <c r="E317" s="21" t="n"/>
    </row>
    <row r="318">
      <c r="A318" s="21" t="inlineStr">
        <is>
          <t>Аренда</t>
        </is>
      </c>
      <c r="B318" s="21" t="inlineStr">
        <is>
          <t>Дачи</t>
        </is>
      </c>
      <c r="C318" s="21" t="inlineStr">
        <is>
          <t>Самара</t>
        </is>
      </c>
      <c r="D318" s="22" t="n">
        <v>18</v>
      </c>
      <c r="E318" s="21" t="n"/>
    </row>
    <row r="319">
      <c r="A319" s="21" t="inlineStr">
        <is>
          <t>Аренда</t>
        </is>
      </c>
      <c r="B319" s="21" t="inlineStr">
        <is>
          <t>Дачи</t>
        </is>
      </c>
      <c r="C319" s="21" t="inlineStr">
        <is>
          <t>Ростов-на-Дону</t>
        </is>
      </c>
      <c r="D319" s="22" t="n">
        <v>65</v>
      </c>
      <c r="E319" s="21" t="n"/>
    </row>
    <row r="320">
      <c r="A320" s="21" t="inlineStr">
        <is>
          <t>Аренда</t>
        </is>
      </c>
      <c r="B320" s="21" t="inlineStr">
        <is>
          <t>Дачи</t>
        </is>
      </c>
      <c r="C320" s="21" t="inlineStr">
        <is>
          <t>Волгоград</t>
        </is>
      </c>
      <c r="D320" s="22" t="n">
        <v>15</v>
      </c>
      <c r="E320" s="21" t="n"/>
    </row>
    <row r="321">
      <c r="A321" s="33" t="inlineStr">
        <is>
          <t>Аренда</t>
        </is>
      </c>
      <c r="B321" s="34" t="inlineStr">
        <is>
          <t>Коттеджи</t>
        </is>
      </c>
      <c r="C321" s="33" t="inlineStr">
        <is>
          <t>🇷🇺 Вся Россия</t>
        </is>
      </c>
      <c r="D321" s="35" t="n">
        <v>297</v>
      </c>
      <c r="E321" s="35" t="n">
        <v>297</v>
      </c>
    </row>
    <row r="322">
      <c r="A322" s="21" t="inlineStr">
        <is>
          <t>Аренда</t>
        </is>
      </c>
      <c r="B322" s="21" t="inlineStr">
        <is>
          <t>Коттеджи</t>
        </is>
      </c>
      <c r="C322" s="21" t="inlineStr">
        <is>
          <t>Москва</t>
        </is>
      </c>
      <c r="D322" s="22" t="n">
        <v>59</v>
      </c>
      <c r="E322" s="21" t="n"/>
    </row>
    <row r="323">
      <c r="A323" s="21" t="inlineStr">
        <is>
          <t>Аренда</t>
        </is>
      </c>
      <c r="B323" s="21" t="inlineStr">
        <is>
          <t>Коттеджи</t>
        </is>
      </c>
      <c r="C323" s="21" t="inlineStr">
        <is>
          <t>Санкт-Петербург</t>
        </is>
      </c>
      <c r="D323" s="22" t="n">
        <v>27</v>
      </c>
      <c r="E323" s="21" t="n"/>
    </row>
    <row r="324">
      <c r="A324" s="21" t="inlineStr">
        <is>
          <t>Аренда</t>
        </is>
      </c>
      <c r="B324" s="21" t="inlineStr">
        <is>
          <t>Коттеджи</t>
        </is>
      </c>
      <c r="C324" s="21" t="inlineStr">
        <is>
          <t>Новосибирск</t>
        </is>
      </c>
      <c r="D324" s="22" t="n">
        <v>18</v>
      </c>
      <c r="E324" s="21" t="n"/>
    </row>
    <row r="325">
      <c r="A325" s="21" t="inlineStr">
        <is>
          <t>Аренда</t>
        </is>
      </c>
      <c r="B325" s="21" t="inlineStr">
        <is>
          <t>Коттеджи</t>
        </is>
      </c>
      <c r="C325" s="21" t="inlineStr">
        <is>
          <t>Екатеринбург</t>
        </is>
      </c>
      <c r="D325" s="22" t="n">
        <v>5</v>
      </c>
      <c r="E325" s="21" t="n"/>
    </row>
    <row r="326">
      <c r="A326" s="21" t="inlineStr">
        <is>
          <t>Аренда</t>
        </is>
      </c>
      <c r="B326" s="21" t="inlineStr">
        <is>
          <t>Коттеджи</t>
        </is>
      </c>
      <c r="C326" s="21" t="inlineStr">
        <is>
          <t>Казань</t>
        </is>
      </c>
      <c r="D326" s="22" t="n">
        <v>19</v>
      </c>
      <c r="E326" s="21" t="n"/>
    </row>
    <row r="327">
      <c r="A327" s="21" t="inlineStr">
        <is>
          <t>Аренда</t>
        </is>
      </c>
      <c r="B327" s="21" t="inlineStr">
        <is>
          <t>Коттеджи</t>
        </is>
      </c>
      <c r="C327" s="21" t="inlineStr">
        <is>
          <t>Красноярск</t>
        </is>
      </c>
      <c r="D327" s="22" t="n">
        <v>13</v>
      </c>
      <c r="E327" s="21" t="n"/>
    </row>
    <row r="328">
      <c r="A328" s="21" t="inlineStr">
        <is>
          <t>Аренда</t>
        </is>
      </c>
      <c r="B328" s="21" t="inlineStr">
        <is>
          <t>Коттеджи</t>
        </is>
      </c>
      <c r="C328" s="21" t="inlineStr">
        <is>
          <t>Уфа</t>
        </is>
      </c>
      <c r="D328" s="22" t="n">
        <v>12</v>
      </c>
      <c r="E328" s="21" t="n"/>
    </row>
    <row r="329">
      <c r="A329" s="21" t="inlineStr">
        <is>
          <t>Аренда</t>
        </is>
      </c>
      <c r="B329" s="21" t="inlineStr">
        <is>
          <t>Коттеджи</t>
        </is>
      </c>
      <c r="C329" s="21" t="inlineStr">
        <is>
          <t>Краснодар</t>
        </is>
      </c>
      <c r="D329" s="22" t="n">
        <v>11</v>
      </c>
      <c r="E329" s="21" t="n"/>
    </row>
    <row r="330">
      <c r="A330" s="21" t="inlineStr">
        <is>
          <t>Аренда</t>
        </is>
      </c>
      <c r="B330" s="21" t="inlineStr">
        <is>
          <t>Коттеджи</t>
        </is>
      </c>
      <c r="C330" s="21" t="inlineStr">
        <is>
          <t>Ростов-на-Дону</t>
        </is>
      </c>
      <c r="D330" s="22" t="n">
        <v>13</v>
      </c>
      <c r="E330" s="21" t="n"/>
    </row>
    <row r="331">
      <c r="A331" s="33" t="inlineStr">
        <is>
          <t>Аренда</t>
        </is>
      </c>
      <c r="B331" s="34" t="inlineStr">
        <is>
          <t>Таунхаусы</t>
        </is>
      </c>
      <c r="C331" s="33" t="inlineStr">
        <is>
          <t>🇷🇺 Вся Россия</t>
        </is>
      </c>
      <c r="D331" s="35" t="n">
        <v>45</v>
      </c>
      <c r="E331" s="35" t="n">
        <v>45</v>
      </c>
    </row>
    <row r="332">
      <c r="A332" s="21" t="inlineStr">
        <is>
          <t>Аренда</t>
        </is>
      </c>
      <c r="B332" s="21" t="inlineStr">
        <is>
          <t>Таунхаусы</t>
        </is>
      </c>
      <c r="C332" s="21" t="inlineStr">
        <is>
          <t>Москва</t>
        </is>
      </c>
      <c r="D332" s="22" t="n">
        <v>9</v>
      </c>
      <c r="E332" s="21" t="n"/>
    </row>
    <row r="333">
      <c r="A333" s="21" t="inlineStr">
        <is>
          <t>Аренда</t>
        </is>
      </c>
      <c r="B333" s="21" t="inlineStr">
        <is>
          <t>Таунхаусы</t>
        </is>
      </c>
      <c r="C333" s="21" t="inlineStr">
        <is>
          <t>Санкт-Петербург</t>
        </is>
      </c>
      <c r="D333" s="22" t="n">
        <v>10</v>
      </c>
      <c r="E333" s="21" t="n"/>
    </row>
    <row r="334">
      <c r="A334" s="21" t="inlineStr">
        <is>
          <t>Аренда</t>
        </is>
      </c>
      <c r="B334" s="21" t="inlineStr">
        <is>
          <t>Таунхаусы</t>
        </is>
      </c>
      <c r="C334" s="21" t="inlineStr">
        <is>
          <t>Казань</t>
        </is>
      </c>
      <c r="D334" s="22" t="n">
        <v>6</v>
      </c>
      <c r="E334" s="21" t="n"/>
    </row>
    <row r="335">
      <c r="A335" s="21" t="inlineStr">
        <is>
          <t>Аренда</t>
        </is>
      </c>
      <c r="B335" s="21" t="inlineStr">
        <is>
          <t>Таунхаусы</t>
        </is>
      </c>
      <c r="C335" s="21" t="inlineStr">
        <is>
          <t>Уфа</t>
        </is>
      </c>
      <c r="D335" s="22" t="n">
        <v>8</v>
      </c>
      <c r="E335" s="21" t="n"/>
    </row>
    <row r="336">
      <c r="A336" s="33" t="inlineStr">
        <is>
          <t>Аренда</t>
        </is>
      </c>
      <c r="B336" s="34" t="inlineStr">
        <is>
          <t>Части дома</t>
        </is>
      </c>
      <c r="C336" s="33" t="inlineStr">
        <is>
          <t>🇷🇺 Вся Россия</t>
        </is>
      </c>
      <c r="D336" s="35" t="n">
        <v>77</v>
      </c>
      <c r="E336" s="35" t="n">
        <v>77</v>
      </c>
    </row>
    <row r="337">
      <c r="A337" s="21" t="inlineStr">
        <is>
          <t>Аренда</t>
        </is>
      </c>
      <c r="B337" s="21" t="inlineStr">
        <is>
          <t>Части дома</t>
        </is>
      </c>
      <c r="C337" s="21" t="inlineStr">
        <is>
          <t>Москва</t>
        </is>
      </c>
      <c r="D337" s="22" t="n">
        <v>9</v>
      </c>
      <c r="E337" s="21" t="n"/>
    </row>
    <row r="338">
      <c r="A338" s="21" t="inlineStr">
        <is>
          <t>Аренда</t>
        </is>
      </c>
      <c r="B338" s="21" t="inlineStr">
        <is>
          <t>Части дома</t>
        </is>
      </c>
      <c r="C338" s="21" t="inlineStr">
        <is>
          <t>Краснодар</t>
        </is>
      </c>
      <c r="D338" s="22" t="n">
        <v>8</v>
      </c>
      <c r="E338" s="21" t="n"/>
    </row>
    <row r="339">
      <c r="A339" s="21" t="inlineStr">
        <is>
          <t>Аренда</t>
        </is>
      </c>
      <c r="B339" s="21" t="inlineStr">
        <is>
          <t>Части дома</t>
        </is>
      </c>
      <c r="C339" s="21" t="inlineStr">
        <is>
          <t>Ростов-на-Дону</t>
        </is>
      </c>
      <c r="D339" s="22" t="n">
        <v>6</v>
      </c>
      <c r="E339" s="21" t="n"/>
    </row>
    <row r="340">
      <c r="A340" s="33" t="inlineStr">
        <is>
          <t>Аренда</t>
        </is>
      </c>
      <c r="B340" s="34" t="inlineStr">
        <is>
          <t>Апартаменты</t>
        </is>
      </c>
      <c r="C340" s="33" t="inlineStr">
        <is>
          <t>🇷🇺 Вся Россия</t>
        </is>
      </c>
      <c r="D340" s="35" t="n">
        <v>390</v>
      </c>
      <c r="E340" s="35" t="n">
        <v>390</v>
      </c>
    </row>
    <row r="341">
      <c r="A341" s="21" t="inlineStr">
        <is>
          <t>Аренда</t>
        </is>
      </c>
      <c r="B341" s="21" t="inlineStr">
        <is>
          <t>Апартаменты</t>
        </is>
      </c>
      <c r="C341" s="21" t="inlineStr">
        <is>
          <t>Москва</t>
        </is>
      </c>
      <c r="D341" s="22" t="n">
        <v>278</v>
      </c>
      <c r="E341" s="21" t="n"/>
    </row>
    <row r="342">
      <c r="A342" s="21" t="inlineStr">
        <is>
          <t>Аренда</t>
        </is>
      </c>
      <c r="B342" s="21" t="inlineStr">
        <is>
          <t>Апартаменты</t>
        </is>
      </c>
      <c r="C342" s="21" t="inlineStr">
        <is>
          <t>Санкт-Петербург</t>
        </is>
      </c>
      <c r="D342" s="22" t="n">
        <v>60</v>
      </c>
      <c r="E342" s="21" t="n"/>
    </row>
    <row r="343">
      <c r="A343" s="21" t="inlineStr">
        <is>
          <t>Аренда</t>
        </is>
      </c>
      <c r="B343" s="21" t="inlineStr">
        <is>
          <t>Апартаменты</t>
        </is>
      </c>
      <c r="C343" s="21" t="inlineStr">
        <is>
          <t>Новосибирск</t>
        </is>
      </c>
      <c r="D343" s="22" t="n">
        <v>17</v>
      </c>
      <c r="E343" s="21" t="n"/>
    </row>
    <row r="344">
      <c r="A344" s="33" t="inlineStr">
        <is>
          <t>Аренда</t>
        </is>
      </c>
      <c r="B344" s="34" t="inlineStr">
        <is>
          <t>Загородная</t>
        </is>
      </c>
      <c r="C344" s="33" t="inlineStr">
        <is>
          <t>🇷🇺 Вся Россия</t>
        </is>
      </c>
      <c r="D344" s="35" t="n">
        <v>1037</v>
      </c>
      <c r="E344" s="35" t="n">
        <v>1037</v>
      </c>
    </row>
    <row r="345">
      <c r="A345" s="21" t="inlineStr">
        <is>
          <t>Аренда</t>
        </is>
      </c>
      <c r="B345" s="21" t="inlineStr">
        <is>
          <t>Загородная</t>
        </is>
      </c>
      <c r="C345" s="21" t="inlineStr">
        <is>
          <t>Москва</t>
        </is>
      </c>
      <c r="D345" s="22" t="n">
        <v>98</v>
      </c>
      <c r="E345" s="21" t="n"/>
    </row>
    <row r="346">
      <c r="A346" s="21" t="inlineStr">
        <is>
          <t>Аренда</t>
        </is>
      </c>
      <c r="B346" s="21" t="inlineStr">
        <is>
          <t>Загородная</t>
        </is>
      </c>
      <c r="C346" s="21" t="inlineStr">
        <is>
          <t>Санкт-Петербург</t>
        </is>
      </c>
      <c r="D346" s="22" t="n">
        <v>57</v>
      </c>
      <c r="E346" s="21" t="n"/>
    </row>
    <row r="347">
      <c r="A347" s="21" t="inlineStr">
        <is>
          <t>Аренда</t>
        </is>
      </c>
      <c r="B347" s="21" t="inlineStr">
        <is>
          <t>Загородная</t>
        </is>
      </c>
      <c r="C347" s="21" t="inlineStr">
        <is>
          <t>Новосибирск</t>
        </is>
      </c>
      <c r="D347" s="22" t="n">
        <v>43</v>
      </c>
      <c r="E347" s="21" t="n"/>
    </row>
    <row r="348">
      <c r="A348" s="21" t="inlineStr">
        <is>
          <t>Аренда</t>
        </is>
      </c>
      <c r="B348" s="21" t="inlineStr">
        <is>
          <t>Загородная</t>
        </is>
      </c>
      <c r="C348" s="21" t="inlineStr">
        <is>
          <t>Екатеринбург</t>
        </is>
      </c>
      <c r="D348" s="22" t="n">
        <v>13</v>
      </c>
      <c r="E348" s="21" t="n"/>
    </row>
    <row r="349">
      <c r="A349" s="21" t="inlineStr">
        <is>
          <t>Аренда</t>
        </is>
      </c>
      <c r="B349" s="21" t="inlineStr">
        <is>
          <t>Загородная</t>
        </is>
      </c>
      <c r="C349" s="21" t="inlineStr">
        <is>
          <t>Казань</t>
        </is>
      </c>
      <c r="D349" s="22" t="n">
        <v>41</v>
      </c>
      <c r="E349" s="21" t="n"/>
    </row>
    <row r="350">
      <c r="A350" s="21" t="inlineStr">
        <is>
          <t>Аренда</t>
        </is>
      </c>
      <c r="B350" s="21" t="inlineStr">
        <is>
          <t>Загородная</t>
        </is>
      </c>
      <c r="C350" s="21" t="inlineStr">
        <is>
          <t>Красноярск</t>
        </is>
      </c>
      <c r="D350" s="22" t="n">
        <v>20</v>
      </c>
      <c r="E350" s="21" t="n"/>
    </row>
    <row r="351">
      <c r="A351" s="21" t="inlineStr">
        <is>
          <t>Аренда</t>
        </is>
      </c>
      <c r="B351" s="21" t="inlineStr">
        <is>
          <t>Загородная</t>
        </is>
      </c>
      <c r="C351" s="21" t="inlineStr">
        <is>
          <t>Нижний Новгород</t>
        </is>
      </c>
      <c r="D351" s="22" t="n">
        <v>6</v>
      </c>
      <c r="E351" s="21" t="n"/>
    </row>
    <row r="352">
      <c r="A352" s="21" t="inlineStr">
        <is>
          <t>Аренда</t>
        </is>
      </c>
      <c r="B352" s="21" t="inlineStr">
        <is>
          <t>Загородная</t>
        </is>
      </c>
      <c r="C352" s="21" t="inlineStr">
        <is>
          <t>Челябинск</t>
        </is>
      </c>
      <c r="D352" s="22" t="n">
        <v>6</v>
      </c>
      <c r="E352" s="21" t="n"/>
    </row>
    <row r="353">
      <c r="A353" s="21" t="inlineStr">
        <is>
          <t>Аренда</t>
        </is>
      </c>
      <c r="B353" s="21" t="inlineStr">
        <is>
          <t>Загородная</t>
        </is>
      </c>
      <c r="C353" s="21" t="inlineStr">
        <is>
          <t>Уфа</t>
        </is>
      </c>
      <c r="D353" s="22" t="n">
        <v>25</v>
      </c>
      <c r="E353" s="21" t="n"/>
    </row>
    <row r="354">
      <c r="A354" s="21" t="inlineStr">
        <is>
          <t>Аренда</t>
        </is>
      </c>
      <c r="B354" s="21" t="inlineStr">
        <is>
          <t>Загородная</t>
        </is>
      </c>
      <c r="C354" s="21" t="inlineStr">
        <is>
          <t>Краснодар</t>
        </is>
      </c>
      <c r="D354" s="22" t="n">
        <v>69</v>
      </c>
      <c r="E354" s="21" t="n"/>
    </row>
    <row r="355">
      <c r="A355" s="21" t="inlineStr">
        <is>
          <t>Аренда</t>
        </is>
      </c>
      <c r="B355" s="21" t="inlineStr">
        <is>
          <t>Загородная</t>
        </is>
      </c>
      <c r="C355" s="21" t="inlineStr">
        <is>
          <t>Самара</t>
        </is>
      </c>
      <c r="D355" s="22" t="n">
        <v>18</v>
      </c>
      <c r="E355" s="21" t="n"/>
    </row>
    <row r="356">
      <c r="A356" s="21" t="inlineStr">
        <is>
          <t>Аренда</t>
        </is>
      </c>
      <c r="B356" s="21" t="inlineStr">
        <is>
          <t>Загородная</t>
        </is>
      </c>
      <c r="C356" s="21" t="inlineStr">
        <is>
          <t>Ростов-на-Дону</t>
        </is>
      </c>
      <c r="D356" s="22" t="n">
        <v>74</v>
      </c>
      <c r="E356" s="21" t="n"/>
    </row>
    <row r="357">
      <c r="A357" s="21" t="inlineStr">
        <is>
          <t>Аренда</t>
        </is>
      </c>
      <c r="B357" s="21" t="inlineStr">
        <is>
          <t>Загородная</t>
        </is>
      </c>
      <c r="C357" s="21" t="inlineStr">
        <is>
          <t>Воронеж</t>
        </is>
      </c>
      <c r="D357" s="22" t="n">
        <v>8</v>
      </c>
      <c r="E357" s="21" t="n"/>
    </row>
    <row r="358">
      <c r="A358" s="21" t="inlineStr">
        <is>
          <t>Аренда</t>
        </is>
      </c>
      <c r="B358" s="21" t="inlineStr">
        <is>
          <t>Загородная</t>
        </is>
      </c>
      <c r="C358" s="21" t="inlineStr">
        <is>
          <t>Пермь</t>
        </is>
      </c>
      <c r="D358" s="22" t="n">
        <v>6</v>
      </c>
      <c r="E358" s="21" t="n"/>
    </row>
    <row r="359">
      <c r="A359" s="21" t="inlineStr">
        <is>
          <t>Аренда</t>
        </is>
      </c>
      <c r="B359" s="21" t="inlineStr">
        <is>
          <t>Загородная</t>
        </is>
      </c>
      <c r="C359" s="21" t="inlineStr">
        <is>
          <t>Волгоград</t>
        </is>
      </c>
      <c r="D359" s="22" t="n">
        <v>17</v>
      </c>
      <c r="E359" s="21" t="n"/>
    </row>
    <row r="360">
      <c r="A360" s="33" t="inlineStr">
        <is>
          <t>Аренда</t>
        </is>
      </c>
      <c r="B360" s="34" t="inlineStr">
        <is>
          <t>Коммерческая</t>
        </is>
      </c>
      <c r="C360" s="33" t="inlineStr">
        <is>
          <t>🇷🇺 Вся Россия</t>
        </is>
      </c>
      <c r="D360" s="35" t="n">
        <v>156569</v>
      </c>
      <c r="E360" s="35" t="n">
        <v>156501</v>
      </c>
    </row>
    <row r="361">
      <c r="A361" s="21" t="inlineStr">
        <is>
          <t>Аренда</t>
        </is>
      </c>
      <c r="B361" s="21" t="inlineStr">
        <is>
          <t>Коммерческая</t>
        </is>
      </c>
      <c r="C361" s="21" t="inlineStr">
        <is>
          <t>Москва</t>
        </is>
      </c>
      <c r="D361" s="22" t="n">
        <v>89322</v>
      </c>
      <c r="E361" s="21" t="n"/>
    </row>
    <row r="362">
      <c r="A362" s="21" t="inlineStr">
        <is>
          <t>Аренда</t>
        </is>
      </c>
      <c r="B362" s="21" t="inlineStr">
        <is>
          <t>Коммерческая</t>
        </is>
      </c>
      <c r="C362" s="21" t="inlineStr">
        <is>
          <t>Санкт-Петербург</t>
        </is>
      </c>
      <c r="D362" s="22" t="n">
        <v>15140</v>
      </c>
      <c r="E362" s="21" t="n"/>
    </row>
    <row r="363">
      <c r="A363" s="21" t="inlineStr">
        <is>
          <t>Аренда</t>
        </is>
      </c>
      <c r="B363" s="21" t="inlineStr">
        <is>
          <t>Коммерческая</t>
        </is>
      </c>
      <c r="C363" s="21" t="inlineStr">
        <is>
          <t>Новосибирск</t>
        </is>
      </c>
      <c r="D363" s="22" t="n">
        <v>2387</v>
      </c>
      <c r="E363" s="21" t="n"/>
    </row>
    <row r="364">
      <c r="A364" s="21" t="inlineStr">
        <is>
          <t>Аренда</t>
        </is>
      </c>
      <c r="B364" s="21" t="inlineStr">
        <is>
          <t>Коммерческая</t>
        </is>
      </c>
      <c r="C364" s="21" t="inlineStr">
        <is>
          <t>Екатеринбург</t>
        </is>
      </c>
      <c r="D364" s="22" t="n">
        <v>1644</v>
      </c>
      <c r="E364" s="21" t="n"/>
    </row>
    <row r="365">
      <c r="A365" s="21" t="inlineStr">
        <is>
          <t>Аренда</t>
        </is>
      </c>
      <c r="B365" s="21" t="inlineStr">
        <is>
          <t>Коммерческая</t>
        </is>
      </c>
      <c r="C365" s="21" t="inlineStr">
        <is>
          <t>Казань</t>
        </is>
      </c>
      <c r="D365" s="22" t="n">
        <v>2268</v>
      </c>
      <c r="E365" s="21" t="n"/>
    </row>
    <row r="366">
      <c r="A366" s="21" t="inlineStr">
        <is>
          <t>Аренда</t>
        </is>
      </c>
      <c r="B366" s="21" t="inlineStr">
        <is>
          <t>Коммерческая</t>
        </is>
      </c>
      <c r="C366" s="21" t="inlineStr">
        <is>
          <t>Красноярск</t>
        </is>
      </c>
      <c r="D366" s="22" t="n">
        <v>901</v>
      </c>
      <c r="E366" s="21" t="n"/>
    </row>
    <row r="367">
      <c r="A367" s="21" t="inlineStr">
        <is>
          <t>Аренда</t>
        </is>
      </c>
      <c r="B367" s="21" t="inlineStr">
        <is>
          <t>Коммерческая</t>
        </is>
      </c>
      <c r="C367" s="21" t="inlineStr">
        <is>
          <t>Нижний Новгород</t>
        </is>
      </c>
      <c r="D367" s="22" t="n">
        <v>5598</v>
      </c>
      <c r="E367" s="21" t="n"/>
    </row>
    <row r="368">
      <c r="A368" s="21" t="inlineStr">
        <is>
          <t>Аренда</t>
        </is>
      </c>
      <c r="B368" s="21" t="inlineStr">
        <is>
          <t>Коммерческая</t>
        </is>
      </c>
      <c r="C368" s="21" t="inlineStr">
        <is>
          <t>Челябинск</t>
        </is>
      </c>
      <c r="D368" s="22" t="n">
        <v>1259</v>
      </c>
      <c r="E368" s="21" t="n"/>
    </row>
    <row r="369">
      <c r="A369" s="21" t="inlineStr">
        <is>
          <t>Аренда</t>
        </is>
      </c>
      <c r="B369" s="21" t="inlineStr">
        <is>
          <t>Коммерческая</t>
        </is>
      </c>
      <c r="C369" s="21" t="inlineStr">
        <is>
          <t>Уфа</t>
        </is>
      </c>
      <c r="D369" s="22" t="n">
        <v>1327</v>
      </c>
      <c r="E369" s="21" t="n"/>
    </row>
    <row r="370">
      <c r="A370" s="21" t="inlineStr">
        <is>
          <t>Аренда</t>
        </is>
      </c>
      <c r="B370" s="21" t="inlineStr">
        <is>
          <t>Коммерческая</t>
        </is>
      </c>
      <c r="C370" s="21" t="inlineStr">
        <is>
          <t>Краснодар</t>
        </is>
      </c>
      <c r="D370" s="22" t="n">
        <v>2251</v>
      </c>
      <c r="E370" s="21" t="n"/>
    </row>
    <row r="371">
      <c r="A371" s="21" t="inlineStr">
        <is>
          <t>Аренда</t>
        </is>
      </c>
      <c r="B371" s="21" t="inlineStr">
        <is>
          <t>Коммерческая</t>
        </is>
      </c>
      <c r="C371" s="21" t="inlineStr">
        <is>
          <t>Самара</t>
        </is>
      </c>
      <c r="D371" s="22" t="n">
        <v>1318</v>
      </c>
      <c r="E371" s="21" t="n"/>
    </row>
    <row r="372">
      <c r="A372" s="21" t="inlineStr">
        <is>
          <t>Аренда</t>
        </is>
      </c>
      <c r="B372" s="21" t="inlineStr">
        <is>
          <t>Коммерческая</t>
        </is>
      </c>
      <c r="C372" s="21" t="inlineStr">
        <is>
          <t>Ростов-на-Дону</t>
        </is>
      </c>
      <c r="D372" s="22" t="n">
        <v>2218</v>
      </c>
      <c r="E372" s="21" t="n"/>
    </row>
    <row r="373">
      <c r="A373" s="21" t="inlineStr">
        <is>
          <t>Аренда</t>
        </is>
      </c>
      <c r="B373" s="21" t="inlineStr">
        <is>
          <t>Коммерческая</t>
        </is>
      </c>
      <c r="C373" s="21" t="inlineStr">
        <is>
          <t>Омск</t>
        </is>
      </c>
      <c r="D373" s="22" t="n">
        <v>2052</v>
      </c>
      <c r="E373" s="21" t="n"/>
    </row>
    <row r="374">
      <c r="A374" s="21" t="inlineStr">
        <is>
          <t>Аренда</t>
        </is>
      </c>
      <c r="B374" s="21" t="inlineStr">
        <is>
          <t>Коммерческая</t>
        </is>
      </c>
      <c r="C374" s="21" t="inlineStr">
        <is>
          <t>Воронеж</t>
        </is>
      </c>
      <c r="D374" s="22" t="n">
        <v>503</v>
      </c>
      <c r="E374" s="21" t="n"/>
    </row>
    <row r="375">
      <c r="A375" s="21" t="inlineStr">
        <is>
          <t>Аренда</t>
        </is>
      </c>
      <c r="B375" s="21" t="inlineStr">
        <is>
          <t>Коммерческая</t>
        </is>
      </c>
      <c r="C375" s="21" t="inlineStr">
        <is>
          <t>Пермь</t>
        </is>
      </c>
      <c r="D375" s="22" t="n">
        <v>269</v>
      </c>
      <c r="E375" s="21" t="n"/>
    </row>
    <row r="376">
      <c r="A376" s="21" t="inlineStr">
        <is>
          <t>Аренда</t>
        </is>
      </c>
      <c r="B376" s="21" t="inlineStr">
        <is>
          <t>Коммерческая</t>
        </is>
      </c>
      <c r="C376" s="21" t="inlineStr">
        <is>
          <t>Волгоград</t>
        </is>
      </c>
      <c r="D376" s="22" t="n">
        <v>749</v>
      </c>
      <c r="E376" s="21" t="n"/>
    </row>
    <row r="378">
      <c r="A378" s="29" t="inlineStr">
        <is>
          <t>Итого (по фильтру)</t>
        </is>
      </c>
      <c r="C378" s="30" t="inlineStr">
        <is>
          <t>← сумма видимых строк (без «Вся Россия»)</t>
        </is>
      </c>
      <c r="D378" s="31">
        <f>SUMPRODUCT(SUBTOTAL(109,OFFSET(D$2,ROW(D$2:D$376)-ROW(D$2),0)),--($C$2:$C$376&lt;&gt;"🇷🇺 Вся Россия"))</f>
        <v/>
      </c>
      <c r="E378" s="31">
        <f>SUMPRODUCT(SUBTOTAL(109,OFFSET(E$2,ROW(E$2:E$376)-ROW(E$2),0)),--($C$2:$C$376&lt;&gt;"🇷🇺 Вся Россия"))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22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5"/>
  <cols>
    <col width="26" customWidth="1" min="1" max="1"/>
    <col width="30" customWidth="1" min="2" max="2"/>
    <col width="22" customWidth="1" min="3" max="3"/>
    <col width="12" customWidth="1" min="4" max="4"/>
  </cols>
  <sheetData>
    <row r="1">
      <c r="A1" s="25" t="inlineStr">
        <is>
          <t>Группа</t>
        </is>
      </c>
      <c r="B1" s="25" t="inlineStr">
        <is>
          <t>Категория</t>
        </is>
      </c>
      <c r="C1" s="25" t="inlineStr">
        <is>
          <t>Город</t>
        </is>
      </c>
      <c r="D1" s="26" t="inlineStr">
        <is>
          <t>2026-06-12</t>
        </is>
      </c>
    </row>
    <row r="2">
      <c r="A2" s="27" t="inlineStr">
        <is>
          <t>Покупка</t>
        </is>
      </c>
      <c r="B2" s="17" t="inlineStr">
        <is>
          <t>Квартиры</t>
        </is>
      </c>
      <c r="C2" s="28" t="inlineStr">
        <is>
          <t>Абакан</t>
        </is>
      </c>
      <c r="D2" s="19" t="n">
        <v>3889</v>
      </c>
    </row>
    <row r="3">
      <c r="A3" s="21" t="inlineStr">
        <is>
          <t>Покупка</t>
        </is>
      </c>
      <c r="B3" s="21" t="inlineStr">
        <is>
          <t>Квартиры</t>
        </is>
      </c>
      <c r="C3" s="21" t="inlineStr">
        <is>
          <t>Анадырь</t>
        </is>
      </c>
      <c r="D3" s="22" t="n">
        <v>43</v>
      </c>
    </row>
    <row r="4">
      <c r="A4" s="21" t="inlineStr">
        <is>
          <t>Покупка</t>
        </is>
      </c>
      <c r="B4" s="21" t="inlineStr">
        <is>
          <t>Квартиры</t>
        </is>
      </c>
      <c r="C4" s="21" t="inlineStr">
        <is>
          <t>Архангельск</t>
        </is>
      </c>
      <c r="D4" s="22" t="n">
        <v>5313</v>
      </c>
    </row>
    <row r="5">
      <c r="A5" s="21" t="inlineStr">
        <is>
          <t>Покупка</t>
        </is>
      </c>
      <c r="B5" s="21" t="inlineStr">
        <is>
          <t>Квартиры</t>
        </is>
      </c>
      <c r="C5" s="21" t="inlineStr">
        <is>
          <t>Астрахань</t>
        </is>
      </c>
      <c r="D5" s="22" t="n">
        <v>9000</v>
      </c>
    </row>
    <row r="6">
      <c r="A6" s="21" t="inlineStr">
        <is>
          <t>Покупка</t>
        </is>
      </c>
      <c r="B6" s="21" t="inlineStr">
        <is>
          <t>Квартиры</t>
        </is>
      </c>
      <c r="C6" s="21" t="inlineStr">
        <is>
          <t>Балашиха</t>
        </is>
      </c>
      <c r="D6" s="22" t="n">
        <v>3215</v>
      </c>
    </row>
    <row r="7">
      <c r="A7" s="21" t="inlineStr">
        <is>
          <t>Покупка</t>
        </is>
      </c>
      <c r="B7" s="21" t="inlineStr">
        <is>
          <t>Квартиры</t>
        </is>
      </c>
      <c r="C7" s="21" t="inlineStr">
        <is>
          <t>Барнаул</t>
        </is>
      </c>
      <c r="D7" s="22" t="n">
        <v>3333</v>
      </c>
    </row>
    <row r="8">
      <c r="A8" s="21" t="inlineStr">
        <is>
          <t>Покупка</t>
        </is>
      </c>
      <c r="B8" s="21" t="inlineStr">
        <is>
          <t>Квартиры</t>
        </is>
      </c>
      <c r="C8" s="21" t="inlineStr">
        <is>
          <t>Белгород</t>
        </is>
      </c>
      <c r="D8" s="22" t="n">
        <v>3204</v>
      </c>
    </row>
    <row r="9">
      <c r="A9" s="21" t="inlineStr">
        <is>
          <t>Покупка</t>
        </is>
      </c>
      <c r="B9" s="21" t="inlineStr">
        <is>
          <t>Квартиры</t>
        </is>
      </c>
      <c r="C9" s="21" t="inlineStr">
        <is>
          <t>Биробиджан</t>
        </is>
      </c>
      <c r="D9" s="22" t="n">
        <v>138</v>
      </c>
    </row>
    <row r="10">
      <c r="A10" s="21" t="inlineStr">
        <is>
          <t>Покупка</t>
        </is>
      </c>
      <c r="B10" s="21" t="inlineStr">
        <is>
          <t>Квартиры</t>
        </is>
      </c>
      <c r="C10" s="21" t="inlineStr">
        <is>
          <t>Благовещенск</t>
        </is>
      </c>
      <c r="D10" s="22" t="n">
        <v>1611</v>
      </c>
    </row>
    <row r="11">
      <c r="A11" s="21" t="inlineStr">
        <is>
          <t>Покупка</t>
        </is>
      </c>
      <c r="B11" s="21" t="inlineStr">
        <is>
          <t>Квартиры</t>
        </is>
      </c>
      <c r="C11" s="21" t="inlineStr">
        <is>
          <t>Братск</t>
        </is>
      </c>
      <c r="D11" s="22" t="n">
        <v>688</v>
      </c>
    </row>
    <row r="12">
      <c r="A12" s="21" t="inlineStr">
        <is>
          <t>Покупка</t>
        </is>
      </c>
      <c r="B12" s="21" t="inlineStr">
        <is>
          <t>Квартиры</t>
        </is>
      </c>
      <c r="C12" s="21" t="inlineStr">
        <is>
          <t>Брянск</t>
        </is>
      </c>
      <c r="D12" s="22" t="n">
        <v>3695</v>
      </c>
    </row>
    <row r="13">
      <c r="A13" s="21" t="inlineStr">
        <is>
          <t>Покупка</t>
        </is>
      </c>
      <c r="B13" s="21" t="inlineStr">
        <is>
          <t>Квартиры</t>
        </is>
      </c>
      <c r="C13" s="21" t="inlineStr">
        <is>
          <t>Чебоксары</t>
        </is>
      </c>
      <c r="D13" s="22" t="n">
        <v>2705</v>
      </c>
    </row>
    <row r="14">
      <c r="A14" s="21" t="inlineStr">
        <is>
          <t>Покупка</t>
        </is>
      </c>
      <c r="B14" s="21" t="inlineStr">
        <is>
          <t>Квартиры</t>
        </is>
      </c>
      <c r="C14" s="21" t="inlineStr">
        <is>
          <t>Челябинск</t>
        </is>
      </c>
      <c r="D14" s="22" t="n">
        <v>10757</v>
      </c>
    </row>
    <row r="15">
      <c r="A15" s="21" t="inlineStr">
        <is>
          <t>Покупка</t>
        </is>
      </c>
      <c r="B15" s="21" t="inlineStr">
        <is>
          <t>Квартиры</t>
        </is>
      </c>
      <c r="C15" s="21" t="inlineStr">
        <is>
          <t>Череповец</t>
        </is>
      </c>
      <c r="D15" s="22" t="n">
        <v>1715</v>
      </c>
    </row>
    <row r="16">
      <c r="A16" s="21" t="inlineStr">
        <is>
          <t>Покупка</t>
        </is>
      </c>
      <c r="B16" s="21" t="inlineStr">
        <is>
          <t>Квартиры</t>
        </is>
      </c>
      <c r="C16" s="21" t="inlineStr">
        <is>
          <t>Черкесск</t>
        </is>
      </c>
      <c r="D16" s="22" t="n">
        <v>700</v>
      </c>
    </row>
    <row r="17">
      <c r="A17" s="21" t="inlineStr">
        <is>
          <t>Покупка</t>
        </is>
      </c>
      <c r="B17" s="21" t="inlineStr">
        <is>
          <t>Квартиры</t>
        </is>
      </c>
      <c r="C17" s="21" t="inlineStr">
        <is>
          <t>Чита</t>
        </is>
      </c>
      <c r="D17" s="22" t="n">
        <v>3895</v>
      </c>
    </row>
    <row r="18">
      <c r="A18" s="21" t="inlineStr">
        <is>
          <t>Покупка</t>
        </is>
      </c>
      <c r="B18" s="21" t="inlineStr">
        <is>
          <t>Квартиры</t>
        </is>
      </c>
      <c r="C18" s="21" t="inlineStr">
        <is>
          <t>Долгопрудный</t>
        </is>
      </c>
      <c r="D18" s="22" t="n">
        <v>248</v>
      </c>
    </row>
    <row r="19">
      <c r="A19" s="21" t="inlineStr">
        <is>
          <t>Покупка</t>
        </is>
      </c>
      <c r="B19" s="21" t="inlineStr">
        <is>
          <t>Квартиры</t>
        </is>
      </c>
      <c r="C19" s="21" t="inlineStr">
        <is>
          <t>Домодедово</t>
        </is>
      </c>
      <c r="D19" s="22" t="n">
        <v>1343</v>
      </c>
    </row>
    <row r="20">
      <c r="A20" s="21" t="inlineStr">
        <is>
          <t>Покупка</t>
        </is>
      </c>
      <c r="B20" s="21" t="inlineStr">
        <is>
          <t>Квартиры</t>
        </is>
      </c>
      <c r="C20" s="21" t="inlineStr">
        <is>
          <t>Дзержинск</t>
        </is>
      </c>
      <c r="D20" s="22" t="n">
        <v>631</v>
      </c>
    </row>
    <row r="21">
      <c r="A21" s="21" t="inlineStr">
        <is>
          <t>Покупка</t>
        </is>
      </c>
      <c r="B21" s="21" t="inlineStr">
        <is>
          <t>Квартиры</t>
        </is>
      </c>
      <c r="C21" s="21" t="inlineStr">
        <is>
          <t>Екатеринбург</t>
        </is>
      </c>
      <c r="D21" s="22" t="n">
        <v>34846</v>
      </c>
    </row>
    <row r="22">
      <c r="A22" s="21" t="inlineStr">
        <is>
          <t>Покупка</t>
        </is>
      </c>
      <c r="B22" s="21" t="inlineStr">
        <is>
          <t>Квартиры</t>
        </is>
      </c>
      <c r="C22" s="21" t="inlineStr">
        <is>
          <t>Элиста</t>
        </is>
      </c>
      <c r="D22" s="22" t="n">
        <v>399</v>
      </c>
    </row>
    <row r="23">
      <c r="A23" s="21" t="inlineStr">
        <is>
          <t>Покупка</t>
        </is>
      </c>
      <c r="B23" s="21" t="inlineStr">
        <is>
          <t>Квартиры</t>
        </is>
      </c>
      <c r="C23" s="21" t="inlineStr">
        <is>
          <t>Энгельс</t>
        </is>
      </c>
      <c r="D23" s="22" t="n">
        <v>2799</v>
      </c>
    </row>
    <row r="24">
      <c r="A24" s="21" t="inlineStr">
        <is>
          <t>Покупка</t>
        </is>
      </c>
      <c r="B24" s="21" t="inlineStr">
        <is>
          <t>Квартиры</t>
        </is>
      </c>
      <c r="C24" s="21" t="inlineStr">
        <is>
          <t>Горно-Алтайск</t>
        </is>
      </c>
      <c r="D24" s="22" t="n">
        <v>516</v>
      </c>
    </row>
    <row r="25">
      <c r="A25" s="21" t="inlineStr">
        <is>
          <t>Покупка</t>
        </is>
      </c>
      <c r="B25" s="21" t="inlineStr">
        <is>
          <t>Квартиры</t>
        </is>
      </c>
      <c r="C25" s="21" t="inlineStr">
        <is>
          <t>Грозный</t>
        </is>
      </c>
      <c r="D25" s="22" t="n">
        <v>481</v>
      </c>
    </row>
    <row r="26">
      <c r="A26" s="21" t="inlineStr">
        <is>
          <t>Покупка</t>
        </is>
      </c>
      <c r="B26" s="21" t="inlineStr">
        <is>
          <t>Квартиры</t>
        </is>
      </c>
      <c r="C26" s="21" t="inlineStr">
        <is>
          <t>Иркутск</t>
        </is>
      </c>
      <c r="D26" s="22" t="n">
        <v>7824</v>
      </c>
    </row>
    <row r="27">
      <c r="A27" s="21" t="inlineStr">
        <is>
          <t>Покупка</t>
        </is>
      </c>
      <c r="B27" s="21" t="inlineStr">
        <is>
          <t>Квартиры</t>
        </is>
      </c>
      <c r="C27" s="21" t="inlineStr">
        <is>
          <t>Иваново</t>
        </is>
      </c>
      <c r="D27" s="22" t="n">
        <v>3242</v>
      </c>
    </row>
    <row r="28">
      <c r="A28" s="21" t="inlineStr">
        <is>
          <t>Покупка</t>
        </is>
      </c>
      <c r="B28" s="21" t="inlineStr">
        <is>
          <t>Квартиры</t>
        </is>
      </c>
      <c r="C28" s="21" t="inlineStr">
        <is>
          <t>Ижевск</t>
        </is>
      </c>
      <c r="D28" s="22" t="n">
        <v>7161</v>
      </c>
    </row>
    <row r="29">
      <c r="A29" s="21" t="inlineStr">
        <is>
          <t>Покупка</t>
        </is>
      </c>
      <c r="B29" s="21" t="inlineStr">
        <is>
          <t>Квартиры</t>
        </is>
      </c>
      <c r="C29" s="21" t="inlineStr">
        <is>
          <t>Йошкар-Ола</t>
        </is>
      </c>
      <c r="D29" s="22" t="n">
        <v>1852</v>
      </c>
    </row>
    <row r="30">
      <c r="A30" s="21" t="inlineStr">
        <is>
          <t>Покупка</t>
        </is>
      </c>
      <c r="B30" s="21" t="inlineStr">
        <is>
          <t>Квартиры</t>
        </is>
      </c>
      <c r="C30" s="21" t="inlineStr">
        <is>
          <t>Калининград</t>
        </is>
      </c>
      <c r="D30" s="22" t="n">
        <v>6907</v>
      </c>
    </row>
    <row r="31">
      <c r="A31" s="21" t="inlineStr">
        <is>
          <t>Покупка</t>
        </is>
      </c>
      <c r="B31" s="21" t="inlineStr">
        <is>
          <t>Квартиры</t>
        </is>
      </c>
      <c r="C31" s="21" t="inlineStr">
        <is>
          <t>Калуга</t>
        </is>
      </c>
      <c r="D31" s="22" t="n">
        <v>4361</v>
      </c>
    </row>
    <row r="32">
      <c r="A32" s="21" t="inlineStr">
        <is>
          <t>Покупка</t>
        </is>
      </c>
      <c r="B32" s="21" t="inlineStr">
        <is>
          <t>Квартиры</t>
        </is>
      </c>
      <c r="C32" s="21" t="inlineStr">
        <is>
          <t>Казань</t>
        </is>
      </c>
      <c r="D32" s="22" t="n">
        <v>14467</v>
      </c>
    </row>
    <row r="33">
      <c r="A33" s="21" t="inlineStr">
        <is>
          <t>Покупка</t>
        </is>
      </c>
      <c r="B33" s="21" t="inlineStr">
        <is>
          <t>Квартиры</t>
        </is>
      </c>
      <c r="C33" s="21" t="inlineStr">
        <is>
          <t>Кемерово</t>
        </is>
      </c>
      <c r="D33" s="22" t="n">
        <v>6278</v>
      </c>
    </row>
    <row r="34">
      <c r="A34" s="21" t="inlineStr">
        <is>
          <t>Покупка</t>
        </is>
      </c>
      <c r="B34" s="21" t="inlineStr">
        <is>
          <t>Квартиры</t>
        </is>
      </c>
      <c r="C34" s="21" t="inlineStr">
        <is>
          <t>Киров</t>
        </is>
      </c>
      <c r="D34" s="22" t="n">
        <v>4011</v>
      </c>
    </row>
    <row r="35">
      <c r="A35" s="21" t="inlineStr">
        <is>
          <t>Покупка</t>
        </is>
      </c>
      <c r="B35" s="21" t="inlineStr">
        <is>
          <t>Квартиры</t>
        </is>
      </c>
      <c r="C35" s="21" t="inlineStr">
        <is>
          <t>Коломна</t>
        </is>
      </c>
      <c r="D35" s="22" t="n">
        <v>249</v>
      </c>
    </row>
    <row r="36">
      <c r="A36" s="21" t="inlineStr">
        <is>
          <t>Покупка</t>
        </is>
      </c>
      <c r="B36" s="21" t="inlineStr">
        <is>
          <t>Квартиры</t>
        </is>
      </c>
      <c r="C36" s="21" t="inlineStr">
        <is>
          <t>Комсомольск-на-Амуре</t>
        </is>
      </c>
      <c r="D36" s="22" t="n">
        <v>848</v>
      </c>
    </row>
    <row r="37">
      <c r="A37" s="21" t="inlineStr">
        <is>
          <t>Покупка</t>
        </is>
      </c>
      <c r="B37" s="21" t="inlineStr">
        <is>
          <t>Квартиры</t>
        </is>
      </c>
      <c r="C37" s="21" t="inlineStr">
        <is>
          <t>Королёв</t>
        </is>
      </c>
      <c r="D37" s="22" t="n">
        <v>1045</v>
      </c>
    </row>
    <row r="38">
      <c r="A38" s="21" t="inlineStr">
        <is>
          <t>Покупка</t>
        </is>
      </c>
      <c r="B38" s="21" t="inlineStr">
        <is>
          <t>Квартиры</t>
        </is>
      </c>
      <c r="C38" s="21" t="inlineStr">
        <is>
          <t>Кострома</t>
        </is>
      </c>
      <c r="D38" s="22" t="n">
        <v>1795</v>
      </c>
    </row>
    <row r="39">
      <c r="A39" s="21" t="inlineStr">
        <is>
          <t>Покупка</t>
        </is>
      </c>
      <c r="B39" s="21" t="inlineStr">
        <is>
          <t>Квартиры</t>
        </is>
      </c>
      <c r="C39" s="21" t="inlineStr">
        <is>
          <t>Краснодар</t>
        </is>
      </c>
      <c r="D39" s="22" t="n">
        <v>48545</v>
      </c>
    </row>
    <row r="40">
      <c r="A40" s="21" t="inlineStr">
        <is>
          <t>Покупка</t>
        </is>
      </c>
      <c r="B40" s="21" t="inlineStr">
        <is>
          <t>Квартиры</t>
        </is>
      </c>
      <c r="C40" s="21" t="inlineStr">
        <is>
          <t>Красногорск</t>
        </is>
      </c>
      <c r="D40" s="22" t="n">
        <v>2278</v>
      </c>
    </row>
    <row r="41">
      <c r="A41" s="21" t="inlineStr">
        <is>
          <t>Покупка</t>
        </is>
      </c>
      <c r="B41" s="21" t="inlineStr">
        <is>
          <t>Квартиры</t>
        </is>
      </c>
      <c r="C41" s="21" t="inlineStr">
        <is>
          <t>Красноярск</t>
        </is>
      </c>
      <c r="D41" s="22" t="n">
        <v>14034</v>
      </c>
    </row>
    <row r="42">
      <c r="A42" s="21" t="inlineStr">
        <is>
          <t>Покупка</t>
        </is>
      </c>
      <c r="B42" s="21" t="inlineStr">
        <is>
          <t>Квартиры</t>
        </is>
      </c>
      <c r="C42" s="21" t="inlineStr">
        <is>
          <t>Курган</t>
        </is>
      </c>
      <c r="D42" s="22" t="n">
        <v>3378</v>
      </c>
    </row>
    <row r="43">
      <c r="A43" s="21" t="inlineStr">
        <is>
          <t>Покупка</t>
        </is>
      </c>
      <c r="B43" s="21" t="inlineStr">
        <is>
          <t>Квартиры</t>
        </is>
      </c>
      <c r="C43" s="21" t="inlineStr">
        <is>
          <t>Курск</t>
        </is>
      </c>
      <c r="D43" s="22" t="n">
        <v>4601</v>
      </c>
    </row>
    <row r="44">
      <c r="A44" s="21" t="inlineStr">
        <is>
          <t>Покупка</t>
        </is>
      </c>
      <c r="B44" s="21" t="inlineStr">
        <is>
          <t>Квартиры</t>
        </is>
      </c>
      <c r="C44" s="21" t="inlineStr">
        <is>
          <t>Кызыл</t>
        </is>
      </c>
      <c r="D44" s="22" t="n">
        <v>1933</v>
      </c>
    </row>
    <row r="45">
      <c r="A45" s="21" t="inlineStr">
        <is>
          <t>Покупка</t>
        </is>
      </c>
      <c r="B45" s="21" t="inlineStr">
        <is>
          <t>Квартиры</t>
        </is>
      </c>
      <c r="C45" s="21" t="inlineStr">
        <is>
          <t>Липецк</t>
        </is>
      </c>
      <c r="D45" s="22" t="n">
        <v>5085</v>
      </c>
    </row>
    <row r="46">
      <c r="A46" s="21" t="inlineStr">
        <is>
          <t>Покупка</t>
        </is>
      </c>
      <c r="B46" s="21" t="inlineStr">
        <is>
          <t>Квартиры</t>
        </is>
      </c>
      <c r="C46" s="21" t="inlineStr">
        <is>
          <t>Люберцы</t>
        </is>
      </c>
      <c r="D46" s="22" t="n">
        <v>1238</v>
      </c>
    </row>
    <row r="47">
      <c r="A47" s="21" t="inlineStr">
        <is>
          <t>Покупка</t>
        </is>
      </c>
      <c r="B47" s="21" t="inlineStr">
        <is>
          <t>Квартиры</t>
        </is>
      </c>
      <c r="C47" s="21" t="inlineStr">
        <is>
          <t>Магадан</t>
        </is>
      </c>
      <c r="D47" s="22" t="n">
        <v>393</v>
      </c>
    </row>
    <row r="48">
      <c r="A48" s="21" t="inlineStr">
        <is>
          <t>Покупка</t>
        </is>
      </c>
      <c r="B48" s="21" t="inlineStr">
        <is>
          <t>Квартиры</t>
        </is>
      </c>
      <c r="C48" s="21" t="inlineStr">
        <is>
          <t>Магнитогорск</t>
        </is>
      </c>
      <c r="D48" s="22" t="n">
        <v>1452</v>
      </c>
    </row>
    <row r="49">
      <c r="A49" s="21" t="inlineStr">
        <is>
          <t>Покупка</t>
        </is>
      </c>
      <c r="B49" s="21" t="inlineStr">
        <is>
          <t>Квартиры</t>
        </is>
      </c>
      <c r="C49" s="21" t="inlineStr">
        <is>
          <t>Майкоп</t>
        </is>
      </c>
      <c r="D49" s="22" t="n">
        <v>4923</v>
      </c>
    </row>
    <row r="50">
      <c r="A50" s="21" t="inlineStr">
        <is>
          <t>Покупка</t>
        </is>
      </c>
      <c r="B50" s="21" t="inlineStr">
        <is>
          <t>Квартиры</t>
        </is>
      </c>
      <c r="C50" s="21" t="inlineStr">
        <is>
          <t>Махачкала</t>
        </is>
      </c>
      <c r="D50" s="22" t="n">
        <v>1910</v>
      </c>
    </row>
    <row r="51">
      <c r="A51" s="21" t="inlineStr">
        <is>
          <t>Покупка</t>
        </is>
      </c>
      <c r="B51" s="21" t="inlineStr">
        <is>
          <t>Квартиры</t>
        </is>
      </c>
      <c r="C51" s="21" t="inlineStr">
        <is>
          <t>Москва</t>
        </is>
      </c>
      <c r="D51" s="22" t="n">
        <v>63965</v>
      </c>
    </row>
    <row r="52">
      <c r="A52" s="21" t="inlineStr">
        <is>
          <t>Покупка</t>
        </is>
      </c>
      <c r="B52" s="21" t="inlineStr">
        <is>
          <t>Квартиры</t>
        </is>
      </c>
      <c r="C52" s="21" t="inlineStr">
        <is>
          <t>Мурманск</t>
        </is>
      </c>
      <c r="D52" s="22" t="n">
        <v>1271</v>
      </c>
    </row>
    <row r="53">
      <c r="A53" s="21" t="inlineStr">
        <is>
          <t>Покупка</t>
        </is>
      </c>
      <c r="B53" s="21" t="inlineStr">
        <is>
          <t>Квартиры</t>
        </is>
      </c>
      <c r="C53" s="21" t="inlineStr">
        <is>
          <t>Мытищи</t>
        </is>
      </c>
      <c r="D53" s="22" t="n">
        <v>3694</v>
      </c>
    </row>
    <row r="54">
      <c r="A54" s="21" t="inlineStr">
        <is>
          <t>Покупка</t>
        </is>
      </c>
      <c r="B54" s="21" t="inlineStr">
        <is>
          <t>Квартиры</t>
        </is>
      </c>
      <c r="C54" s="21" t="inlineStr">
        <is>
          <t>Набережные Челны</t>
        </is>
      </c>
      <c r="D54" s="22" t="n">
        <v>2739</v>
      </c>
    </row>
    <row r="55">
      <c r="A55" s="21" t="inlineStr">
        <is>
          <t>Покупка</t>
        </is>
      </c>
      <c r="B55" s="21" t="inlineStr">
        <is>
          <t>Квартиры</t>
        </is>
      </c>
      <c r="C55" s="21" t="inlineStr">
        <is>
          <t>Нальчик</t>
        </is>
      </c>
      <c r="D55" s="22" t="n">
        <v>168</v>
      </c>
    </row>
    <row r="56">
      <c r="A56" s="21" t="inlineStr">
        <is>
          <t>Покупка</t>
        </is>
      </c>
      <c r="B56" s="21" t="inlineStr">
        <is>
          <t>Квартиры</t>
        </is>
      </c>
      <c r="C56" s="21" t="inlineStr">
        <is>
          <t>Нарьян-Мар</t>
        </is>
      </c>
      <c r="D56" s="22" t="n">
        <v>22</v>
      </c>
    </row>
    <row r="57">
      <c r="A57" s="21" t="inlineStr">
        <is>
          <t>Покупка</t>
        </is>
      </c>
      <c r="B57" s="21" t="inlineStr">
        <is>
          <t>Квартиры</t>
        </is>
      </c>
      <c r="C57" s="21" t="inlineStr">
        <is>
          <t>Нефтеюганск</t>
        </is>
      </c>
      <c r="D57" s="22" t="n">
        <v>2396</v>
      </c>
    </row>
    <row r="58">
      <c r="A58" s="21" t="inlineStr">
        <is>
          <t>Покупка</t>
        </is>
      </c>
      <c r="B58" s="21" t="inlineStr">
        <is>
          <t>Квартиры</t>
        </is>
      </c>
      <c r="C58" s="21" t="inlineStr">
        <is>
          <t>Нижневартовск</t>
        </is>
      </c>
      <c r="D58" s="22" t="n">
        <v>1763</v>
      </c>
    </row>
    <row r="59">
      <c r="A59" s="21" t="inlineStr">
        <is>
          <t>Покупка</t>
        </is>
      </c>
      <c r="B59" s="21" t="inlineStr">
        <is>
          <t>Квартиры</t>
        </is>
      </c>
      <c r="C59" s="21" t="inlineStr">
        <is>
          <t>Нижний Тагил</t>
        </is>
      </c>
      <c r="D59" s="22" t="n">
        <v>1826</v>
      </c>
    </row>
    <row r="60">
      <c r="A60" s="21" t="inlineStr">
        <is>
          <t>Покупка</t>
        </is>
      </c>
      <c r="B60" s="21" t="inlineStr">
        <is>
          <t>Квартиры</t>
        </is>
      </c>
      <c r="C60" s="21" t="inlineStr">
        <is>
          <t>Нижний Новгород</t>
        </is>
      </c>
      <c r="D60" s="22" t="n">
        <v>9182</v>
      </c>
    </row>
    <row r="61">
      <c r="A61" s="21" t="inlineStr">
        <is>
          <t>Покупка</t>
        </is>
      </c>
      <c r="B61" s="21" t="inlineStr">
        <is>
          <t>Квартиры</t>
        </is>
      </c>
      <c r="C61" s="21" t="inlineStr">
        <is>
          <t>Ногинск</t>
        </is>
      </c>
      <c r="D61" s="22" t="n">
        <v>296</v>
      </c>
    </row>
    <row r="62">
      <c r="A62" s="21" t="inlineStr">
        <is>
          <t>Покупка</t>
        </is>
      </c>
      <c r="B62" s="21" t="inlineStr">
        <is>
          <t>Квартиры</t>
        </is>
      </c>
      <c r="C62" s="21" t="inlineStr">
        <is>
          <t>Норильск</t>
        </is>
      </c>
      <c r="D62" s="22" t="n">
        <v>2048</v>
      </c>
    </row>
    <row r="63">
      <c r="A63" s="21" t="inlineStr">
        <is>
          <t>Покупка</t>
        </is>
      </c>
      <c r="B63" s="21" t="inlineStr">
        <is>
          <t>Квартиры</t>
        </is>
      </c>
      <c r="C63" s="21" t="inlineStr">
        <is>
          <t>Новокузнецк</t>
        </is>
      </c>
      <c r="D63" s="22" t="n">
        <v>3062</v>
      </c>
    </row>
    <row r="64">
      <c r="A64" s="21" t="inlineStr">
        <is>
          <t>Покупка</t>
        </is>
      </c>
      <c r="B64" s="21" t="inlineStr">
        <is>
          <t>Квартиры</t>
        </is>
      </c>
      <c r="C64" s="21" t="inlineStr">
        <is>
          <t>Новороссийск</t>
        </is>
      </c>
      <c r="D64" s="22" t="n">
        <v>6535</v>
      </c>
    </row>
    <row r="65">
      <c r="A65" s="21" t="inlineStr">
        <is>
          <t>Покупка</t>
        </is>
      </c>
      <c r="B65" s="21" t="inlineStr">
        <is>
          <t>Квартиры</t>
        </is>
      </c>
      <c r="C65" s="21" t="inlineStr">
        <is>
          <t>Новосибирск</t>
        </is>
      </c>
      <c r="D65" s="22" t="n">
        <v>23668</v>
      </c>
    </row>
    <row r="66">
      <c r="A66" s="21" t="inlineStr">
        <is>
          <t>Покупка</t>
        </is>
      </c>
      <c r="B66" s="21" t="inlineStr">
        <is>
          <t>Квартиры</t>
        </is>
      </c>
      <c r="C66" s="21" t="inlineStr">
        <is>
          <t>Новый Уренгой</t>
        </is>
      </c>
      <c r="D66" s="22" t="n">
        <v>1615</v>
      </c>
    </row>
    <row r="67">
      <c r="A67" s="21" t="inlineStr">
        <is>
          <t>Покупка</t>
        </is>
      </c>
      <c r="B67" s="21" t="inlineStr">
        <is>
          <t>Квартиры</t>
        </is>
      </c>
      <c r="C67" s="21" t="inlineStr">
        <is>
          <t>Обнинск</t>
        </is>
      </c>
      <c r="D67" s="22" t="n">
        <v>906</v>
      </c>
    </row>
    <row r="68">
      <c r="A68" s="21" t="inlineStr">
        <is>
          <t>Покупка</t>
        </is>
      </c>
      <c r="B68" s="21" t="inlineStr">
        <is>
          <t>Квартиры</t>
        </is>
      </c>
      <c r="C68" s="21" t="inlineStr">
        <is>
          <t>Одинцово</t>
        </is>
      </c>
      <c r="D68" s="22" t="n">
        <v>1302</v>
      </c>
    </row>
    <row r="69">
      <c r="A69" s="21" t="inlineStr">
        <is>
          <t>Покупка</t>
        </is>
      </c>
      <c r="B69" s="21" t="inlineStr">
        <is>
          <t>Квартиры</t>
        </is>
      </c>
      <c r="C69" s="21" t="inlineStr">
        <is>
          <t>Омск</t>
        </is>
      </c>
      <c r="D69" s="22" t="n">
        <v>7532</v>
      </c>
    </row>
    <row r="70">
      <c r="A70" s="21" t="inlineStr">
        <is>
          <t>Покупка</t>
        </is>
      </c>
      <c r="B70" s="21" t="inlineStr">
        <is>
          <t>Квартиры</t>
        </is>
      </c>
      <c r="C70" s="21" t="inlineStr">
        <is>
          <t>Оренбург</t>
        </is>
      </c>
      <c r="D70" s="22" t="n">
        <v>3645</v>
      </c>
    </row>
    <row r="71">
      <c r="A71" s="21" t="inlineStr">
        <is>
          <t>Покупка</t>
        </is>
      </c>
      <c r="B71" s="21" t="inlineStr">
        <is>
          <t>Квартиры</t>
        </is>
      </c>
      <c r="C71" s="21" t="inlineStr">
        <is>
          <t>Орехово-Зуево</t>
        </is>
      </c>
      <c r="D71" s="22" t="n">
        <v>179</v>
      </c>
    </row>
    <row r="72">
      <c r="A72" s="21" t="inlineStr">
        <is>
          <t>Покупка</t>
        </is>
      </c>
      <c r="B72" s="21" t="inlineStr">
        <is>
          <t>Квартиры</t>
        </is>
      </c>
      <c r="C72" s="21" t="inlineStr">
        <is>
          <t>Орёл</t>
        </is>
      </c>
      <c r="D72" s="22" t="n">
        <v>1815</v>
      </c>
    </row>
    <row r="73">
      <c r="A73" s="21" t="inlineStr">
        <is>
          <t>Покупка</t>
        </is>
      </c>
      <c r="B73" s="21" t="inlineStr">
        <is>
          <t>Квартиры</t>
        </is>
      </c>
      <c r="C73" s="21" t="inlineStr">
        <is>
          <t>Пенза</t>
        </is>
      </c>
      <c r="D73" s="22" t="n">
        <v>13872</v>
      </c>
    </row>
    <row r="74">
      <c r="A74" s="21" t="inlineStr">
        <is>
          <t>Покупка</t>
        </is>
      </c>
      <c r="B74" s="21" t="inlineStr">
        <is>
          <t>Квартиры</t>
        </is>
      </c>
      <c r="C74" s="21" t="inlineStr">
        <is>
          <t>Пермь</t>
        </is>
      </c>
      <c r="D74" s="22" t="n">
        <v>11362</v>
      </c>
    </row>
    <row r="75">
      <c r="A75" s="21" t="inlineStr">
        <is>
          <t>Покупка</t>
        </is>
      </c>
      <c r="B75" s="21" t="inlineStr">
        <is>
          <t>Квартиры</t>
        </is>
      </c>
      <c r="C75" s="21" t="inlineStr">
        <is>
          <t>Петропавловск-Камчатский</t>
        </is>
      </c>
      <c r="D75" s="22" t="n">
        <v>1521</v>
      </c>
    </row>
    <row r="76">
      <c r="A76" s="21" t="inlineStr">
        <is>
          <t>Покупка</t>
        </is>
      </c>
      <c r="B76" s="21" t="inlineStr">
        <is>
          <t>Квартиры</t>
        </is>
      </c>
      <c r="C76" s="21" t="inlineStr">
        <is>
          <t>Петрозаводск</t>
        </is>
      </c>
      <c r="D76" s="22" t="n">
        <v>1637</v>
      </c>
    </row>
    <row r="77">
      <c r="A77" s="21" t="inlineStr">
        <is>
          <t>Покупка</t>
        </is>
      </c>
      <c r="B77" s="21" t="inlineStr">
        <is>
          <t>Квартиры</t>
        </is>
      </c>
      <c r="C77" s="21" t="inlineStr">
        <is>
          <t>Подольск</t>
        </is>
      </c>
      <c r="D77" s="22" t="n">
        <v>1233</v>
      </c>
    </row>
    <row r="78">
      <c r="A78" s="21" t="inlineStr">
        <is>
          <t>Покупка</t>
        </is>
      </c>
      <c r="B78" s="21" t="inlineStr">
        <is>
          <t>Квартиры</t>
        </is>
      </c>
      <c r="C78" s="21" t="inlineStr">
        <is>
          <t>Прокопьевск</t>
        </is>
      </c>
      <c r="D78" s="22" t="n">
        <v>1038</v>
      </c>
    </row>
    <row r="79">
      <c r="A79" s="21" t="inlineStr">
        <is>
          <t>Покупка</t>
        </is>
      </c>
      <c r="B79" s="21" t="inlineStr">
        <is>
          <t>Квартиры</t>
        </is>
      </c>
      <c r="C79" s="21" t="inlineStr">
        <is>
          <t>Псков</t>
        </is>
      </c>
      <c r="D79" s="22" t="n">
        <v>1809</v>
      </c>
    </row>
    <row r="80">
      <c r="A80" s="21" t="inlineStr">
        <is>
          <t>Покупка</t>
        </is>
      </c>
      <c r="B80" s="21" t="inlineStr">
        <is>
          <t>Квартиры</t>
        </is>
      </c>
      <c r="C80" s="21" t="inlineStr">
        <is>
          <t>Пушкино</t>
        </is>
      </c>
      <c r="D80" s="22" t="n">
        <v>1332</v>
      </c>
    </row>
    <row r="81">
      <c r="A81" s="21" t="inlineStr">
        <is>
          <t>Покупка</t>
        </is>
      </c>
      <c r="B81" s="21" t="inlineStr">
        <is>
          <t>Квартиры</t>
        </is>
      </c>
      <c r="C81" s="21" t="inlineStr">
        <is>
          <t>Раменское</t>
        </is>
      </c>
      <c r="D81" s="22" t="n">
        <v>387</v>
      </c>
    </row>
    <row r="82">
      <c r="A82" s="21" t="inlineStr">
        <is>
          <t>Покупка</t>
        </is>
      </c>
      <c r="B82" s="21" t="inlineStr">
        <is>
          <t>Квартиры</t>
        </is>
      </c>
      <c r="C82" s="21" t="inlineStr">
        <is>
          <t>Реутов</t>
        </is>
      </c>
      <c r="D82" s="22" t="n">
        <v>243</v>
      </c>
    </row>
    <row r="83">
      <c r="A83" s="21" t="inlineStr">
        <is>
          <t>Покупка</t>
        </is>
      </c>
      <c r="B83" s="21" t="inlineStr">
        <is>
          <t>Квартиры</t>
        </is>
      </c>
      <c r="C83" s="21" t="inlineStr">
        <is>
          <t>Ростов-на-Дону</t>
        </is>
      </c>
      <c r="D83" s="22" t="n">
        <v>31516</v>
      </c>
    </row>
    <row r="84">
      <c r="A84" s="21" t="inlineStr">
        <is>
          <t>Покупка</t>
        </is>
      </c>
      <c r="B84" s="21" t="inlineStr">
        <is>
          <t>Квартиры</t>
        </is>
      </c>
      <c r="C84" s="21" t="inlineStr">
        <is>
          <t>Рязань</t>
        </is>
      </c>
      <c r="D84" s="22" t="n">
        <v>7934</v>
      </c>
    </row>
    <row r="85">
      <c r="A85" s="21" t="inlineStr">
        <is>
          <t>Покупка</t>
        </is>
      </c>
      <c r="B85" s="21" t="inlineStr">
        <is>
          <t>Квартиры</t>
        </is>
      </c>
      <c r="C85" s="21" t="inlineStr">
        <is>
          <t>Салехард</t>
        </is>
      </c>
      <c r="D85" s="22" t="n">
        <v>288</v>
      </c>
    </row>
    <row r="86">
      <c r="A86" s="21" t="inlineStr">
        <is>
          <t>Покупка</t>
        </is>
      </c>
      <c r="B86" s="21" t="inlineStr">
        <is>
          <t>Квартиры</t>
        </is>
      </c>
      <c r="C86" s="21" t="inlineStr">
        <is>
          <t>Самара</t>
        </is>
      </c>
      <c r="D86" s="22" t="n">
        <v>10296</v>
      </c>
    </row>
    <row r="87">
      <c r="A87" s="21" t="inlineStr">
        <is>
          <t>Покупка</t>
        </is>
      </c>
      <c r="B87" s="21" t="inlineStr">
        <is>
          <t>Квартиры</t>
        </is>
      </c>
      <c r="C87" s="21" t="inlineStr">
        <is>
          <t>Саранск</t>
        </is>
      </c>
      <c r="D87" s="22" t="n">
        <v>2456</v>
      </c>
    </row>
    <row r="88">
      <c r="A88" s="21" t="inlineStr">
        <is>
          <t>Покупка</t>
        </is>
      </c>
      <c r="B88" s="21" t="inlineStr">
        <is>
          <t>Квартиры</t>
        </is>
      </c>
      <c r="C88" s="21" t="inlineStr">
        <is>
          <t>Саратов</t>
        </is>
      </c>
      <c r="D88" s="22" t="n">
        <v>3207</v>
      </c>
    </row>
    <row r="89">
      <c r="A89" s="21" t="inlineStr">
        <is>
          <t>Покупка</t>
        </is>
      </c>
      <c r="B89" s="21" t="inlineStr">
        <is>
          <t>Квартиры</t>
        </is>
      </c>
      <c r="C89" s="21" t="inlineStr">
        <is>
          <t>Сергиев Посад</t>
        </is>
      </c>
      <c r="D89" s="22" t="n">
        <v>283</v>
      </c>
    </row>
    <row r="90">
      <c r="A90" s="21" t="inlineStr">
        <is>
          <t>Покупка</t>
        </is>
      </c>
      <c r="B90" s="21" t="inlineStr">
        <is>
          <t>Квартиры</t>
        </is>
      </c>
      <c r="C90" s="21" t="inlineStr">
        <is>
          <t>Серпухов</t>
        </is>
      </c>
      <c r="D90" s="22" t="n">
        <v>421</v>
      </c>
    </row>
    <row r="91">
      <c r="A91" s="21" t="inlineStr">
        <is>
          <t>Покупка</t>
        </is>
      </c>
      <c r="B91" s="21" t="inlineStr">
        <is>
          <t>Квартиры</t>
        </is>
      </c>
      <c r="C91" s="21" t="inlineStr">
        <is>
          <t>Севастополь</t>
        </is>
      </c>
      <c r="D91" s="22" t="n">
        <v>4507</v>
      </c>
    </row>
    <row r="92">
      <c r="A92" s="21" t="inlineStr">
        <is>
          <t>Покупка</t>
        </is>
      </c>
      <c r="B92" s="21" t="inlineStr">
        <is>
          <t>Квартиры</t>
        </is>
      </c>
      <c r="C92" s="21" t="inlineStr">
        <is>
          <t>Северодвинск</t>
        </is>
      </c>
      <c r="D92" s="22" t="n">
        <v>1600</v>
      </c>
    </row>
    <row r="93">
      <c r="A93" s="21" t="inlineStr">
        <is>
          <t>Покупка</t>
        </is>
      </c>
      <c r="B93" s="21" t="inlineStr">
        <is>
          <t>Квартиры</t>
        </is>
      </c>
      <c r="C93" s="21" t="inlineStr">
        <is>
          <t>Симферополь</t>
        </is>
      </c>
      <c r="D93" s="22" t="n">
        <v>4219</v>
      </c>
    </row>
    <row r="94">
      <c r="A94" s="21" t="inlineStr">
        <is>
          <t>Покупка</t>
        </is>
      </c>
      <c r="B94" s="21" t="inlineStr">
        <is>
          <t>Квартиры</t>
        </is>
      </c>
      <c r="C94" s="21" t="inlineStr">
        <is>
          <t>Смоленск</t>
        </is>
      </c>
      <c r="D94" s="22" t="n">
        <v>2863</v>
      </c>
    </row>
    <row r="95">
      <c r="A95" s="21" t="inlineStr">
        <is>
          <t>Покупка</t>
        </is>
      </c>
      <c r="B95" s="21" t="inlineStr">
        <is>
          <t>Квартиры</t>
        </is>
      </c>
      <c r="C95" s="21" t="inlineStr">
        <is>
          <t>Сочи</t>
        </is>
      </c>
      <c r="D95" s="22" t="n">
        <v>9683</v>
      </c>
    </row>
    <row r="96">
      <c r="A96" s="21" t="inlineStr">
        <is>
          <t>Покупка</t>
        </is>
      </c>
      <c r="B96" s="21" t="inlineStr">
        <is>
          <t>Квартиры</t>
        </is>
      </c>
      <c r="C96" s="21" t="inlineStr">
        <is>
          <t>Санкт-Петербург</t>
        </is>
      </c>
      <c r="D96" s="22" t="n">
        <v>48206</v>
      </c>
    </row>
    <row r="97">
      <c r="A97" s="21" t="inlineStr">
        <is>
          <t>Покупка</t>
        </is>
      </c>
      <c r="B97" s="21" t="inlineStr">
        <is>
          <t>Квартиры</t>
        </is>
      </c>
      <c r="C97" s="21" t="inlineStr">
        <is>
          <t>Старый Оскол</t>
        </is>
      </c>
      <c r="D97" s="22" t="n">
        <v>2085</v>
      </c>
    </row>
    <row r="98">
      <c r="A98" s="21" t="inlineStr">
        <is>
          <t>Покупка</t>
        </is>
      </c>
      <c r="B98" s="21" t="inlineStr">
        <is>
          <t>Квартиры</t>
        </is>
      </c>
      <c r="C98" s="21" t="inlineStr">
        <is>
          <t>Ставрополь</t>
        </is>
      </c>
      <c r="D98" s="22" t="n">
        <v>5093</v>
      </c>
    </row>
    <row r="99">
      <c r="A99" s="21" t="inlineStr">
        <is>
          <t>Покупка</t>
        </is>
      </c>
      <c r="B99" s="21" t="inlineStr">
        <is>
          <t>Квартиры</t>
        </is>
      </c>
      <c r="C99" s="21" t="inlineStr">
        <is>
          <t>Стерлитамак</t>
        </is>
      </c>
      <c r="D99" s="22" t="n">
        <v>2810</v>
      </c>
    </row>
    <row r="100">
      <c r="A100" s="21" t="inlineStr">
        <is>
          <t>Покупка</t>
        </is>
      </c>
      <c r="B100" s="21" t="inlineStr">
        <is>
          <t>Квартиры</t>
        </is>
      </c>
      <c r="C100" s="21" t="inlineStr">
        <is>
          <t>Сургут</t>
        </is>
      </c>
      <c r="D100" s="22" t="n">
        <v>3451</v>
      </c>
    </row>
    <row r="101">
      <c r="A101" s="21" t="inlineStr">
        <is>
          <t>Покупка</t>
        </is>
      </c>
      <c r="B101" s="21" t="inlineStr">
        <is>
          <t>Квартиры</t>
        </is>
      </c>
      <c r="C101" s="21" t="inlineStr">
        <is>
          <t>Сыктывкар</t>
        </is>
      </c>
      <c r="D101" s="22" t="n">
        <v>1324</v>
      </c>
    </row>
    <row r="102">
      <c r="A102" s="21" t="inlineStr">
        <is>
          <t>Покупка</t>
        </is>
      </c>
      <c r="B102" s="21" t="inlineStr">
        <is>
          <t>Квартиры</t>
        </is>
      </c>
      <c r="C102" s="21" t="inlineStr">
        <is>
          <t>Тамбов</t>
        </is>
      </c>
      <c r="D102" s="22" t="n">
        <v>1929</v>
      </c>
    </row>
    <row r="103">
      <c r="A103" s="21" t="inlineStr">
        <is>
          <t>Покупка</t>
        </is>
      </c>
      <c r="B103" s="21" t="inlineStr">
        <is>
          <t>Квартиры</t>
        </is>
      </c>
      <c r="C103" s="21" t="inlineStr">
        <is>
          <t>Тольятти</t>
        </is>
      </c>
      <c r="D103" s="22" t="n">
        <v>1801</v>
      </c>
    </row>
    <row r="104">
      <c r="A104" s="21" t="inlineStr">
        <is>
          <t>Покупка</t>
        </is>
      </c>
      <c r="B104" s="21" t="inlineStr">
        <is>
          <t>Квартиры</t>
        </is>
      </c>
      <c r="C104" s="21" t="inlineStr">
        <is>
          <t>Томск</t>
        </is>
      </c>
      <c r="D104" s="22" t="n">
        <v>5130</v>
      </c>
    </row>
    <row r="105">
      <c r="A105" s="21" t="inlineStr">
        <is>
          <t>Покупка</t>
        </is>
      </c>
      <c r="B105" s="21" t="inlineStr">
        <is>
          <t>Квартиры</t>
        </is>
      </c>
      <c r="C105" s="21" t="inlineStr">
        <is>
          <t>Тула</t>
        </is>
      </c>
      <c r="D105" s="22" t="n">
        <v>8256</v>
      </c>
    </row>
    <row r="106">
      <c r="A106" s="21" t="inlineStr">
        <is>
          <t>Покупка</t>
        </is>
      </c>
      <c r="B106" s="21" t="inlineStr">
        <is>
          <t>Квартиры</t>
        </is>
      </c>
      <c r="C106" s="21" t="inlineStr">
        <is>
          <t>Тверь</t>
        </is>
      </c>
      <c r="D106" s="22" t="n">
        <v>2211</v>
      </c>
    </row>
    <row r="107">
      <c r="A107" s="21" t="inlineStr">
        <is>
          <t>Покупка</t>
        </is>
      </c>
      <c r="B107" s="21" t="inlineStr">
        <is>
          <t>Квартиры</t>
        </is>
      </c>
      <c r="C107" s="21" t="inlineStr">
        <is>
          <t>Тюмень</t>
        </is>
      </c>
      <c r="D107" s="22" t="n">
        <v>34958</v>
      </c>
    </row>
    <row r="108">
      <c r="A108" s="21" t="inlineStr">
        <is>
          <t>Покупка</t>
        </is>
      </c>
      <c r="B108" s="21" t="inlineStr">
        <is>
          <t>Квартиры</t>
        </is>
      </c>
      <c r="C108" s="21" t="inlineStr">
        <is>
          <t>Уфа</t>
        </is>
      </c>
      <c r="D108" s="22" t="n">
        <v>22459</v>
      </c>
    </row>
    <row r="109">
      <c r="A109" s="21" t="inlineStr">
        <is>
          <t>Покупка</t>
        </is>
      </c>
      <c r="B109" s="21" t="inlineStr">
        <is>
          <t>Квартиры</t>
        </is>
      </c>
      <c r="C109" s="21" t="inlineStr">
        <is>
          <t>Улан-Удэ</t>
        </is>
      </c>
      <c r="D109" s="22" t="n">
        <v>3652</v>
      </c>
    </row>
    <row r="110">
      <c r="A110" s="21" t="inlineStr">
        <is>
          <t>Покупка</t>
        </is>
      </c>
      <c r="B110" s="21" t="inlineStr">
        <is>
          <t>Квартиры</t>
        </is>
      </c>
      <c r="C110" s="21" t="inlineStr">
        <is>
          <t>Ульяновск</t>
        </is>
      </c>
      <c r="D110" s="22" t="n">
        <v>4826</v>
      </c>
    </row>
    <row r="111">
      <c r="A111" s="21" t="inlineStr">
        <is>
          <t>Покупка</t>
        </is>
      </c>
      <c r="B111" s="21" t="inlineStr">
        <is>
          <t>Квартиры</t>
        </is>
      </c>
      <c r="C111" s="21" t="inlineStr">
        <is>
          <t>Великий Новгород</t>
        </is>
      </c>
      <c r="D111" s="22" t="n">
        <v>1370</v>
      </c>
    </row>
    <row r="112">
      <c r="A112" s="21" t="inlineStr">
        <is>
          <t>Покупка</t>
        </is>
      </c>
      <c r="B112" s="21" t="inlineStr">
        <is>
          <t>Квартиры</t>
        </is>
      </c>
      <c r="C112" s="21" t="inlineStr">
        <is>
          <t>Владикавказ</t>
        </is>
      </c>
      <c r="D112" s="22" t="n">
        <v>1964</v>
      </c>
    </row>
    <row r="113">
      <c r="A113" s="21" t="inlineStr">
        <is>
          <t>Покупка</t>
        </is>
      </c>
      <c r="B113" s="21" t="inlineStr">
        <is>
          <t>Квартиры</t>
        </is>
      </c>
      <c r="C113" s="21" t="inlineStr">
        <is>
          <t>Владимир</t>
        </is>
      </c>
      <c r="D113" s="22" t="n">
        <v>3594</v>
      </c>
    </row>
    <row r="114">
      <c r="A114" s="21" t="inlineStr">
        <is>
          <t>Покупка</t>
        </is>
      </c>
      <c r="B114" s="21" t="inlineStr">
        <is>
          <t>Квартиры</t>
        </is>
      </c>
      <c r="C114" s="21" t="inlineStr">
        <is>
          <t>Владивосток</t>
        </is>
      </c>
      <c r="D114" s="22" t="n">
        <v>16089</v>
      </c>
    </row>
    <row r="115">
      <c r="A115" s="21" t="inlineStr">
        <is>
          <t>Покупка</t>
        </is>
      </c>
      <c r="B115" s="21" t="inlineStr">
        <is>
          <t>Квартиры</t>
        </is>
      </c>
      <c r="C115" s="21" t="inlineStr">
        <is>
          <t>Волгоград</t>
        </is>
      </c>
      <c r="D115" s="22" t="n">
        <v>8668</v>
      </c>
    </row>
    <row r="116">
      <c r="A116" s="21" t="inlineStr">
        <is>
          <t>Покупка</t>
        </is>
      </c>
      <c r="B116" s="21" t="inlineStr">
        <is>
          <t>Квартиры</t>
        </is>
      </c>
      <c r="C116" s="21" t="inlineStr">
        <is>
          <t>Вологда</t>
        </is>
      </c>
      <c r="D116" s="22" t="n">
        <v>3159</v>
      </c>
    </row>
    <row r="117">
      <c r="A117" s="21" t="inlineStr">
        <is>
          <t>Покупка</t>
        </is>
      </c>
      <c r="B117" s="21" t="inlineStr">
        <is>
          <t>Квартиры</t>
        </is>
      </c>
      <c r="C117" s="21" t="inlineStr">
        <is>
          <t>Волжский</t>
        </is>
      </c>
      <c r="D117" s="22" t="n">
        <v>905</v>
      </c>
    </row>
    <row r="118">
      <c r="A118" s="21" t="inlineStr">
        <is>
          <t>Покупка</t>
        </is>
      </c>
      <c r="B118" s="21" t="inlineStr">
        <is>
          <t>Квартиры</t>
        </is>
      </c>
      <c r="C118" s="21" t="inlineStr">
        <is>
          <t>Воронеж</t>
        </is>
      </c>
      <c r="D118" s="22" t="n">
        <v>13211</v>
      </c>
    </row>
    <row r="119">
      <c r="A119" s="21" t="inlineStr">
        <is>
          <t>Покупка</t>
        </is>
      </c>
      <c r="B119" s="21" t="inlineStr">
        <is>
          <t>Квартиры</t>
        </is>
      </c>
      <c r="C119" s="21" t="inlineStr">
        <is>
          <t>Хабаровск</t>
        </is>
      </c>
      <c r="D119" s="22" t="n">
        <v>8016</v>
      </c>
    </row>
    <row r="120">
      <c r="A120" s="21" t="inlineStr">
        <is>
          <t>Покупка</t>
        </is>
      </c>
      <c r="B120" s="21" t="inlineStr">
        <is>
          <t>Квартиры</t>
        </is>
      </c>
      <c r="C120" s="21" t="inlineStr">
        <is>
          <t>Ханты-Мансийск</t>
        </is>
      </c>
      <c r="D120" s="22" t="n">
        <v>852</v>
      </c>
    </row>
    <row r="121">
      <c r="A121" s="21" t="inlineStr">
        <is>
          <t>Покупка</t>
        </is>
      </c>
      <c r="B121" s="21" t="inlineStr">
        <is>
          <t>Квартиры</t>
        </is>
      </c>
      <c r="C121" s="21" t="inlineStr">
        <is>
          <t>Химки</t>
        </is>
      </c>
      <c r="D121" s="22" t="n">
        <v>3388</v>
      </c>
    </row>
    <row r="122">
      <c r="A122" s="21" t="inlineStr">
        <is>
          <t>Покупка</t>
        </is>
      </c>
      <c r="B122" s="21" t="inlineStr">
        <is>
          <t>Квартиры</t>
        </is>
      </c>
      <c r="C122" s="21" t="inlineStr">
        <is>
          <t>Якутск</t>
        </is>
      </c>
      <c r="D122" s="22" t="n">
        <v>4627</v>
      </c>
    </row>
    <row r="123">
      <c r="A123" s="21" t="inlineStr">
        <is>
          <t>Покупка</t>
        </is>
      </c>
      <c r="B123" s="21" t="inlineStr">
        <is>
          <t>Квартиры</t>
        </is>
      </c>
      <c r="C123" s="21" t="inlineStr">
        <is>
          <t>Ярославль</t>
        </is>
      </c>
      <c r="D123" s="22" t="n">
        <v>4778</v>
      </c>
    </row>
    <row r="124">
      <c r="A124" s="21" t="inlineStr">
        <is>
          <t>Покупка</t>
        </is>
      </c>
      <c r="B124" s="21" t="inlineStr">
        <is>
          <t>Квартиры</t>
        </is>
      </c>
      <c r="C124" s="21" t="inlineStr">
        <is>
          <t>Южно-Сахалинск</t>
        </is>
      </c>
      <c r="D124" s="22" t="n">
        <v>3222</v>
      </c>
    </row>
    <row r="125">
      <c r="A125" s="21" t="inlineStr">
        <is>
          <t>Покупка</t>
        </is>
      </c>
      <c r="B125" s="21" t="inlineStr">
        <is>
          <t>Квартиры</t>
        </is>
      </c>
      <c r="C125" s="21" t="inlineStr">
        <is>
          <t>Жуковский</t>
        </is>
      </c>
      <c r="D125" s="22" t="n">
        <v>610</v>
      </c>
    </row>
    <row r="126">
      <c r="A126" s="27" t="inlineStr">
        <is>
          <t>Покупка</t>
        </is>
      </c>
      <c r="B126" s="17" t="inlineStr">
        <is>
          <t>Квартиры вторичка</t>
        </is>
      </c>
      <c r="C126" s="28" t="inlineStr">
        <is>
          <t>Абакан</t>
        </is>
      </c>
      <c r="D126" s="19" t="n">
        <v>1907</v>
      </c>
    </row>
    <row r="127">
      <c r="A127" s="21" t="inlineStr">
        <is>
          <t>Покупка</t>
        </is>
      </c>
      <c r="B127" s="21" t="inlineStr">
        <is>
          <t>Квартиры вторичка</t>
        </is>
      </c>
      <c r="C127" s="21" t="inlineStr">
        <is>
          <t>Анадырь</t>
        </is>
      </c>
      <c r="D127" s="22" t="n">
        <v>43</v>
      </c>
    </row>
    <row r="128">
      <c r="A128" s="21" t="inlineStr">
        <is>
          <t>Покупка</t>
        </is>
      </c>
      <c r="B128" s="21" t="inlineStr">
        <is>
          <t>Квартиры вторичка</t>
        </is>
      </c>
      <c r="C128" s="21" t="inlineStr">
        <is>
          <t>Архангельск</t>
        </is>
      </c>
      <c r="D128" s="22" t="n">
        <v>1161</v>
      </c>
    </row>
    <row r="129">
      <c r="A129" s="21" t="inlineStr">
        <is>
          <t>Покупка</t>
        </is>
      </c>
      <c r="B129" s="21" t="inlineStr">
        <is>
          <t>Квартиры вторичка</t>
        </is>
      </c>
      <c r="C129" s="21" t="inlineStr">
        <is>
          <t>Астрахань</t>
        </is>
      </c>
      <c r="D129" s="22" t="n">
        <v>2444</v>
      </c>
    </row>
    <row r="130">
      <c r="A130" s="21" t="inlineStr">
        <is>
          <t>Покупка</t>
        </is>
      </c>
      <c r="B130" s="21" t="inlineStr">
        <is>
          <t>Квартиры вторичка</t>
        </is>
      </c>
      <c r="C130" s="21" t="inlineStr">
        <is>
          <t>Балашиха</t>
        </is>
      </c>
      <c r="D130" s="22" t="n">
        <v>1354</v>
      </c>
    </row>
    <row r="131">
      <c r="A131" s="21" t="inlineStr">
        <is>
          <t>Покупка</t>
        </is>
      </c>
      <c r="B131" s="21" t="inlineStr">
        <is>
          <t>Квартиры вторичка</t>
        </is>
      </c>
      <c r="C131" s="21" t="inlineStr">
        <is>
          <t>Барнаул</t>
        </is>
      </c>
      <c r="D131" s="22" t="n">
        <v>1519</v>
      </c>
    </row>
    <row r="132">
      <c r="A132" s="21" t="inlineStr">
        <is>
          <t>Покупка</t>
        </is>
      </c>
      <c r="B132" s="21" t="inlineStr">
        <is>
          <t>Квартиры вторичка</t>
        </is>
      </c>
      <c r="C132" s="21" t="inlineStr">
        <is>
          <t>Белгород</t>
        </is>
      </c>
      <c r="D132" s="22" t="n">
        <v>2648</v>
      </c>
    </row>
    <row r="133">
      <c r="A133" s="21" t="inlineStr">
        <is>
          <t>Покупка</t>
        </is>
      </c>
      <c r="B133" s="21" t="inlineStr">
        <is>
          <t>Квартиры вторичка</t>
        </is>
      </c>
      <c r="C133" s="21" t="inlineStr">
        <is>
          <t>Биробиджан</t>
        </is>
      </c>
      <c r="D133" s="22" t="n">
        <v>54</v>
      </c>
    </row>
    <row r="134">
      <c r="A134" s="21" t="inlineStr">
        <is>
          <t>Покупка</t>
        </is>
      </c>
      <c r="B134" s="21" t="inlineStr">
        <is>
          <t>Квартиры вторичка</t>
        </is>
      </c>
      <c r="C134" s="21" t="inlineStr">
        <is>
          <t>Благовещенск</t>
        </is>
      </c>
      <c r="D134" s="22" t="n">
        <v>871</v>
      </c>
    </row>
    <row r="135">
      <c r="A135" s="21" t="inlineStr">
        <is>
          <t>Покупка</t>
        </is>
      </c>
      <c r="B135" s="21" t="inlineStr">
        <is>
          <t>Квартиры вторичка</t>
        </is>
      </c>
      <c r="C135" s="21" t="inlineStr">
        <is>
          <t>Братск</t>
        </is>
      </c>
      <c r="D135" s="22" t="n">
        <v>688</v>
      </c>
    </row>
    <row r="136">
      <c r="A136" s="21" t="inlineStr">
        <is>
          <t>Покупка</t>
        </is>
      </c>
      <c r="B136" s="21" t="inlineStr">
        <is>
          <t>Квартиры вторичка</t>
        </is>
      </c>
      <c r="C136" s="21" t="inlineStr">
        <is>
          <t>Брянск</t>
        </is>
      </c>
      <c r="D136" s="22" t="n">
        <v>1713</v>
      </c>
    </row>
    <row r="137">
      <c r="A137" s="21" t="inlineStr">
        <is>
          <t>Покупка</t>
        </is>
      </c>
      <c r="B137" s="21" t="inlineStr">
        <is>
          <t>Квартиры вторичка</t>
        </is>
      </c>
      <c r="C137" s="21" t="inlineStr">
        <is>
          <t>Чебоксары</t>
        </is>
      </c>
      <c r="D137" s="22" t="n">
        <v>1420</v>
      </c>
    </row>
    <row r="138">
      <c r="A138" s="21" t="inlineStr">
        <is>
          <t>Покупка</t>
        </is>
      </c>
      <c r="B138" s="21" t="inlineStr">
        <is>
          <t>Квартиры вторичка</t>
        </is>
      </c>
      <c r="C138" s="21" t="inlineStr">
        <is>
          <t>Челябинск</t>
        </is>
      </c>
      <c r="D138" s="22" t="n">
        <v>3843</v>
      </c>
    </row>
    <row r="139">
      <c r="A139" s="21" t="inlineStr">
        <is>
          <t>Покупка</t>
        </is>
      </c>
      <c r="B139" s="21" t="inlineStr">
        <is>
          <t>Квартиры вторичка</t>
        </is>
      </c>
      <c r="C139" s="21" t="inlineStr">
        <is>
          <t>Череповец</t>
        </is>
      </c>
      <c r="D139" s="22" t="n">
        <v>570</v>
      </c>
    </row>
    <row r="140">
      <c r="A140" s="21" t="inlineStr">
        <is>
          <t>Покупка</t>
        </is>
      </c>
      <c r="B140" s="21" t="inlineStr">
        <is>
          <t>Квартиры вторичка</t>
        </is>
      </c>
      <c r="C140" s="21" t="inlineStr">
        <is>
          <t>Черкесск</t>
        </is>
      </c>
      <c r="D140" s="22" t="n">
        <v>408</v>
      </c>
    </row>
    <row r="141">
      <c r="A141" s="21" t="inlineStr">
        <is>
          <t>Покупка</t>
        </is>
      </c>
      <c r="B141" s="21" t="inlineStr">
        <is>
          <t>Квартиры вторичка</t>
        </is>
      </c>
      <c r="C141" s="21" t="inlineStr">
        <is>
          <t>Чита</t>
        </is>
      </c>
      <c r="D141" s="22" t="n">
        <v>1951</v>
      </c>
    </row>
    <row r="142">
      <c r="A142" s="21" t="inlineStr">
        <is>
          <t>Покупка</t>
        </is>
      </c>
      <c r="B142" s="21" t="inlineStr">
        <is>
          <t>Квартиры вторичка</t>
        </is>
      </c>
      <c r="C142" s="21" t="inlineStr">
        <is>
          <t>Долгопрудный</t>
        </is>
      </c>
      <c r="D142" s="22" t="n">
        <v>207</v>
      </c>
    </row>
    <row r="143">
      <c r="A143" s="21" t="inlineStr">
        <is>
          <t>Покупка</t>
        </is>
      </c>
      <c r="B143" s="21" t="inlineStr">
        <is>
          <t>Квартиры вторичка</t>
        </is>
      </c>
      <c r="C143" s="21" t="inlineStr">
        <is>
          <t>Домодедово</t>
        </is>
      </c>
      <c r="D143" s="22" t="n">
        <v>421</v>
      </c>
    </row>
    <row r="144">
      <c r="A144" s="21" t="inlineStr">
        <is>
          <t>Покупка</t>
        </is>
      </c>
      <c r="B144" s="21" t="inlineStr">
        <is>
          <t>Квартиры вторичка</t>
        </is>
      </c>
      <c r="C144" s="21" t="inlineStr">
        <is>
          <t>Дзержинск</t>
        </is>
      </c>
      <c r="D144" s="22" t="n">
        <v>413</v>
      </c>
    </row>
    <row r="145">
      <c r="A145" s="21" t="inlineStr">
        <is>
          <t>Покупка</t>
        </is>
      </c>
      <c r="B145" s="21" t="inlineStr">
        <is>
          <t>Квартиры вторичка</t>
        </is>
      </c>
      <c r="C145" s="21" t="inlineStr">
        <is>
          <t>Екатеринбург</t>
        </is>
      </c>
      <c r="D145" s="22" t="n">
        <v>6495</v>
      </c>
    </row>
    <row r="146">
      <c r="A146" s="21" t="inlineStr">
        <is>
          <t>Покупка</t>
        </is>
      </c>
      <c r="B146" s="21" t="inlineStr">
        <is>
          <t>Квартиры вторичка</t>
        </is>
      </c>
      <c r="C146" s="21" t="inlineStr">
        <is>
          <t>Электросталь</t>
        </is>
      </c>
      <c r="D146" s="22" t="n">
        <v>285</v>
      </c>
    </row>
    <row r="147">
      <c r="A147" s="21" t="inlineStr">
        <is>
          <t>Покупка</t>
        </is>
      </c>
      <c r="B147" s="21" t="inlineStr">
        <is>
          <t>Квартиры вторичка</t>
        </is>
      </c>
      <c r="C147" s="21" t="inlineStr">
        <is>
          <t>Элиста</t>
        </is>
      </c>
      <c r="D147" s="22" t="n">
        <v>308</v>
      </c>
    </row>
    <row r="148">
      <c r="A148" s="21" t="inlineStr">
        <is>
          <t>Покупка</t>
        </is>
      </c>
      <c r="B148" s="21" t="inlineStr">
        <is>
          <t>Квартиры вторичка</t>
        </is>
      </c>
      <c r="C148" s="21" t="inlineStr">
        <is>
          <t>Энгельс</t>
        </is>
      </c>
      <c r="D148" s="22" t="n">
        <v>1390</v>
      </c>
    </row>
    <row r="149">
      <c r="A149" s="21" t="inlineStr">
        <is>
          <t>Покупка</t>
        </is>
      </c>
      <c r="B149" s="21" t="inlineStr">
        <is>
          <t>Квартиры вторичка</t>
        </is>
      </c>
      <c r="C149" s="21" t="inlineStr">
        <is>
          <t>Горно-Алтайск</t>
        </is>
      </c>
      <c r="D149" s="22" t="n">
        <v>400</v>
      </c>
    </row>
    <row r="150">
      <c r="A150" s="21" t="inlineStr">
        <is>
          <t>Покупка</t>
        </is>
      </c>
      <c r="B150" s="21" t="inlineStr">
        <is>
          <t>Квартиры вторичка</t>
        </is>
      </c>
      <c r="C150" s="21" t="inlineStr">
        <is>
          <t>Грозный</t>
        </is>
      </c>
      <c r="D150" s="22" t="n">
        <v>160</v>
      </c>
    </row>
    <row r="151">
      <c r="A151" s="21" t="inlineStr">
        <is>
          <t>Покупка</t>
        </is>
      </c>
      <c r="B151" s="21" t="inlineStr">
        <is>
          <t>Квартиры вторичка</t>
        </is>
      </c>
      <c r="C151" s="21" t="inlineStr">
        <is>
          <t>Иркутск</t>
        </is>
      </c>
      <c r="D151" s="22" t="n">
        <v>2248</v>
      </c>
    </row>
    <row r="152">
      <c r="A152" s="21" t="inlineStr">
        <is>
          <t>Покупка</t>
        </is>
      </c>
      <c r="B152" s="21" t="inlineStr">
        <is>
          <t>Квартиры вторичка</t>
        </is>
      </c>
      <c r="C152" s="21" t="inlineStr">
        <is>
          <t>Иваново</t>
        </is>
      </c>
      <c r="D152" s="22" t="n">
        <v>1345</v>
      </c>
    </row>
    <row r="153">
      <c r="A153" s="21" t="inlineStr">
        <is>
          <t>Покупка</t>
        </is>
      </c>
      <c r="B153" s="21" t="inlineStr">
        <is>
          <t>Квартиры вторичка</t>
        </is>
      </c>
      <c r="C153" s="21" t="inlineStr">
        <is>
          <t>Ижевск</t>
        </is>
      </c>
      <c r="D153" s="22" t="n">
        <v>1475</v>
      </c>
    </row>
    <row r="154">
      <c r="A154" s="21" t="inlineStr">
        <is>
          <t>Покупка</t>
        </is>
      </c>
      <c r="B154" s="21" t="inlineStr">
        <is>
          <t>Квартиры вторичка</t>
        </is>
      </c>
      <c r="C154" s="21" t="inlineStr">
        <is>
          <t>Йошкар-Ола</t>
        </is>
      </c>
      <c r="D154" s="22" t="n">
        <v>601</v>
      </c>
    </row>
    <row r="155">
      <c r="A155" s="21" t="inlineStr">
        <is>
          <t>Покупка</t>
        </is>
      </c>
      <c r="B155" s="21" t="inlineStr">
        <is>
          <t>Квартиры вторичка</t>
        </is>
      </c>
      <c r="C155" s="21" t="inlineStr">
        <is>
          <t>Калининград</t>
        </is>
      </c>
      <c r="D155" s="22" t="n">
        <v>2908</v>
      </c>
    </row>
    <row r="156">
      <c r="A156" s="21" t="inlineStr">
        <is>
          <t>Покупка</t>
        </is>
      </c>
      <c r="B156" s="21" t="inlineStr">
        <is>
          <t>Квартиры вторичка</t>
        </is>
      </c>
      <c r="C156" s="21" t="inlineStr">
        <is>
          <t>Калуга</t>
        </is>
      </c>
      <c r="D156" s="22" t="n">
        <v>2615</v>
      </c>
    </row>
    <row r="157">
      <c r="A157" s="21" t="inlineStr">
        <is>
          <t>Покупка</t>
        </is>
      </c>
      <c r="B157" s="21" t="inlineStr">
        <is>
          <t>Квартиры вторичка</t>
        </is>
      </c>
      <c r="C157" s="21" t="inlineStr">
        <is>
          <t>Казань</t>
        </is>
      </c>
      <c r="D157" s="22" t="n">
        <v>3515</v>
      </c>
    </row>
    <row r="158">
      <c r="A158" s="21" t="inlineStr">
        <is>
          <t>Покупка</t>
        </is>
      </c>
      <c r="B158" s="21" t="inlineStr">
        <is>
          <t>Квартиры вторичка</t>
        </is>
      </c>
      <c r="C158" s="21" t="inlineStr">
        <is>
          <t>Кемерово</t>
        </is>
      </c>
      <c r="D158" s="22" t="n">
        <v>3915</v>
      </c>
    </row>
    <row r="159">
      <c r="A159" s="21" t="inlineStr">
        <is>
          <t>Покупка</t>
        </is>
      </c>
      <c r="B159" s="21" t="inlineStr">
        <is>
          <t>Квартиры вторичка</t>
        </is>
      </c>
      <c r="C159" s="21" t="inlineStr">
        <is>
          <t>Киров</t>
        </is>
      </c>
      <c r="D159" s="22" t="n">
        <v>1369</v>
      </c>
    </row>
    <row r="160">
      <c r="A160" s="21" t="inlineStr">
        <is>
          <t>Покупка</t>
        </is>
      </c>
      <c r="B160" s="21" t="inlineStr">
        <is>
          <t>Квартиры вторичка</t>
        </is>
      </c>
      <c r="C160" s="21" t="inlineStr">
        <is>
          <t>Коломна</t>
        </is>
      </c>
      <c r="D160" s="22" t="n">
        <v>249</v>
      </c>
    </row>
    <row r="161">
      <c r="A161" s="21" t="inlineStr">
        <is>
          <t>Покупка</t>
        </is>
      </c>
      <c r="B161" s="21" t="inlineStr">
        <is>
          <t>Квартиры вторичка</t>
        </is>
      </c>
      <c r="C161" s="21" t="inlineStr">
        <is>
          <t>Комсомольск-на-Амуре</t>
        </is>
      </c>
      <c r="D161" s="22" t="n">
        <v>668</v>
      </c>
    </row>
    <row r="162">
      <c r="A162" s="21" t="inlineStr">
        <is>
          <t>Покупка</t>
        </is>
      </c>
      <c r="B162" s="21" t="inlineStr">
        <is>
          <t>Квартиры вторичка</t>
        </is>
      </c>
      <c r="C162" s="21" t="inlineStr">
        <is>
          <t>Королёв</t>
        </is>
      </c>
      <c r="D162" s="22" t="n">
        <v>448</v>
      </c>
    </row>
    <row r="163">
      <c r="A163" s="21" t="inlineStr">
        <is>
          <t>Покупка</t>
        </is>
      </c>
      <c r="B163" s="21" t="inlineStr">
        <is>
          <t>Квартиры вторичка</t>
        </is>
      </c>
      <c r="C163" s="21" t="inlineStr">
        <is>
          <t>Кострома</t>
        </is>
      </c>
      <c r="D163" s="22" t="n">
        <v>1060</v>
      </c>
    </row>
    <row r="164">
      <c r="A164" s="21" t="inlineStr">
        <is>
          <t>Покупка</t>
        </is>
      </c>
      <c r="B164" s="21" t="inlineStr">
        <is>
          <t>Квартиры вторичка</t>
        </is>
      </c>
      <c r="C164" s="21" t="inlineStr">
        <is>
          <t>Краснодар</t>
        </is>
      </c>
      <c r="D164" s="22" t="n">
        <v>13963</v>
      </c>
    </row>
    <row r="165">
      <c r="A165" s="21" t="inlineStr">
        <is>
          <t>Покупка</t>
        </is>
      </c>
      <c r="B165" s="21" t="inlineStr">
        <is>
          <t>Квартиры вторичка</t>
        </is>
      </c>
      <c r="C165" s="21" t="inlineStr">
        <is>
          <t>Красногорск</t>
        </is>
      </c>
      <c r="D165" s="22" t="n">
        <v>586</v>
      </c>
    </row>
    <row r="166">
      <c r="A166" s="21" t="inlineStr">
        <is>
          <t>Покупка</t>
        </is>
      </c>
      <c r="B166" s="21" t="inlineStr">
        <is>
          <t>Квартиры вторичка</t>
        </is>
      </c>
      <c r="C166" s="21" t="inlineStr">
        <is>
          <t>Красноярск</t>
        </is>
      </c>
      <c r="D166" s="22" t="n">
        <v>5001</v>
      </c>
    </row>
    <row r="167">
      <c r="A167" s="21" t="inlineStr">
        <is>
          <t>Покупка</t>
        </is>
      </c>
      <c r="B167" s="21" t="inlineStr">
        <is>
          <t>Квартиры вторичка</t>
        </is>
      </c>
      <c r="C167" s="21" t="inlineStr">
        <is>
          <t>Курган</t>
        </is>
      </c>
      <c r="D167" s="22" t="n">
        <v>1085</v>
      </c>
    </row>
    <row r="168">
      <c r="A168" s="21" t="inlineStr">
        <is>
          <t>Покупка</t>
        </is>
      </c>
      <c r="B168" s="21" t="inlineStr">
        <is>
          <t>Квартиры вторичка</t>
        </is>
      </c>
      <c r="C168" s="21" t="inlineStr">
        <is>
          <t>Курск</t>
        </is>
      </c>
      <c r="D168" s="22" t="n">
        <v>2688</v>
      </c>
    </row>
    <row r="169">
      <c r="A169" s="21" t="inlineStr">
        <is>
          <t>Покупка</t>
        </is>
      </c>
      <c r="B169" s="21" t="inlineStr">
        <is>
          <t>Квартиры вторичка</t>
        </is>
      </c>
      <c r="C169" s="21" t="inlineStr">
        <is>
          <t>Кызыл</t>
        </is>
      </c>
      <c r="D169" s="22" t="n">
        <v>996</v>
      </c>
    </row>
    <row r="170">
      <c r="A170" s="21" t="inlineStr">
        <is>
          <t>Покупка</t>
        </is>
      </c>
      <c r="B170" s="21" t="inlineStr">
        <is>
          <t>Квартиры вторичка</t>
        </is>
      </c>
      <c r="C170" s="21" t="inlineStr">
        <is>
          <t>Липецк</t>
        </is>
      </c>
      <c r="D170" s="22" t="n">
        <v>2156</v>
      </c>
    </row>
    <row r="171">
      <c r="A171" s="21" t="inlineStr">
        <is>
          <t>Покупка</t>
        </is>
      </c>
      <c r="B171" s="21" t="inlineStr">
        <is>
          <t>Квартиры вторичка</t>
        </is>
      </c>
      <c r="C171" s="21" t="inlineStr">
        <is>
          <t>Люберцы</t>
        </is>
      </c>
      <c r="D171" s="22" t="n">
        <v>673</v>
      </c>
    </row>
    <row r="172">
      <c r="A172" s="21" t="inlineStr">
        <is>
          <t>Покупка</t>
        </is>
      </c>
      <c r="B172" s="21" t="inlineStr">
        <is>
          <t>Квартиры вторичка</t>
        </is>
      </c>
      <c r="C172" s="21" t="inlineStr">
        <is>
          <t>Магадан</t>
        </is>
      </c>
      <c r="D172" s="22" t="n">
        <v>393</v>
      </c>
    </row>
    <row r="173">
      <c r="A173" s="21" t="inlineStr">
        <is>
          <t>Покупка</t>
        </is>
      </c>
      <c r="B173" s="21" t="inlineStr">
        <is>
          <t>Квартиры вторичка</t>
        </is>
      </c>
      <c r="C173" s="21" t="inlineStr">
        <is>
          <t>Магнитогорск</t>
        </is>
      </c>
      <c r="D173" s="22" t="n">
        <v>475</v>
      </c>
    </row>
    <row r="174">
      <c r="A174" s="21" t="inlineStr">
        <is>
          <t>Покупка</t>
        </is>
      </c>
      <c r="B174" s="21" t="inlineStr">
        <is>
          <t>Квартиры вторичка</t>
        </is>
      </c>
      <c r="C174" s="21" t="inlineStr">
        <is>
          <t>Майкоп</t>
        </is>
      </c>
      <c r="D174" s="22" t="n">
        <v>513</v>
      </c>
    </row>
    <row r="175">
      <c r="A175" s="21" t="inlineStr">
        <is>
          <t>Покупка</t>
        </is>
      </c>
      <c r="B175" s="21" t="inlineStr">
        <is>
          <t>Квартиры вторичка</t>
        </is>
      </c>
      <c r="C175" s="21" t="inlineStr">
        <is>
          <t>Махачкала</t>
        </is>
      </c>
      <c r="D175" s="22" t="n">
        <v>1311</v>
      </c>
    </row>
    <row r="176">
      <c r="A176" s="21" t="inlineStr">
        <is>
          <t>Покупка</t>
        </is>
      </c>
      <c r="B176" s="21" t="inlineStr">
        <is>
          <t>Квартиры вторичка</t>
        </is>
      </c>
      <c r="C176" s="21" t="inlineStr">
        <is>
          <t>Москва</t>
        </is>
      </c>
      <c r="D176" s="22" t="n">
        <v>20267</v>
      </c>
    </row>
    <row r="177">
      <c r="A177" s="21" t="inlineStr">
        <is>
          <t>Покупка</t>
        </is>
      </c>
      <c r="B177" s="21" t="inlineStr">
        <is>
          <t>Квартиры вторичка</t>
        </is>
      </c>
      <c r="C177" s="21" t="inlineStr">
        <is>
          <t>Мурманск</t>
        </is>
      </c>
      <c r="D177" s="22" t="n">
        <v>891</v>
      </c>
    </row>
    <row r="178">
      <c r="A178" s="21" t="inlineStr">
        <is>
          <t>Покупка</t>
        </is>
      </c>
      <c r="B178" s="21" t="inlineStr">
        <is>
          <t>Квартиры вторичка</t>
        </is>
      </c>
      <c r="C178" s="21" t="inlineStr">
        <is>
          <t>Мытищи</t>
        </is>
      </c>
      <c r="D178" s="22" t="n">
        <v>667</v>
      </c>
    </row>
    <row r="179">
      <c r="A179" s="21" t="inlineStr">
        <is>
          <t>Покупка</t>
        </is>
      </c>
      <c r="B179" s="21" t="inlineStr">
        <is>
          <t>Квартиры вторичка</t>
        </is>
      </c>
      <c r="C179" s="21" t="inlineStr">
        <is>
          <t>Набережные Челны</t>
        </is>
      </c>
      <c r="D179" s="22" t="n">
        <v>1085</v>
      </c>
    </row>
    <row r="180">
      <c r="A180" s="21" t="inlineStr">
        <is>
          <t>Покупка</t>
        </is>
      </c>
      <c r="B180" s="21" t="inlineStr">
        <is>
          <t>Квартиры вторичка</t>
        </is>
      </c>
      <c r="C180" s="21" t="inlineStr">
        <is>
          <t>Нальчик</t>
        </is>
      </c>
      <c r="D180" s="22" t="n">
        <v>161</v>
      </c>
    </row>
    <row r="181">
      <c r="A181" s="21" t="inlineStr">
        <is>
          <t>Покупка</t>
        </is>
      </c>
      <c r="B181" s="21" t="inlineStr">
        <is>
          <t>Квартиры вторичка</t>
        </is>
      </c>
      <c r="C181" s="21" t="inlineStr">
        <is>
          <t>Нарьян-Мар</t>
        </is>
      </c>
      <c r="D181" s="22" t="n">
        <v>22</v>
      </c>
    </row>
    <row r="182">
      <c r="A182" s="21" t="inlineStr">
        <is>
          <t>Покупка</t>
        </is>
      </c>
      <c r="B182" s="21" t="inlineStr">
        <is>
          <t>Квартиры вторичка</t>
        </is>
      </c>
      <c r="C182" s="21" t="inlineStr">
        <is>
          <t>Нефтеюганск</t>
        </is>
      </c>
      <c r="D182" s="22" t="n">
        <v>1096</v>
      </c>
    </row>
    <row r="183">
      <c r="A183" s="21" t="inlineStr">
        <is>
          <t>Покупка</t>
        </is>
      </c>
      <c r="B183" s="21" t="inlineStr">
        <is>
          <t>Квартиры вторичка</t>
        </is>
      </c>
      <c r="C183" s="21" t="inlineStr">
        <is>
          <t>Нижневартовск</t>
        </is>
      </c>
      <c r="D183" s="22" t="n">
        <v>1705</v>
      </c>
    </row>
    <row r="184">
      <c r="A184" s="21" t="inlineStr">
        <is>
          <t>Покупка</t>
        </is>
      </c>
      <c r="B184" s="21" t="inlineStr">
        <is>
          <t>Квартиры вторичка</t>
        </is>
      </c>
      <c r="C184" s="21" t="inlineStr">
        <is>
          <t>Нижний Тагил</t>
        </is>
      </c>
      <c r="D184" s="22" t="n">
        <v>1641</v>
      </c>
    </row>
    <row r="185">
      <c r="A185" s="21" t="inlineStr">
        <is>
          <t>Покупка</t>
        </is>
      </c>
      <c r="B185" s="21" t="inlineStr">
        <is>
          <t>Квартиры вторичка</t>
        </is>
      </c>
      <c r="C185" s="21" t="inlineStr">
        <is>
          <t>Нижний Новгород</t>
        </is>
      </c>
      <c r="D185" s="22" t="n">
        <v>3731</v>
      </c>
    </row>
    <row r="186">
      <c r="A186" s="21" t="inlineStr">
        <is>
          <t>Покупка</t>
        </is>
      </c>
      <c r="B186" s="21" t="inlineStr">
        <is>
          <t>Квартиры вторичка</t>
        </is>
      </c>
      <c r="C186" s="21" t="inlineStr">
        <is>
          <t>Ногинск</t>
        </is>
      </c>
      <c r="D186" s="22" t="n">
        <v>260</v>
      </c>
    </row>
    <row r="187">
      <c r="A187" s="21" t="inlineStr">
        <is>
          <t>Покупка</t>
        </is>
      </c>
      <c r="B187" s="21" t="inlineStr">
        <is>
          <t>Квартиры вторичка</t>
        </is>
      </c>
      <c r="C187" s="21" t="inlineStr">
        <is>
          <t>Норильск</t>
        </is>
      </c>
      <c r="D187" s="22" t="n">
        <v>2048</v>
      </c>
    </row>
    <row r="188">
      <c r="A188" s="21" t="inlineStr">
        <is>
          <t>Покупка</t>
        </is>
      </c>
      <c r="B188" s="21" t="inlineStr">
        <is>
          <t>Квартиры вторичка</t>
        </is>
      </c>
      <c r="C188" s="21" t="inlineStr">
        <is>
          <t>Новокузнецк</t>
        </is>
      </c>
      <c r="D188" s="22" t="n">
        <v>2125</v>
      </c>
    </row>
    <row r="189">
      <c r="A189" s="21" t="inlineStr">
        <is>
          <t>Покупка</t>
        </is>
      </c>
      <c r="B189" s="21" t="inlineStr">
        <is>
          <t>Квартиры вторичка</t>
        </is>
      </c>
      <c r="C189" s="21" t="inlineStr">
        <is>
          <t>Новороссийск</t>
        </is>
      </c>
      <c r="D189" s="22" t="n">
        <v>1925</v>
      </c>
    </row>
    <row r="190">
      <c r="A190" s="21" t="inlineStr">
        <is>
          <t>Покупка</t>
        </is>
      </c>
      <c r="B190" s="21" t="inlineStr">
        <is>
          <t>Квартиры вторичка</t>
        </is>
      </c>
      <c r="C190" s="21" t="inlineStr">
        <is>
          <t>Новосибирск</t>
        </is>
      </c>
      <c r="D190" s="22" t="n">
        <v>7951</v>
      </c>
    </row>
    <row r="191">
      <c r="A191" s="21" t="inlineStr">
        <is>
          <t>Покупка</t>
        </is>
      </c>
      <c r="B191" s="21" t="inlineStr">
        <is>
          <t>Квартиры вторичка</t>
        </is>
      </c>
      <c r="C191" s="21" t="inlineStr">
        <is>
          <t>Новый Уренгой</t>
        </is>
      </c>
      <c r="D191" s="22" t="n">
        <v>728</v>
      </c>
    </row>
    <row r="192">
      <c r="A192" s="21" t="inlineStr">
        <is>
          <t>Покупка</t>
        </is>
      </c>
      <c r="B192" s="21" t="inlineStr">
        <is>
          <t>Квартиры вторичка</t>
        </is>
      </c>
      <c r="C192" s="21" t="inlineStr">
        <is>
          <t>Обнинск</t>
        </is>
      </c>
      <c r="D192" s="22" t="n">
        <v>530</v>
      </c>
    </row>
    <row r="193">
      <c r="A193" s="21" t="inlineStr">
        <is>
          <t>Покупка</t>
        </is>
      </c>
      <c r="B193" s="21" t="inlineStr">
        <is>
          <t>Квартиры вторичка</t>
        </is>
      </c>
      <c r="C193" s="21" t="inlineStr">
        <is>
          <t>Одинцово</t>
        </is>
      </c>
      <c r="D193" s="22" t="n">
        <v>489</v>
      </c>
    </row>
    <row r="194">
      <c r="A194" s="21" t="inlineStr">
        <is>
          <t>Покупка</t>
        </is>
      </c>
      <c r="B194" s="21" t="inlineStr">
        <is>
          <t>Квартиры вторичка</t>
        </is>
      </c>
      <c r="C194" s="21" t="inlineStr">
        <is>
          <t>Омск</t>
        </is>
      </c>
      <c r="D194" s="22" t="n">
        <v>5418</v>
      </c>
    </row>
    <row r="195">
      <c r="A195" s="21" t="inlineStr">
        <is>
          <t>Покупка</t>
        </is>
      </c>
      <c r="B195" s="21" t="inlineStr">
        <is>
          <t>Квартиры вторичка</t>
        </is>
      </c>
      <c r="C195" s="21" t="inlineStr">
        <is>
          <t>Оренбург</t>
        </is>
      </c>
      <c r="D195" s="22" t="n">
        <v>2019</v>
      </c>
    </row>
    <row r="196">
      <c r="A196" s="21" t="inlineStr">
        <is>
          <t>Покупка</t>
        </is>
      </c>
      <c r="B196" s="21" t="inlineStr">
        <is>
          <t>Квартиры вторичка</t>
        </is>
      </c>
      <c r="C196" s="21" t="inlineStr">
        <is>
          <t>Орехово-Зуево</t>
        </is>
      </c>
      <c r="D196" s="22" t="n">
        <v>179</v>
      </c>
    </row>
    <row r="197">
      <c r="A197" s="21" t="inlineStr">
        <is>
          <t>Покупка</t>
        </is>
      </c>
      <c r="B197" s="21" t="inlineStr">
        <is>
          <t>Квартиры вторичка</t>
        </is>
      </c>
      <c r="C197" s="21" t="inlineStr">
        <is>
          <t>Орёл</t>
        </is>
      </c>
      <c r="D197" s="22" t="n">
        <v>933</v>
      </c>
    </row>
    <row r="198">
      <c r="A198" s="21" t="inlineStr">
        <is>
          <t>Покупка</t>
        </is>
      </c>
      <c r="B198" s="21" t="inlineStr">
        <is>
          <t>Квартиры вторичка</t>
        </is>
      </c>
      <c r="C198" s="21" t="inlineStr">
        <is>
          <t>Пенза</t>
        </is>
      </c>
      <c r="D198" s="22" t="n">
        <v>1948</v>
      </c>
    </row>
    <row r="199">
      <c r="A199" s="21" t="inlineStr">
        <is>
          <t>Покупка</t>
        </is>
      </c>
      <c r="B199" s="21" t="inlineStr">
        <is>
          <t>Квартиры вторичка</t>
        </is>
      </c>
      <c r="C199" s="21" t="inlineStr">
        <is>
          <t>Пермь</t>
        </is>
      </c>
      <c r="D199" s="22" t="n">
        <v>2070</v>
      </c>
    </row>
    <row r="200">
      <c r="A200" s="21" t="inlineStr">
        <is>
          <t>Покупка</t>
        </is>
      </c>
      <c r="B200" s="21" t="inlineStr">
        <is>
          <t>Квартиры вторичка</t>
        </is>
      </c>
      <c r="C200" s="21" t="inlineStr">
        <is>
          <t>Петропавловск-Камчатский</t>
        </is>
      </c>
      <c r="D200" s="22" t="n">
        <v>623</v>
      </c>
    </row>
    <row r="201">
      <c r="A201" s="21" t="inlineStr">
        <is>
          <t>Покупка</t>
        </is>
      </c>
      <c r="B201" s="21" t="inlineStr">
        <is>
          <t>Квартиры вторичка</t>
        </is>
      </c>
      <c r="C201" s="21" t="inlineStr">
        <is>
          <t>Петрозаводск</t>
        </is>
      </c>
      <c r="D201" s="22" t="n">
        <v>548</v>
      </c>
    </row>
    <row r="202">
      <c r="A202" s="21" t="inlineStr">
        <is>
          <t>Покупка</t>
        </is>
      </c>
      <c r="B202" s="21" t="inlineStr">
        <is>
          <t>Квартиры вторичка</t>
        </is>
      </c>
      <c r="C202" s="21" t="inlineStr">
        <is>
          <t>Подольск</t>
        </is>
      </c>
      <c r="D202" s="22" t="n">
        <v>559</v>
      </c>
    </row>
    <row r="203">
      <c r="A203" s="21" t="inlineStr">
        <is>
          <t>Покупка</t>
        </is>
      </c>
      <c r="B203" s="21" t="inlineStr">
        <is>
          <t>Квартиры вторичка</t>
        </is>
      </c>
      <c r="C203" s="21" t="inlineStr">
        <is>
          <t>Прокопьевск</t>
        </is>
      </c>
      <c r="D203" s="22" t="n">
        <v>1038</v>
      </c>
    </row>
    <row r="204">
      <c r="A204" s="21" t="inlineStr">
        <is>
          <t>Покупка</t>
        </is>
      </c>
      <c r="B204" s="21" t="inlineStr">
        <is>
          <t>Квартиры вторичка</t>
        </is>
      </c>
      <c r="C204" s="21" t="inlineStr">
        <is>
          <t>Псков</t>
        </is>
      </c>
      <c r="D204" s="22" t="n">
        <v>363</v>
      </c>
    </row>
    <row r="205">
      <c r="A205" s="21" t="inlineStr">
        <is>
          <t>Покупка</t>
        </is>
      </c>
      <c r="B205" s="21" t="inlineStr">
        <is>
          <t>Квартиры вторичка</t>
        </is>
      </c>
      <c r="C205" s="21" t="inlineStr">
        <is>
          <t>Пушкино</t>
        </is>
      </c>
      <c r="D205" s="22" t="n">
        <v>302</v>
      </c>
    </row>
    <row r="206">
      <c r="A206" s="21" t="inlineStr">
        <is>
          <t>Покупка</t>
        </is>
      </c>
      <c r="B206" s="21" t="inlineStr">
        <is>
          <t>Квартиры вторичка</t>
        </is>
      </c>
      <c r="C206" s="21" t="inlineStr">
        <is>
          <t>Раменское</t>
        </is>
      </c>
      <c r="D206" s="22" t="n">
        <v>252</v>
      </c>
    </row>
    <row r="207">
      <c r="A207" s="21" t="inlineStr">
        <is>
          <t>Покупка</t>
        </is>
      </c>
      <c r="B207" s="21" t="inlineStr">
        <is>
          <t>Квартиры вторичка</t>
        </is>
      </c>
      <c r="C207" s="21" t="inlineStr">
        <is>
          <t>Реутов</t>
        </is>
      </c>
      <c r="D207" s="22" t="n">
        <v>192</v>
      </c>
    </row>
    <row r="208">
      <c r="A208" s="21" t="inlineStr">
        <is>
          <t>Покупка</t>
        </is>
      </c>
      <c r="B208" s="21" t="inlineStr">
        <is>
          <t>Квартиры вторичка</t>
        </is>
      </c>
      <c r="C208" s="21" t="inlineStr">
        <is>
          <t>Ростов-на-Дону</t>
        </is>
      </c>
      <c r="D208" s="22" t="n">
        <v>9052</v>
      </c>
    </row>
    <row r="209">
      <c r="A209" s="21" t="inlineStr">
        <is>
          <t>Покупка</t>
        </is>
      </c>
      <c r="B209" s="21" t="inlineStr">
        <is>
          <t>Квартиры вторичка</t>
        </is>
      </c>
      <c r="C209" s="21" t="inlineStr">
        <is>
          <t>Рязань</t>
        </is>
      </c>
      <c r="D209" s="22" t="n">
        <v>1732</v>
      </c>
    </row>
    <row r="210">
      <c r="A210" s="21" t="inlineStr">
        <is>
          <t>Покупка</t>
        </is>
      </c>
      <c r="B210" s="21" t="inlineStr">
        <is>
          <t>Квартиры вторичка</t>
        </is>
      </c>
      <c r="C210" s="21" t="inlineStr">
        <is>
          <t>Салехард</t>
        </is>
      </c>
      <c r="D210" s="22" t="n">
        <v>216</v>
      </c>
    </row>
    <row r="211">
      <c r="A211" s="21" t="inlineStr">
        <is>
          <t>Покупка</t>
        </is>
      </c>
      <c r="B211" s="21" t="inlineStr">
        <is>
          <t>Квартиры вторичка</t>
        </is>
      </c>
      <c r="C211" s="21" t="inlineStr">
        <is>
          <t>Самара</t>
        </is>
      </c>
      <c r="D211" s="22" t="n">
        <v>3379</v>
      </c>
    </row>
    <row r="212">
      <c r="A212" s="21" t="inlineStr">
        <is>
          <t>Покупка</t>
        </is>
      </c>
      <c r="B212" s="21" t="inlineStr">
        <is>
          <t>Квартиры вторичка</t>
        </is>
      </c>
      <c r="C212" s="21" t="inlineStr">
        <is>
          <t>Саранск</t>
        </is>
      </c>
      <c r="D212" s="22" t="n">
        <v>1164</v>
      </c>
    </row>
    <row r="213">
      <c r="A213" s="21" t="inlineStr">
        <is>
          <t>Покупка</t>
        </is>
      </c>
      <c r="B213" s="21" t="inlineStr">
        <is>
          <t>Квартиры вторичка</t>
        </is>
      </c>
      <c r="C213" s="21" t="inlineStr">
        <is>
          <t>Саратов</t>
        </is>
      </c>
      <c r="D213" s="22" t="n">
        <v>2570</v>
      </c>
    </row>
    <row r="214">
      <c r="A214" s="21" t="inlineStr">
        <is>
          <t>Покупка</t>
        </is>
      </c>
      <c r="B214" s="21" t="inlineStr">
        <is>
          <t>Квартиры вторичка</t>
        </is>
      </c>
      <c r="C214" s="21" t="inlineStr">
        <is>
          <t>Сергиев Посад</t>
        </is>
      </c>
      <c r="D214" s="22" t="n">
        <v>261</v>
      </c>
    </row>
    <row r="215">
      <c r="A215" s="21" t="inlineStr">
        <is>
          <t>Покупка</t>
        </is>
      </c>
      <c r="B215" s="21" t="inlineStr">
        <is>
          <t>Квартиры вторичка</t>
        </is>
      </c>
      <c r="C215" s="21" t="inlineStr">
        <is>
          <t>Серпухов</t>
        </is>
      </c>
      <c r="D215" s="22" t="n">
        <v>187</v>
      </c>
    </row>
    <row r="216">
      <c r="A216" s="21" t="inlineStr">
        <is>
          <t>Покупка</t>
        </is>
      </c>
      <c r="B216" s="21" t="inlineStr">
        <is>
          <t>Квартиры вторичка</t>
        </is>
      </c>
      <c r="C216" s="21" t="inlineStr">
        <is>
          <t>Севастополь</t>
        </is>
      </c>
      <c r="D216" s="22" t="n">
        <v>3263</v>
      </c>
    </row>
    <row r="217">
      <c r="A217" s="21" t="inlineStr">
        <is>
          <t>Покупка</t>
        </is>
      </c>
      <c r="B217" s="21" t="inlineStr">
        <is>
          <t>Квартиры вторичка</t>
        </is>
      </c>
      <c r="C217" s="21" t="inlineStr">
        <is>
          <t>Северодвинск</t>
        </is>
      </c>
      <c r="D217" s="22" t="n">
        <v>802</v>
      </c>
    </row>
    <row r="218">
      <c r="A218" s="21" t="inlineStr">
        <is>
          <t>Покупка</t>
        </is>
      </c>
      <c r="B218" s="21" t="inlineStr">
        <is>
          <t>Квартиры вторичка</t>
        </is>
      </c>
      <c r="C218" s="21" t="inlineStr">
        <is>
          <t>Симферополь</t>
        </is>
      </c>
      <c r="D218" s="22" t="n">
        <v>2117</v>
      </c>
    </row>
    <row r="219">
      <c r="A219" s="21" t="inlineStr">
        <is>
          <t>Покупка</t>
        </is>
      </c>
      <c r="B219" s="21" t="inlineStr">
        <is>
          <t>Квартиры вторичка</t>
        </is>
      </c>
      <c r="C219" s="21" t="inlineStr">
        <is>
          <t>Смоленск</t>
        </is>
      </c>
      <c r="D219" s="22" t="n">
        <v>1160</v>
      </c>
    </row>
    <row r="220">
      <c r="A220" s="21" t="inlineStr">
        <is>
          <t>Покупка</t>
        </is>
      </c>
      <c r="B220" s="21" t="inlineStr">
        <is>
          <t>Квартиры вторичка</t>
        </is>
      </c>
      <c r="C220" s="21" t="inlineStr">
        <is>
          <t>Сочи</t>
        </is>
      </c>
      <c r="D220" s="22" t="n">
        <v>6165</v>
      </c>
    </row>
    <row r="221">
      <c r="A221" s="21" t="inlineStr">
        <is>
          <t>Покупка</t>
        </is>
      </c>
      <c r="B221" s="21" t="inlineStr">
        <is>
          <t>Квартиры вторичка</t>
        </is>
      </c>
      <c r="C221" s="21" t="inlineStr">
        <is>
          <t>Санкт-Петербург</t>
        </is>
      </c>
      <c r="D221" s="22" t="n">
        <v>16503</v>
      </c>
    </row>
    <row r="222">
      <c r="A222" s="21" t="inlineStr">
        <is>
          <t>Покупка</t>
        </is>
      </c>
      <c r="B222" s="21" t="inlineStr">
        <is>
          <t>Квартиры вторичка</t>
        </is>
      </c>
      <c r="C222" s="21" t="inlineStr">
        <is>
          <t>Старый Оскол</t>
        </is>
      </c>
      <c r="D222" s="22" t="n">
        <v>1995</v>
      </c>
    </row>
    <row r="223">
      <c r="A223" s="21" t="inlineStr">
        <is>
          <t>Покупка</t>
        </is>
      </c>
      <c r="B223" s="21" t="inlineStr">
        <is>
          <t>Квартиры вторичка</t>
        </is>
      </c>
      <c r="C223" s="21" t="inlineStr">
        <is>
          <t>Ставрополь</t>
        </is>
      </c>
      <c r="D223" s="22" t="n">
        <v>1526</v>
      </c>
    </row>
    <row r="224">
      <c r="A224" s="21" t="inlineStr">
        <is>
          <t>Покупка</t>
        </is>
      </c>
      <c r="B224" s="21" t="inlineStr">
        <is>
          <t>Квартиры вторичка</t>
        </is>
      </c>
      <c r="C224" s="21" t="inlineStr">
        <is>
          <t>Стерлитамак</t>
        </is>
      </c>
      <c r="D224" s="22" t="n">
        <v>1261</v>
      </c>
    </row>
    <row r="225">
      <c r="A225" s="21" t="inlineStr">
        <is>
          <t>Покупка</t>
        </is>
      </c>
      <c r="B225" s="21" t="inlineStr">
        <is>
          <t>Квартиры вторичка</t>
        </is>
      </c>
      <c r="C225" s="21" t="inlineStr">
        <is>
          <t>Сургут</t>
        </is>
      </c>
      <c r="D225" s="22" t="n">
        <v>1756</v>
      </c>
    </row>
    <row r="226">
      <c r="A226" s="21" t="inlineStr">
        <is>
          <t>Покупка</t>
        </is>
      </c>
      <c r="B226" s="21" t="inlineStr">
        <is>
          <t>Квартиры вторичка</t>
        </is>
      </c>
      <c r="C226" s="21" t="inlineStr">
        <is>
          <t>Сыктывкар</t>
        </is>
      </c>
      <c r="D226" s="22" t="n">
        <v>1023</v>
      </c>
    </row>
    <row r="227">
      <c r="A227" s="21" t="inlineStr">
        <is>
          <t>Покупка</t>
        </is>
      </c>
      <c r="B227" s="21" t="inlineStr">
        <is>
          <t>Квартиры вторичка</t>
        </is>
      </c>
      <c r="C227" s="21" t="inlineStr">
        <is>
          <t>Тамбов</t>
        </is>
      </c>
      <c r="D227" s="22" t="n">
        <v>891</v>
      </c>
    </row>
    <row r="228">
      <c r="A228" s="21" t="inlineStr">
        <is>
          <t>Покупка</t>
        </is>
      </c>
      <c r="B228" s="21" t="inlineStr">
        <is>
          <t>Квартиры вторичка</t>
        </is>
      </c>
      <c r="C228" s="21" t="inlineStr">
        <is>
          <t>Тольятти</t>
        </is>
      </c>
      <c r="D228" s="22" t="n">
        <v>1284</v>
      </c>
    </row>
    <row r="229">
      <c r="A229" s="21" t="inlineStr">
        <is>
          <t>Покупка</t>
        </is>
      </c>
      <c r="B229" s="21" t="inlineStr">
        <is>
          <t>Квартиры вторичка</t>
        </is>
      </c>
      <c r="C229" s="21" t="inlineStr">
        <is>
          <t>Томск</t>
        </is>
      </c>
      <c r="D229" s="22" t="n">
        <v>2731</v>
      </c>
    </row>
    <row r="230">
      <c r="A230" s="21" t="inlineStr">
        <is>
          <t>Покупка</t>
        </is>
      </c>
      <c r="B230" s="21" t="inlineStr">
        <is>
          <t>Квартиры вторичка</t>
        </is>
      </c>
      <c r="C230" s="21" t="inlineStr">
        <is>
          <t>Тула</t>
        </is>
      </c>
      <c r="D230" s="22" t="n">
        <v>1688</v>
      </c>
    </row>
    <row r="231">
      <c r="A231" s="21" t="inlineStr">
        <is>
          <t>Покупка</t>
        </is>
      </c>
      <c r="B231" s="21" t="inlineStr">
        <is>
          <t>Квартиры вторичка</t>
        </is>
      </c>
      <c r="C231" s="21" t="inlineStr">
        <is>
          <t>Тверь</t>
        </is>
      </c>
      <c r="D231" s="22" t="n">
        <v>783</v>
      </c>
    </row>
    <row r="232">
      <c r="A232" s="21" t="inlineStr">
        <is>
          <t>Покупка</t>
        </is>
      </c>
      <c r="B232" s="21" t="inlineStr">
        <is>
          <t>Квартиры вторичка</t>
        </is>
      </c>
      <c r="C232" s="21" t="inlineStr">
        <is>
          <t>Тюмень</t>
        </is>
      </c>
      <c r="D232" s="22" t="n">
        <v>12499</v>
      </c>
    </row>
    <row r="233">
      <c r="A233" s="21" t="inlineStr">
        <is>
          <t>Покупка</t>
        </is>
      </c>
      <c r="B233" s="21" t="inlineStr">
        <is>
          <t>Квартиры вторичка</t>
        </is>
      </c>
      <c r="C233" s="21" t="inlineStr">
        <is>
          <t>Уфа</t>
        </is>
      </c>
      <c r="D233" s="22" t="n">
        <v>4528</v>
      </c>
    </row>
    <row r="234">
      <c r="A234" s="21" t="inlineStr">
        <is>
          <t>Покупка</t>
        </is>
      </c>
      <c r="B234" s="21" t="inlineStr">
        <is>
          <t>Квартиры вторичка</t>
        </is>
      </c>
      <c r="C234" s="21" t="inlineStr">
        <is>
          <t>Улан-Удэ</t>
        </is>
      </c>
      <c r="D234" s="22" t="n">
        <v>2482</v>
      </c>
    </row>
    <row r="235">
      <c r="A235" s="21" t="inlineStr">
        <is>
          <t>Покупка</t>
        </is>
      </c>
      <c r="B235" s="21" t="inlineStr">
        <is>
          <t>Квартиры вторичка</t>
        </is>
      </c>
      <c r="C235" s="21" t="inlineStr">
        <is>
          <t>Ульяновск</t>
        </is>
      </c>
      <c r="D235" s="22" t="n">
        <v>2260</v>
      </c>
    </row>
    <row r="236">
      <c r="A236" s="21" t="inlineStr">
        <is>
          <t>Покупка</t>
        </is>
      </c>
      <c r="B236" s="21" t="inlineStr">
        <is>
          <t>Квартиры вторичка</t>
        </is>
      </c>
      <c r="C236" s="21" t="inlineStr">
        <is>
          <t>Великий Новгород</t>
        </is>
      </c>
      <c r="D236" s="22" t="n">
        <v>532</v>
      </c>
    </row>
    <row r="237">
      <c r="A237" s="21" t="inlineStr">
        <is>
          <t>Покупка</t>
        </is>
      </c>
      <c r="B237" s="21" t="inlineStr">
        <is>
          <t>Квартиры вторичка</t>
        </is>
      </c>
      <c r="C237" s="21" t="inlineStr">
        <is>
          <t>Владикавказ</t>
        </is>
      </c>
      <c r="D237" s="22" t="n">
        <v>1252</v>
      </c>
    </row>
    <row r="238">
      <c r="A238" s="21" t="inlineStr">
        <is>
          <t>Покупка</t>
        </is>
      </c>
      <c r="B238" s="21" t="inlineStr">
        <is>
          <t>Квартиры вторичка</t>
        </is>
      </c>
      <c r="C238" s="21" t="inlineStr">
        <is>
          <t>Владимир</t>
        </is>
      </c>
      <c r="D238" s="22" t="n">
        <v>1599</v>
      </c>
    </row>
    <row r="239">
      <c r="A239" s="21" t="inlineStr">
        <is>
          <t>Покупка</t>
        </is>
      </c>
      <c r="B239" s="21" t="inlineStr">
        <is>
          <t>Квартиры вторичка</t>
        </is>
      </c>
      <c r="C239" s="21" t="inlineStr">
        <is>
          <t>Владивосток</t>
        </is>
      </c>
      <c r="D239" s="22" t="n">
        <v>1864</v>
      </c>
    </row>
    <row r="240">
      <c r="A240" s="21" t="inlineStr">
        <is>
          <t>Покупка</t>
        </is>
      </c>
      <c r="B240" s="21" t="inlineStr">
        <is>
          <t>Квартиры вторичка</t>
        </is>
      </c>
      <c r="C240" s="21" t="inlineStr">
        <is>
          <t>Волгоград</t>
        </is>
      </c>
      <c r="D240" s="22" t="n">
        <v>4075</v>
      </c>
    </row>
    <row r="241">
      <c r="A241" s="21" t="inlineStr">
        <is>
          <t>Покупка</t>
        </is>
      </c>
      <c r="B241" s="21" t="inlineStr">
        <is>
          <t>Квартиры вторичка</t>
        </is>
      </c>
      <c r="C241" s="21" t="inlineStr">
        <is>
          <t>Вологда</t>
        </is>
      </c>
      <c r="D241" s="22" t="n">
        <v>1346</v>
      </c>
    </row>
    <row r="242">
      <c r="A242" s="21" t="inlineStr">
        <is>
          <t>Покупка</t>
        </is>
      </c>
      <c r="B242" s="21" t="inlineStr">
        <is>
          <t>Квартиры вторичка</t>
        </is>
      </c>
      <c r="C242" s="21" t="inlineStr">
        <is>
          <t>Волжский</t>
        </is>
      </c>
      <c r="D242" s="22" t="n">
        <v>785</v>
      </c>
    </row>
    <row r="243">
      <c r="A243" s="21" t="inlineStr">
        <is>
          <t>Покупка</t>
        </is>
      </c>
      <c r="B243" s="21" t="inlineStr">
        <is>
          <t>Квартиры вторичка</t>
        </is>
      </c>
      <c r="C243" s="21" t="inlineStr">
        <is>
          <t>Воронеж</t>
        </is>
      </c>
      <c r="D243" s="22" t="n">
        <v>4658</v>
      </c>
    </row>
    <row r="244">
      <c r="A244" s="21" t="inlineStr">
        <is>
          <t>Покупка</t>
        </is>
      </c>
      <c r="B244" s="21" t="inlineStr">
        <is>
          <t>Квартиры вторичка</t>
        </is>
      </c>
      <c r="C244" s="21" t="inlineStr">
        <is>
          <t>Хабаровск</t>
        </is>
      </c>
      <c r="D244" s="22" t="n">
        <v>1728</v>
      </c>
    </row>
    <row r="245">
      <c r="A245" s="21" t="inlineStr">
        <is>
          <t>Покупка</t>
        </is>
      </c>
      <c r="B245" s="21" t="inlineStr">
        <is>
          <t>Квартиры вторичка</t>
        </is>
      </c>
      <c r="C245" s="21" t="inlineStr">
        <is>
          <t>Ханты-Мансийск</t>
        </is>
      </c>
      <c r="D245" s="22" t="n">
        <v>525</v>
      </c>
    </row>
    <row r="246">
      <c r="A246" s="21" t="inlineStr">
        <is>
          <t>Покупка</t>
        </is>
      </c>
      <c r="B246" s="21" t="inlineStr">
        <is>
          <t>Квартиры вторичка</t>
        </is>
      </c>
      <c r="C246" s="21" t="inlineStr">
        <is>
          <t>Химки</t>
        </is>
      </c>
      <c r="D246" s="22" t="n">
        <v>702</v>
      </c>
    </row>
    <row r="247">
      <c r="A247" s="21" t="inlineStr">
        <is>
          <t>Покупка</t>
        </is>
      </c>
      <c r="B247" s="21" t="inlineStr">
        <is>
          <t>Квартиры вторичка</t>
        </is>
      </c>
      <c r="C247" s="21" t="inlineStr">
        <is>
          <t>Якутск</t>
        </is>
      </c>
      <c r="D247" s="22" t="n">
        <v>2264</v>
      </c>
    </row>
    <row r="248">
      <c r="A248" s="21" t="inlineStr">
        <is>
          <t>Покупка</t>
        </is>
      </c>
      <c r="B248" s="21" t="inlineStr">
        <is>
          <t>Квартиры вторичка</t>
        </is>
      </c>
      <c r="C248" s="21" t="inlineStr">
        <is>
          <t>Ярославль</t>
        </is>
      </c>
      <c r="D248" s="22" t="n">
        <v>1932</v>
      </c>
    </row>
    <row r="249">
      <c r="A249" s="21" t="inlineStr">
        <is>
          <t>Покупка</t>
        </is>
      </c>
      <c r="B249" s="21" t="inlineStr">
        <is>
          <t>Квартиры вторичка</t>
        </is>
      </c>
      <c r="C249" s="21" t="inlineStr">
        <is>
          <t>Южно-Сахалинск</t>
        </is>
      </c>
      <c r="D249" s="22" t="n">
        <v>1551</v>
      </c>
    </row>
    <row r="250">
      <c r="A250" s="21" t="inlineStr">
        <is>
          <t>Покупка</t>
        </is>
      </c>
      <c r="B250" s="21" t="inlineStr">
        <is>
          <t>Квартиры вторичка</t>
        </is>
      </c>
      <c r="C250" s="21" t="inlineStr">
        <is>
          <t>Жуковский</t>
        </is>
      </c>
      <c r="D250" s="22" t="n">
        <v>201</v>
      </c>
    </row>
    <row r="251">
      <c r="A251" s="27" t="inlineStr">
        <is>
          <t>Покупка</t>
        </is>
      </c>
      <c r="B251" s="17" t="inlineStr">
        <is>
          <t>Квартиры новостройки</t>
        </is>
      </c>
      <c r="C251" s="28" t="inlineStr">
        <is>
          <t>Абакан</t>
        </is>
      </c>
      <c r="D251" s="19" t="n">
        <v>1982</v>
      </c>
    </row>
    <row r="252">
      <c r="A252" s="21" t="inlineStr">
        <is>
          <t>Покупка</t>
        </is>
      </c>
      <c r="B252" s="21" t="inlineStr">
        <is>
          <t>Квартиры новостройки</t>
        </is>
      </c>
      <c r="C252" s="21" t="inlineStr">
        <is>
          <t>Архангельск</t>
        </is>
      </c>
      <c r="D252" s="22" t="n">
        <v>4152</v>
      </c>
    </row>
    <row r="253">
      <c r="A253" s="21" t="inlineStr">
        <is>
          <t>Покупка</t>
        </is>
      </c>
      <c r="B253" s="21" t="inlineStr">
        <is>
          <t>Квартиры новостройки</t>
        </is>
      </c>
      <c r="C253" s="21" t="inlineStr">
        <is>
          <t>Астрахань</t>
        </is>
      </c>
      <c r="D253" s="22" t="n">
        <v>6556</v>
      </c>
    </row>
    <row r="254">
      <c r="A254" s="21" t="inlineStr">
        <is>
          <t>Покупка</t>
        </is>
      </c>
      <c r="B254" s="21" t="inlineStr">
        <is>
          <t>Квартиры новостройки</t>
        </is>
      </c>
      <c r="C254" s="21" t="inlineStr">
        <is>
          <t>Балашиха</t>
        </is>
      </c>
      <c r="D254" s="22" t="n">
        <v>1861</v>
      </c>
    </row>
    <row r="255">
      <c r="A255" s="21" t="inlineStr">
        <is>
          <t>Покупка</t>
        </is>
      </c>
      <c r="B255" s="21" t="inlineStr">
        <is>
          <t>Квартиры новостройки</t>
        </is>
      </c>
      <c r="C255" s="21" t="inlineStr">
        <is>
          <t>Барнаул</t>
        </is>
      </c>
      <c r="D255" s="22" t="n">
        <v>1814</v>
      </c>
    </row>
    <row r="256">
      <c r="A256" s="21" t="inlineStr">
        <is>
          <t>Покупка</t>
        </is>
      </c>
      <c r="B256" s="21" t="inlineStr">
        <is>
          <t>Квартиры новостройки</t>
        </is>
      </c>
      <c r="C256" s="21" t="inlineStr">
        <is>
          <t>Белгород</t>
        </is>
      </c>
      <c r="D256" s="22" t="n">
        <v>556</v>
      </c>
    </row>
    <row r="257">
      <c r="A257" s="21" t="inlineStr">
        <is>
          <t>Покупка</t>
        </is>
      </c>
      <c r="B257" s="21" t="inlineStr">
        <is>
          <t>Квартиры новостройки</t>
        </is>
      </c>
      <c r="C257" s="21" t="inlineStr">
        <is>
          <t>Биробиджан</t>
        </is>
      </c>
      <c r="D257" s="22" t="n">
        <v>84</v>
      </c>
    </row>
    <row r="258">
      <c r="A258" s="21" t="inlineStr">
        <is>
          <t>Покупка</t>
        </is>
      </c>
      <c r="B258" s="21" t="inlineStr">
        <is>
          <t>Квартиры новостройки</t>
        </is>
      </c>
      <c r="C258" s="21" t="inlineStr">
        <is>
          <t>Благовещенск</t>
        </is>
      </c>
      <c r="D258" s="22" t="n">
        <v>740</v>
      </c>
    </row>
    <row r="259">
      <c r="A259" s="21" t="inlineStr">
        <is>
          <t>Покупка</t>
        </is>
      </c>
      <c r="B259" s="21" t="inlineStr">
        <is>
          <t>Квартиры новостройки</t>
        </is>
      </c>
      <c r="C259" s="21" t="inlineStr">
        <is>
          <t>Брянск</t>
        </is>
      </c>
      <c r="D259" s="22" t="n">
        <v>1982</v>
      </c>
    </row>
    <row r="260">
      <c r="A260" s="21" t="inlineStr">
        <is>
          <t>Покупка</t>
        </is>
      </c>
      <c r="B260" s="21" t="inlineStr">
        <is>
          <t>Квартиры новостройки</t>
        </is>
      </c>
      <c r="C260" s="21" t="inlineStr">
        <is>
          <t>Чебоксары</t>
        </is>
      </c>
      <c r="D260" s="22" t="n">
        <v>1285</v>
      </c>
    </row>
    <row r="261">
      <c r="A261" s="21" t="inlineStr">
        <is>
          <t>Покупка</t>
        </is>
      </c>
      <c r="B261" s="21" t="inlineStr">
        <is>
          <t>Квартиры новостройки</t>
        </is>
      </c>
      <c r="C261" s="21" t="inlineStr">
        <is>
          <t>Челябинск</t>
        </is>
      </c>
      <c r="D261" s="22" t="n">
        <v>6914</v>
      </c>
    </row>
    <row r="262">
      <c r="A262" s="21" t="inlineStr">
        <is>
          <t>Покупка</t>
        </is>
      </c>
      <c r="B262" s="21" t="inlineStr">
        <is>
          <t>Квартиры новостройки</t>
        </is>
      </c>
      <c r="C262" s="21" t="inlineStr">
        <is>
          <t>Череповец</t>
        </is>
      </c>
      <c r="D262" s="22" t="n">
        <v>1145</v>
      </c>
    </row>
    <row r="263">
      <c r="A263" s="21" t="inlineStr">
        <is>
          <t>Покупка</t>
        </is>
      </c>
      <c r="B263" s="21" t="inlineStr">
        <is>
          <t>Квартиры новостройки</t>
        </is>
      </c>
      <c r="C263" s="21" t="inlineStr">
        <is>
          <t>Черкесск</t>
        </is>
      </c>
      <c r="D263" s="22" t="n">
        <v>292</v>
      </c>
    </row>
    <row r="264">
      <c r="A264" s="21" t="inlineStr">
        <is>
          <t>Покупка</t>
        </is>
      </c>
      <c r="B264" s="21" t="inlineStr">
        <is>
          <t>Квартиры новостройки</t>
        </is>
      </c>
      <c r="C264" s="21" t="inlineStr">
        <is>
          <t>Чита</t>
        </is>
      </c>
      <c r="D264" s="22" t="n">
        <v>1944</v>
      </c>
    </row>
    <row r="265">
      <c r="A265" s="21" t="inlineStr">
        <is>
          <t>Покупка</t>
        </is>
      </c>
      <c r="B265" s="21" t="inlineStr">
        <is>
          <t>Квартиры новостройки</t>
        </is>
      </c>
      <c r="C265" s="21" t="inlineStr">
        <is>
          <t>Долгопрудный</t>
        </is>
      </c>
      <c r="D265" s="22" t="n">
        <v>41</v>
      </c>
    </row>
    <row r="266">
      <c r="A266" s="21" t="inlineStr">
        <is>
          <t>Покупка</t>
        </is>
      </c>
      <c r="B266" s="21" t="inlineStr">
        <is>
          <t>Квартиры новостройки</t>
        </is>
      </c>
      <c r="C266" s="21" t="inlineStr">
        <is>
          <t>Домодедово</t>
        </is>
      </c>
      <c r="D266" s="22" t="n">
        <v>922</v>
      </c>
    </row>
    <row r="267">
      <c r="A267" s="21" t="inlineStr">
        <is>
          <t>Покупка</t>
        </is>
      </c>
      <c r="B267" s="21" t="inlineStr">
        <is>
          <t>Квартиры новостройки</t>
        </is>
      </c>
      <c r="C267" s="21" t="inlineStr">
        <is>
          <t>Дзержинск</t>
        </is>
      </c>
      <c r="D267" s="22" t="n">
        <v>218</v>
      </c>
    </row>
    <row r="268">
      <c r="A268" s="21" t="inlineStr">
        <is>
          <t>Покупка</t>
        </is>
      </c>
      <c r="B268" s="21" t="inlineStr">
        <is>
          <t>Квартиры новостройки</t>
        </is>
      </c>
      <c r="C268" s="21" t="inlineStr">
        <is>
          <t>Екатеринбург</t>
        </is>
      </c>
      <c r="D268" s="22" t="n">
        <v>28351</v>
      </c>
    </row>
    <row r="269">
      <c r="A269" s="21" t="inlineStr">
        <is>
          <t>Покупка</t>
        </is>
      </c>
      <c r="B269" s="21" t="inlineStr">
        <is>
          <t>Квартиры новостройки</t>
        </is>
      </c>
      <c r="C269" s="21" t="inlineStr">
        <is>
          <t>Электросталь</t>
        </is>
      </c>
      <c r="D269" s="22" t="n">
        <v>119</v>
      </c>
    </row>
    <row r="270">
      <c r="A270" s="21" t="inlineStr">
        <is>
          <t>Покупка</t>
        </is>
      </c>
      <c r="B270" s="21" t="inlineStr">
        <is>
          <t>Квартиры новостройки</t>
        </is>
      </c>
      <c r="C270" s="21" t="inlineStr">
        <is>
          <t>Элиста</t>
        </is>
      </c>
      <c r="D270" s="22" t="n">
        <v>91</v>
      </c>
    </row>
    <row r="271">
      <c r="A271" s="21" t="inlineStr">
        <is>
          <t>Покупка</t>
        </is>
      </c>
      <c r="B271" s="21" t="inlineStr">
        <is>
          <t>Квартиры новостройки</t>
        </is>
      </c>
      <c r="C271" s="21" t="inlineStr">
        <is>
          <t>Энгельс</t>
        </is>
      </c>
      <c r="D271" s="22" t="n">
        <v>1409</v>
      </c>
    </row>
    <row r="272">
      <c r="A272" s="21" t="inlineStr">
        <is>
          <t>Покупка</t>
        </is>
      </c>
      <c r="B272" s="21" t="inlineStr">
        <is>
          <t>Квартиры новостройки</t>
        </is>
      </c>
      <c r="C272" s="21" t="inlineStr">
        <is>
          <t>Горно-Алтайск</t>
        </is>
      </c>
      <c r="D272" s="22" t="n">
        <v>116</v>
      </c>
    </row>
    <row r="273">
      <c r="A273" s="21" t="inlineStr">
        <is>
          <t>Покупка</t>
        </is>
      </c>
      <c r="B273" s="21" t="inlineStr">
        <is>
          <t>Квартиры новостройки</t>
        </is>
      </c>
      <c r="C273" s="21" t="inlineStr">
        <is>
          <t>Грозный</t>
        </is>
      </c>
      <c r="D273" s="22" t="n">
        <v>321</v>
      </c>
    </row>
    <row r="274">
      <c r="A274" s="21" t="inlineStr">
        <is>
          <t>Покупка</t>
        </is>
      </c>
      <c r="B274" s="21" t="inlineStr">
        <is>
          <t>Квартиры новостройки</t>
        </is>
      </c>
      <c r="C274" s="21" t="inlineStr">
        <is>
          <t>Иркутск</t>
        </is>
      </c>
      <c r="D274" s="22" t="n">
        <v>5576</v>
      </c>
    </row>
    <row r="275">
      <c r="A275" s="21" t="inlineStr">
        <is>
          <t>Покупка</t>
        </is>
      </c>
      <c r="B275" s="21" t="inlineStr">
        <is>
          <t>Квартиры новостройки</t>
        </is>
      </c>
      <c r="C275" s="21" t="inlineStr">
        <is>
          <t>Иваново</t>
        </is>
      </c>
      <c r="D275" s="22" t="n">
        <v>1897</v>
      </c>
    </row>
    <row r="276">
      <c r="A276" s="21" t="inlineStr">
        <is>
          <t>Покупка</t>
        </is>
      </c>
      <c r="B276" s="21" t="inlineStr">
        <is>
          <t>Квартиры новостройки</t>
        </is>
      </c>
      <c r="C276" s="21" t="inlineStr">
        <is>
          <t>Ижевск</t>
        </is>
      </c>
      <c r="D276" s="22" t="n">
        <v>5686</v>
      </c>
    </row>
    <row r="277">
      <c r="A277" s="21" t="inlineStr">
        <is>
          <t>Покупка</t>
        </is>
      </c>
      <c r="B277" s="21" t="inlineStr">
        <is>
          <t>Квартиры новостройки</t>
        </is>
      </c>
      <c r="C277" s="21" t="inlineStr">
        <is>
          <t>Йошкар-Ола</t>
        </is>
      </c>
      <c r="D277" s="22" t="n">
        <v>1251</v>
      </c>
    </row>
    <row r="278">
      <c r="A278" s="21" t="inlineStr">
        <is>
          <t>Покупка</t>
        </is>
      </c>
      <c r="B278" s="21" t="inlineStr">
        <is>
          <t>Квартиры новостройки</t>
        </is>
      </c>
      <c r="C278" s="21" t="inlineStr">
        <is>
          <t>Калининград</t>
        </is>
      </c>
      <c r="D278" s="22" t="n">
        <v>3999</v>
      </c>
    </row>
    <row r="279">
      <c r="A279" s="21" t="inlineStr">
        <is>
          <t>Покупка</t>
        </is>
      </c>
      <c r="B279" s="21" t="inlineStr">
        <is>
          <t>Квартиры новостройки</t>
        </is>
      </c>
      <c r="C279" s="21" t="inlineStr">
        <is>
          <t>Калуга</t>
        </is>
      </c>
      <c r="D279" s="22" t="n">
        <v>1746</v>
      </c>
    </row>
    <row r="280">
      <c r="A280" s="21" t="inlineStr">
        <is>
          <t>Покупка</t>
        </is>
      </c>
      <c r="B280" s="21" t="inlineStr">
        <is>
          <t>Квартиры новостройки</t>
        </is>
      </c>
      <c r="C280" s="21" t="inlineStr">
        <is>
          <t>Казань</t>
        </is>
      </c>
      <c r="D280" s="22" t="n">
        <v>10952</v>
      </c>
    </row>
    <row r="281">
      <c r="A281" s="21" t="inlineStr">
        <is>
          <t>Покупка</t>
        </is>
      </c>
      <c r="B281" s="21" t="inlineStr">
        <is>
          <t>Квартиры новостройки</t>
        </is>
      </c>
      <c r="C281" s="21" t="inlineStr">
        <is>
          <t>Кемерово</t>
        </is>
      </c>
      <c r="D281" s="22" t="n">
        <v>2363</v>
      </c>
    </row>
    <row r="282">
      <c r="A282" s="21" t="inlineStr">
        <is>
          <t>Покупка</t>
        </is>
      </c>
      <c r="B282" s="21" t="inlineStr">
        <is>
          <t>Квартиры новостройки</t>
        </is>
      </c>
      <c r="C282" s="21" t="inlineStr">
        <is>
          <t>Киров</t>
        </is>
      </c>
      <c r="D282" s="22" t="n">
        <v>2642</v>
      </c>
    </row>
    <row r="283">
      <c r="A283" s="21" t="inlineStr">
        <is>
          <t>Покупка</t>
        </is>
      </c>
      <c r="B283" s="21" t="inlineStr">
        <is>
          <t>Квартиры новостройки</t>
        </is>
      </c>
      <c r="C283" s="21" t="inlineStr">
        <is>
          <t>Комсомольск-на-Амуре</t>
        </is>
      </c>
      <c r="D283" s="22" t="n">
        <v>180</v>
      </c>
    </row>
    <row r="284">
      <c r="A284" s="21" t="inlineStr">
        <is>
          <t>Покупка</t>
        </is>
      </c>
      <c r="B284" s="21" t="inlineStr">
        <is>
          <t>Квартиры новостройки</t>
        </is>
      </c>
      <c r="C284" s="21" t="inlineStr">
        <is>
          <t>Королёв</t>
        </is>
      </c>
      <c r="D284" s="22" t="n">
        <v>597</v>
      </c>
    </row>
    <row r="285">
      <c r="A285" s="21" t="inlineStr">
        <is>
          <t>Покупка</t>
        </is>
      </c>
      <c r="B285" s="21" t="inlineStr">
        <is>
          <t>Квартиры новостройки</t>
        </is>
      </c>
      <c r="C285" s="21" t="inlineStr">
        <is>
          <t>Кострома</t>
        </is>
      </c>
      <c r="D285" s="22" t="n">
        <v>735</v>
      </c>
    </row>
    <row r="286">
      <c r="A286" s="21" t="inlineStr">
        <is>
          <t>Покупка</t>
        </is>
      </c>
      <c r="B286" s="21" t="inlineStr">
        <is>
          <t>Квартиры новостройки</t>
        </is>
      </c>
      <c r="C286" s="21" t="inlineStr">
        <is>
          <t>Краснодар</t>
        </is>
      </c>
      <c r="D286" s="22" t="n">
        <v>34582</v>
      </c>
    </row>
    <row r="287">
      <c r="A287" s="21" t="inlineStr">
        <is>
          <t>Покупка</t>
        </is>
      </c>
      <c r="B287" s="21" t="inlineStr">
        <is>
          <t>Квартиры новостройки</t>
        </is>
      </c>
      <c r="C287" s="21" t="inlineStr">
        <is>
          <t>Красногорск</t>
        </is>
      </c>
      <c r="D287" s="22" t="n">
        <v>1692</v>
      </c>
    </row>
    <row r="288">
      <c r="A288" s="21" t="inlineStr">
        <is>
          <t>Покупка</t>
        </is>
      </c>
      <c r="B288" s="21" t="inlineStr">
        <is>
          <t>Квартиры новостройки</t>
        </is>
      </c>
      <c r="C288" s="21" t="inlineStr">
        <is>
          <t>Красноярск</t>
        </is>
      </c>
      <c r="D288" s="22" t="n">
        <v>9033</v>
      </c>
    </row>
    <row r="289">
      <c r="A289" s="21" t="inlineStr">
        <is>
          <t>Покупка</t>
        </is>
      </c>
      <c r="B289" s="21" t="inlineStr">
        <is>
          <t>Квартиры новостройки</t>
        </is>
      </c>
      <c r="C289" s="21" t="inlineStr">
        <is>
          <t>Курган</t>
        </is>
      </c>
      <c r="D289" s="22" t="n">
        <v>2293</v>
      </c>
    </row>
    <row r="290">
      <c r="A290" s="21" t="inlineStr">
        <is>
          <t>Покупка</t>
        </is>
      </c>
      <c r="B290" s="21" t="inlineStr">
        <is>
          <t>Квартиры новостройки</t>
        </is>
      </c>
      <c r="C290" s="21" t="inlineStr">
        <is>
          <t>Курск</t>
        </is>
      </c>
      <c r="D290" s="22" t="n">
        <v>1913</v>
      </c>
    </row>
    <row r="291">
      <c r="A291" s="21" t="inlineStr">
        <is>
          <t>Покупка</t>
        </is>
      </c>
      <c r="B291" s="21" t="inlineStr">
        <is>
          <t>Квартиры новостройки</t>
        </is>
      </c>
      <c r="C291" s="21" t="inlineStr">
        <is>
          <t>Кызыл</t>
        </is>
      </c>
      <c r="D291" s="22" t="n">
        <v>937</v>
      </c>
    </row>
    <row r="292">
      <c r="A292" s="21" t="inlineStr">
        <is>
          <t>Покупка</t>
        </is>
      </c>
      <c r="B292" s="21" t="inlineStr">
        <is>
          <t>Квартиры новостройки</t>
        </is>
      </c>
      <c r="C292" s="21" t="inlineStr">
        <is>
          <t>Липецк</t>
        </is>
      </c>
      <c r="D292" s="22" t="n">
        <v>2929</v>
      </c>
    </row>
    <row r="293">
      <c r="A293" s="21" t="inlineStr">
        <is>
          <t>Покупка</t>
        </is>
      </c>
      <c r="B293" s="21" t="inlineStr">
        <is>
          <t>Квартиры новостройки</t>
        </is>
      </c>
      <c r="C293" s="21" t="inlineStr">
        <is>
          <t>Люберцы</t>
        </is>
      </c>
      <c r="D293" s="22" t="n">
        <v>565</v>
      </c>
    </row>
    <row r="294">
      <c r="A294" s="21" t="inlineStr">
        <is>
          <t>Покупка</t>
        </is>
      </c>
      <c r="B294" s="21" t="inlineStr">
        <is>
          <t>Квартиры новостройки</t>
        </is>
      </c>
      <c r="C294" s="21" t="inlineStr">
        <is>
          <t>Магнитогорск</t>
        </is>
      </c>
      <c r="D294" s="22" t="n">
        <v>977</v>
      </c>
    </row>
    <row r="295">
      <c r="A295" s="21" t="inlineStr">
        <is>
          <t>Покупка</t>
        </is>
      </c>
      <c r="B295" s="21" t="inlineStr">
        <is>
          <t>Квартиры новостройки</t>
        </is>
      </c>
      <c r="C295" s="21" t="inlineStr">
        <is>
          <t>Майкоп</t>
        </is>
      </c>
      <c r="D295" s="22" t="n">
        <v>4410</v>
      </c>
    </row>
    <row r="296">
      <c r="A296" s="21" t="inlineStr">
        <is>
          <t>Покупка</t>
        </is>
      </c>
      <c r="B296" s="21" t="inlineStr">
        <is>
          <t>Квартиры новостройки</t>
        </is>
      </c>
      <c r="C296" s="21" t="inlineStr">
        <is>
          <t>Махачкала</t>
        </is>
      </c>
      <c r="D296" s="22" t="n">
        <v>599</v>
      </c>
    </row>
    <row r="297">
      <c r="A297" s="21" t="inlineStr">
        <is>
          <t>Покупка</t>
        </is>
      </c>
      <c r="B297" s="21" t="inlineStr">
        <is>
          <t>Квартиры новостройки</t>
        </is>
      </c>
      <c r="C297" s="21" t="inlineStr">
        <is>
          <t>Москва</t>
        </is>
      </c>
      <c r="D297" s="22" t="n">
        <v>43698</v>
      </c>
    </row>
    <row r="298">
      <c r="A298" s="21" t="inlineStr">
        <is>
          <t>Покупка</t>
        </is>
      </c>
      <c r="B298" s="21" t="inlineStr">
        <is>
          <t>Квартиры новостройки</t>
        </is>
      </c>
      <c r="C298" s="21" t="inlineStr">
        <is>
          <t>Мурманск</t>
        </is>
      </c>
      <c r="D298" s="22" t="n">
        <v>380</v>
      </c>
    </row>
    <row r="299">
      <c r="A299" s="21" t="inlineStr">
        <is>
          <t>Покупка</t>
        </is>
      </c>
      <c r="B299" s="21" t="inlineStr">
        <is>
          <t>Квартиры новостройки</t>
        </is>
      </c>
      <c r="C299" s="21" t="inlineStr">
        <is>
          <t>Мытищи</t>
        </is>
      </c>
      <c r="D299" s="22" t="n">
        <v>3027</v>
      </c>
    </row>
    <row r="300">
      <c r="A300" s="21" t="inlineStr">
        <is>
          <t>Покупка</t>
        </is>
      </c>
      <c r="B300" s="21" t="inlineStr">
        <is>
          <t>Квартиры новостройки</t>
        </is>
      </c>
      <c r="C300" s="21" t="inlineStr">
        <is>
          <t>Набережные Челны</t>
        </is>
      </c>
      <c r="D300" s="22" t="n">
        <v>1654</v>
      </c>
    </row>
    <row r="301">
      <c r="A301" s="21" t="inlineStr">
        <is>
          <t>Покупка</t>
        </is>
      </c>
      <c r="B301" s="21" t="inlineStr">
        <is>
          <t>Квартиры новостройки</t>
        </is>
      </c>
      <c r="C301" s="21" t="inlineStr">
        <is>
          <t>Нальчик</t>
        </is>
      </c>
      <c r="D301" s="22" t="n">
        <v>7</v>
      </c>
    </row>
    <row r="302">
      <c r="A302" s="21" t="inlineStr">
        <is>
          <t>Покупка</t>
        </is>
      </c>
      <c r="B302" s="21" t="inlineStr">
        <is>
          <t>Квартиры новостройки</t>
        </is>
      </c>
      <c r="C302" s="21" t="inlineStr">
        <is>
          <t>Нефтеюганск</t>
        </is>
      </c>
      <c r="D302" s="22" t="n">
        <v>1300</v>
      </c>
    </row>
    <row r="303">
      <c r="A303" s="21" t="inlineStr">
        <is>
          <t>Покупка</t>
        </is>
      </c>
      <c r="B303" s="21" t="inlineStr">
        <is>
          <t>Квартиры новостройки</t>
        </is>
      </c>
      <c r="C303" s="21" t="inlineStr">
        <is>
          <t>Нижневартовск</t>
        </is>
      </c>
      <c r="D303" s="22" t="n">
        <v>58</v>
      </c>
    </row>
    <row r="304">
      <c r="A304" s="21" t="inlineStr">
        <is>
          <t>Покупка</t>
        </is>
      </c>
      <c r="B304" s="21" t="inlineStr">
        <is>
          <t>Квартиры новостройки</t>
        </is>
      </c>
      <c r="C304" s="21" t="inlineStr">
        <is>
          <t>Нижний Тагил</t>
        </is>
      </c>
      <c r="D304" s="22" t="n">
        <v>185</v>
      </c>
    </row>
    <row r="305">
      <c r="A305" s="21" t="inlineStr">
        <is>
          <t>Покупка</t>
        </is>
      </c>
      <c r="B305" s="21" t="inlineStr">
        <is>
          <t>Квартиры новостройки</t>
        </is>
      </c>
      <c r="C305" s="21" t="inlineStr">
        <is>
          <t>Нижний Новгород</t>
        </is>
      </c>
      <c r="D305" s="22" t="n">
        <v>5451</v>
      </c>
    </row>
    <row r="306">
      <c r="A306" s="21" t="inlineStr">
        <is>
          <t>Покупка</t>
        </is>
      </c>
      <c r="B306" s="21" t="inlineStr">
        <is>
          <t>Квартиры новостройки</t>
        </is>
      </c>
      <c r="C306" s="21" t="inlineStr">
        <is>
          <t>Ногинск</t>
        </is>
      </c>
      <c r="D306" s="22" t="n">
        <v>36</v>
      </c>
    </row>
    <row r="307">
      <c r="A307" s="21" t="inlineStr">
        <is>
          <t>Покупка</t>
        </is>
      </c>
      <c r="B307" s="21" t="inlineStr">
        <is>
          <t>Квартиры новостройки</t>
        </is>
      </c>
      <c r="C307" s="21" t="inlineStr">
        <is>
          <t>Новокузнецк</t>
        </is>
      </c>
      <c r="D307" s="22" t="n">
        <v>937</v>
      </c>
    </row>
    <row r="308">
      <c r="A308" s="21" t="inlineStr">
        <is>
          <t>Покупка</t>
        </is>
      </c>
      <c r="B308" s="21" t="inlineStr">
        <is>
          <t>Квартиры новостройки</t>
        </is>
      </c>
      <c r="C308" s="21" t="inlineStr">
        <is>
          <t>Новороссийск</t>
        </is>
      </c>
      <c r="D308" s="22" t="n">
        <v>4610</v>
      </c>
    </row>
    <row r="309">
      <c r="A309" s="21" t="inlineStr">
        <is>
          <t>Покупка</t>
        </is>
      </c>
      <c r="B309" s="21" t="inlineStr">
        <is>
          <t>Квартиры новостройки</t>
        </is>
      </c>
      <c r="C309" s="21" t="inlineStr">
        <is>
          <t>Новосибирск</t>
        </is>
      </c>
      <c r="D309" s="22" t="n">
        <v>15717</v>
      </c>
    </row>
    <row r="310">
      <c r="A310" s="21" t="inlineStr">
        <is>
          <t>Покупка</t>
        </is>
      </c>
      <c r="B310" s="21" t="inlineStr">
        <is>
          <t>Квартиры новостройки</t>
        </is>
      </c>
      <c r="C310" s="21" t="inlineStr">
        <is>
          <t>Новый Уренгой</t>
        </is>
      </c>
      <c r="D310" s="22" t="n">
        <v>887</v>
      </c>
    </row>
    <row r="311">
      <c r="A311" s="21" t="inlineStr">
        <is>
          <t>Покупка</t>
        </is>
      </c>
      <c r="B311" s="21" t="inlineStr">
        <is>
          <t>Квартиры новостройки</t>
        </is>
      </c>
      <c r="C311" s="21" t="inlineStr">
        <is>
          <t>Обнинск</t>
        </is>
      </c>
      <c r="D311" s="22" t="n">
        <v>376</v>
      </c>
    </row>
    <row r="312">
      <c r="A312" s="21" t="inlineStr">
        <is>
          <t>Покупка</t>
        </is>
      </c>
      <c r="B312" s="21" t="inlineStr">
        <is>
          <t>Квартиры новостройки</t>
        </is>
      </c>
      <c r="C312" s="21" t="inlineStr">
        <is>
          <t>Одинцово</t>
        </is>
      </c>
      <c r="D312" s="22" t="n">
        <v>813</v>
      </c>
    </row>
    <row r="313">
      <c r="A313" s="21" t="inlineStr">
        <is>
          <t>Покупка</t>
        </is>
      </c>
      <c r="B313" s="21" t="inlineStr">
        <is>
          <t>Квартиры новостройки</t>
        </is>
      </c>
      <c r="C313" s="21" t="inlineStr">
        <is>
          <t>Омск</t>
        </is>
      </c>
      <c r="D313" s="22" t="n">
        <v>2114</v>
      </c>
    </row>
    <row r="314">
      <c r="A314" s="21" t="inlineStr">
        <is>
          <t>Покупка</t>
        </is>
      </c>
      <c r="B314" s="21" t="inlineStr">
        <is>
          <t>Квартиры новостройки</t>
        </is>
      </c>
      <c r="C314" s="21" t="inlineStr">
        <is>
          <t>Оренбург</t>
        </is>
      </c>
      <c r="D314" s="22" t="n">
        <v>1626</v>
      </c>
    </row>
    <row r="315">
      <c r="A315" s="21" t="inlineStr">
        <is>
          <t>Покупка</t>
        </is>
      </c>
      <c r="B315" s="21" t="inlineStr">
        <is>
          <t>Квартиры новостройки</t>
        </is>
      </c>
      <c r="C315" s="21" t="inlineStr">
        <is>
          <t>Орёл</t>
        </is>
      </c>
      <c r="D315" s="22" t="n">
        <v>882</v>
      </c>
    </row>
    <row r="316">
      <c r="A316" s="21" t="inlineStr">
        <is>
          <t>Покупка</t>
        </is>
      </c>
      <c r="B316" s="21" t="inlineStr">
        <is>
          <t>Квартиры новостройки</t>
        </is>
      </c>
      <c r="C316" s="21" t="inlineStr">
        <is>
          <t>Пенза</t>
        </is>
      </c>
      <c r="D316" s="22" t="n">
        <v>11924</v>
      </c>
    </row>
    <row r="317">
      <c r="A317" s="21" t="inlineStr">
        <is>
          <t>Покупка</t>
        </is>
      </c>
      <c r="B317" s="21" t="inlineStr">
        <is>
          <t>Квартиры новостройки</t>
        </is>
      </c>
      <c r="C317" s="21" t="inlineStr">
        <is>
          <t>Пермь</t>
        </is>
      </c>
      <c r="D317" s="22" t="n">
        <v>9292</v>
      </c>
    </row>
    <row r="318">
      <c r="A318" s="21" t="inlineStr">
        <is>
          <t>Покупка</t>
        </is>
      </c>
      <c r="B318" s="21" t="inlineStr">
        <is>
          <t>Квартиры новостройки</t>
        </is>
      </c>
      <c r="C318" s="21" t="inlineStr">
        <is>
          <t>Петропавловск-Камчатский</t>
        </is>
      </c>
      <c r="D318" s="22" t="n">
        <v>898</v>
      </c>
    </row>
    <row r="319">
      <c r="A319" s="21" t="inlineStr">
        <is>
          <t>Покупка</t>
        </is>
      </c>
      <c r="B319" s="21" t="inlineStr">
        <is>
          <t>Квартиры новостройки</t>
        </is>
      </c>
      <c r="C319" s="21" t="inlineStr">
        <is>
          <t>Петрозаводск</t>
        </is>
      </c>
      <c r="D319" s="22" t="n">
        <v>1089</v>
      </c>
    </row>
    <row r="320">
      <c r="A320" s="21" t="inlineStr">
        <is>
          <t>Покупка</t>
        </is>
      </c>
      <c r="B320" s="21" t="inlineStr">
        <is>
          <t>Квартиры новостройки</t>
        </is>
      </c>
      <c r="C320" s="21" t="inlineStr">
        <is>
          <t>Подольск</t>
        </is>
      </c>
      <c r="D320" s="22" t="n">
        <v>674</v>
      </c>
    </row>
    <row r="321">
      <c r="A321" s="21" t="inlineStr">
        <is>
          <t>Покупка</t>
        </is>
      </c>
      <c r="B321" s="21" t="inlineStr">
        <is>
          <t>Квартиры новостройки</t>
        </is>
      </c>
      <c r="C321" s="21" t="inlineStr">
        <is>
          <t>Псков</t>
        </is>
      </c>
      <c r="D321" s="22" t="n">
        <v>1446</v>
      </c>
    </row>
    <row r="322">
      <c r="A322" s="21" t="inlineStr">
        <is>
          <t>Покупка</t>
        </is>
      </c>
      <c r="B322" s="21" t="inlineStr">
        <is>
          <t>Квартиры новостройки</t>
        </is>
      </c>
      <c r="C322" s="21" t="inlineStr">
        <is>
          <t>Пушкино</t>
        </is>
      </c>
      <c r="D322" s="22" t="n">
        <v>1030</v>
      </c>
    </row>
    <row r="323">
      <c r="A323" s="21" t="inlineStr">
        <is>
          <t>Покупка</t>
        </is>
      </c>
      <c r="B323" s="21" t="inlineStr">
        <is>
          <t>Квартиры новостройки</t>
        </is>
      </c>
      <c r="C323" s="21" t="inlineStr">
        <is>
          <t>Раменское</t>
        </is>
      </c>
      <c r="D323" s="22" t="n">
        <v>135</v>
      </c>
    </row>
    <row r="324">
      <c r="A324" s="21" t="inlineStr">
        <is>
          <t>Покупка</t>
        </is>
      </c>
      <c r="B324" s="21" t="inlineStr">
        <is>
          <t>Квартиры новостройки</t>
        </is>
      </c>
      <c r="C324" s="21" t="inlineStr">
        <is>
          <t>Реутов</t>
        </is>
      </c>
      <c r="D324" s="22" t="n">
        <v>51</v>
      </c>
    </row>
    <row r="325">
      <c r="A325" s="21" t="inlineStr">
        <is>
          <t>Покупка</t>
        </is>
      </c>
      <c r="B325" s="21" t="inlineStr">
        <is>
          <t>Квартиры новостройки</t>
        </is>
      </c>
      <c r="C325" s="21" t="inlineStr">
        <is>
          <t>Ростов-на-Дону</t>
        </is>
      </c>
      <c r="D325" s="22" t="n">
        <v>22464</v>
      </c>
    </row>
    <row r="326">
      <c r="A326" s="21" t="inlineStr">
        <is>
          <t>Покупка</t>
        </is>
      </c>
      <c r="B326" s="21" t="inlineStr">
        <is>
          <t>Квартиры новостройки</t>
        </is>
      </c>
      <c r="C326" s="21" t="inlineStr">
        <is>
          <t>Рязань</t>
        </is>
      </c>
      <c r="D326" s="22" t="n">
        <v>6202</v>
      </c>
    </row>
    <row r="327">
      <c r="A327" s="21" t="inlineStr">
        <is>
          <t>Покупка</t>
        </is>
      </c>
      <c r="B327" s="21" t="inlineStr">
        <is>
          <t>Квартиры новостройки</t>
        </is>
      </c>
      <c r="C327" s="21" t="inlineStr">
        <is>
          <t>Салехард</t>
        </is>
      </c>
      <c r="D327" s="22" t="n">
        <v>72</v>
      </c>
    </row>
    <row r="328">
      <c r="A328" s="21" t="inlineStr">
        <is>
          <t>Покупка</t>
        </is>
      </c>
      <c r="B328" s="21" t="inlineStr">
        <is>
          <t>Квартиры новостройки</t>
        </is>
      </c>
      <c r="C328" s="21" t="inlineStr">
        <is>
          <t>Самара</t>
        </is>
      </c>
      <c r="D328" s="22" t="n">
        <v>6917</v>
      </c>
    </row>
    <row r="329">
      <c r="A329" s="21" t="inlineStr">
        <is>
          <t>Покупка</t>
        </is>
      </c>
      <c r="B329" s="21" t="inlineStr">
        <is>
          <t>Квартиры новостройки</t>
        </is>
      </c>
      <c r="C329" s="21" t="inlineStr">
        <is>
          <t>Саранск</t>
        </is>
      </c>
      <c r="D329" s="22" t="n">
        <v>1292</v>
      </c>
    </row>
    <row r="330">
      <c r="A330" s="21" t="inlineStr">
        <is>
          <t>Покупка</t>
        </is>
      </c>
      <c r="B330" s="21" t="inlineStr">
        <is>
          <t>Квартиры новостройки</t>
        </is>
      </c>
      <c r="C330" s="21" t="inlineStr">
        <is>
          <t>Саратов</t>
        </is>
      </c>
      <c r="D330" s="22" t="n">
        <v>637</v>
      </c>
    </row>
    <row r="331">
      <c r="A331" s="21" t="inlineStr">
        <is>
          <t>Покупка</t>
        </is>
      </c>
      <c r="B331" s="21" t="inlineStr">
        <is>
          <t>Квартиры новостройки</t>
        </is>
      </c>
      <c r="C331" s="21" t="inlineStr">
        <is>
          <t>Сергиев Посад</t>
        </is>
      </c>
      <c r="D331" s="22" t="n">
        <v>22</v>
      </c>
    </row>
    <row r="332">
      <c r="A332" s="21" t="inlineStr">
        <is>
          <t>Покупка</t>
        </is>
      </c>
      <c r="B332" s="21" t="inlineStr">
        <is>
          <t>Квартиры новостройки</t>
        </is>
      </c>
      <c r="C332" s="21" t="inlineStr">
        <is>
          <t>Серпухов</t>
        </is>
      </c>
      <c r="D332" s="22" t="n">
        <v>234</v>
      </c>
    </row>
    <row r="333">
      <c r="A333" s="21" t="inlineStr">
        <is>
          <t>Покупка</t>
        </is>
      </c>
      <c r="B333" s="21" t="inlineStr">
        <is>
          <t>Квартиры новостройки</t>
        </is>
      </c>
      <c r="C333" s="21" t="inlineStr">
        <is>
          <t>Севастополь</t>
        </is>
      </c>
      <c r="D333" s="22" t="n">
        <v>1244</v>
      </c>
    </row>
    <row r="334">
      <c r="A334" s="21" t="inlineStr">
        <is>
          <t>Покупка</t>
        </is>
      </c>
      <c r="B334" s="21" t="inlineStr">
        <is>
          <t>Квартиры новостройки</t>
        </is>
      </c>
      <c r="C334" s="21" t="inlineStr">
        <is>
          <t>Северодвинск</t>
        </is>
      </c>
      <c r="D334" s="22" t="n">
        <v>798</v>
      </c>
    </row>
    <row r="335">
      <c r="A335" s="21" t="inlineStr">
        <is>
          <t>Покупка</t>
        </is>
      </c>
      <c r="B335" s="21" t="inlineStr">
        <is>
          <t>Квартиры новостройки</t>
        </is>
      </c>
      <c r="C335" s="21" t="inlineStr">
        <is>
          <t>Симферополь</t>
        </is>
      </c>
      <c r="D335" s="22" t="n">
        <v>2102</v>
      </c>
    </row>
    <row r="336">
      <c r="A336" s="21" t="inlineStr">
        <is>
          <t>Покупка</t>
        </is>
      </c>
      <c r="B336" s="21" t="inlineStr">
        <is>
          <t>Квартиры новостройки</t>
        </is>
      </c>
      <c r="C336" s="21" t="inlineStr">
        <is>
          <t>Смоленск</t>
        </is>
      </c>
      <c r="D336" s="22" t="n">
        <v>1703</v>
      </c>
    </row>
    <row r="337">
      <c r="A337" s="21" t="inlineStr">
        <is>
          <t>Покупка</t>
        </is>
      </c>
      <c r="B337" s="21" t="inlineStr">
        <is>
          <t>Квартиры новостройки</t>
        </is>
      </c>
      <c r="C337" s="21" t="inlineStr">
        <is>
          <t>Сочи</t>
        </is>
      </c>
      <c r="D337" s="22" t="n">
        <v>3518</v>
      </c>
    </row>
    <row r="338">
      <c r="A338" s="21" t="inlineStr">
        <is>
          <t>Покупка</t>
        </is>
      </c>
      <c r="B338" s="21" t="inlineStr">
        <is>
          <t>Квартиры новостройки</t>
        </is>
      </c>
      <c r="C338" s="21" t="inlineStr">
        <is>
          <t>Санкт-Петербург</t>
        </is>
      </c>
      <c r="D338" s="22" t="n">
        <v>31703</v>
      </c>
    </row>
    <row r="339">
      <c r="A339" s="21" t="inlineStr">
        <is>
          <t>Покупка</t>
        </is>
      </c>
      <c r="B339" s="21" t="inlineStr">
        <is>
          <t>Квартиры новостройки</t>
        </is>
      </c>
      <c r="C339" s="21" t="inlineStr">
        <is>
          <t>Старый Оскол</t>
        </is>
      </c>
      <c r="D339" s="22" t="n">
        <v>90</v>
      </c>
    </row>
    <row r="340">
      <c r="A340" s="21" t="inlineStr">
        <is>
          <t>Покупка</t>
        </is>
      </c>
      <c r="B340" s="21" t="inlineStr">
        <is>
          <t>Квартиры новостройки</t>
        </is>
      </c>
      <c r="C340" s="21" t="inlineStr">
        <is>
          <t>Ставрополь</t>
        </is>
      </c>
      <c r="D340" s="22" t="n">
        <v>3567</v>
      </c>
    </row>
    <row r="341">
      <c r="A341" s="21" t="inlineStr">
        <is>
          <t>Покупка</t>
        </is>
      </c>
      <c r="B341" s="21" t="inlineStr">
        <is>
          <t>Квартиры новостройки</t>
        </is>
      </c>
      <c r="C341" s="21" t="inlineStr">
        <is>
          <t>Стерлитамак</t>
        </is>
      </c>
      <c r="D341" s="22" t="n">
        <v>1549</v>
      </c>
    </row>
    <row r="342">
      <c r="A342" s="21" t="inlineStr">
        <is>
          <t>Покупка</t>
        </is>
      </c>
      <c r="B342" s="21" t="inlineStr">
        <is>
          <t>Квартиры новостройки</t>
        </is>
      </c>
      <c r="C342" s="21" t="inlineStr">
        <is>
          <t>Сургут</t>
        </is>
      </c>
      <c r="D342" s="22" t="n">
        <v>1695</v>
      </c>
    </row>
    <row r="343">
      <c r="A343" s="21" t="inlineStr">
        <is>
          <t>Покупка</t>
        </is>
      </c>
      <c r="B343" s="21" t="inlineStr">
        <is>
          <t>Квартиры новостройки</t>
        </is>
      </c>
      <c r="C343" s="21" t="inlineStr">
        <is>
          <t>Сыктывкар</t>
        </is>
      </c>
      <c r="D343" s="22" t="n">
        <v>301</v>
      </c>
    </row>
    <row r="344">
      <c r="A344" s="21" t="inlineStr">
        <is>
          <t>Покупка</t>
        </is>
      </c>
      <c r="B344" s="21" t="inlineStr">
        <is>
          <t>Квартиры новостройки</t>
        </is>
      </c>
      <c r="C344" s="21" t="inlineStr">
        <is>
          <t>Тамбов</t>
        </is>
      </c>
      <c r="D344" s="22" t="n">
        <v>1038</v>
      </c>
    </row>
    <row r="345">
      <c r="A345" s="21" t="inlineStr">
        <is>
          <t>Покупка</t>
        </is>
      </c>
      <c r="B345" s="21" t="inlineStr">
        <is>
          <t>Квартиры новостройки</t>
        </is>
      </c>
      <c r="C345" s="21" t="inlineStr">
        <is>
          <t>Тольятти</t>
        </is>
      </c>
      <c r="D345" s="22" t="n">
        <v>517</v>
      </c>
    </row>
    <row r="346">
      <c r="A346" s="21" t="inlineStr">
        <is>
          <t>Покупка</t>
        </is>
      </c>
      <c r="B346" s="21" t="inlineStr">
        <is>
          <t>Квартиры новостройки</t>
        </is>
      </c>
      <c r="C346" s="21" t="inlineStr">
        <is>
          <t>Томск</t>
        </is>
      </c>
      <c r="D346" s="22" t="n">
        <v>2399</v>
      </c>
    </row>
    <row r="347">
      <c r="A347" s="21" t="inlineStr">
        <is>
          <t>Покупка</t>
        </is>
      </c>
      <c r="B347" s="21" t="inlineStr">
        <is>
          <t>Квартиры новостройки</t>
        </is>
      </c>
      <c r="C347" s="21" t="inlineStr">
        <is>
          <t>Тула</t>
        </is>
      </c>
      <c r="D347" s="22" t="n">
        <v>6568</v>
      </c>
    </row>
    <row r="348">
      <c r="A348" s="21" t="inlineStr">
        <is>
          <t>Покупка</t>
        </is>
      </c>
      <c r="B348" s="21" t="inlineStr">
        <is>
          <t>Квартиры новостройки</t>
        </is>
      </c>
      <c r="C348" s="21" t="inlineStr">
        <is>
          <t>Тверь</t>
        </is>
      </c>
      <c r="D348" s="22" t="n">
        <v>1428</v>
      </c>
    </row>
    <row r="349">
      <c r="A349" s="21" t="inlineStr">
        <is>
          <t>Покупка</t>
        </is>
      </c>
      <c r="B349" s="21" t="inlineStr">
        <is>
          <t>Квартиры новостройки</t>
        </is>
      </c>
      <c r="C349" s="21" t="inlineStr">
        <is>
          <t>Тюмень</t>
        </is>
      </c>
      <c r="D349" s="22" t="n">
        <v>22459</v>
      </c>
    </row>
    <row r="350">
      <c r="A350" s="21" t="inlineStr">
        <is>
          <t>Покупка</t>
        </is>
      </c>
      <c r="B350" s="21" t="inlineStr">
        <is>
          <t>Квартиры новостройки</t>
        </is>
      </c>
      <c r="C350" s="21" t="inlineStr">
        <is>
          <t>Уфа</t>
        </is>
      </c>
      <c r="D350" s="22" t="n">
        <v>17931</v>
      </c>
    </row>
    <row r="351">
      <c r="A351" s="21" t="inlineStr">
        <is>
          <t>Покупка</t>
        </is>
      </c>
      <c r="B351" s="21" t="inlineStr">
        <is>
          <t>Квартиры новостройки</t>
        </is>
      </c>
      <c r="C351" s="21" t="inlineStr">
        <is>
          <t>Улан-Удэ</t>
        </is>
      </c>
      <c r="D351" s="22" t="n">
        <v>1170</v>
      </c>
    </row>
    <row r="352">
      <c r="A352" s="21" t="inlineStr">
        <is>
          <t>Покупка</t>
        </is>
      </c>
      <c r="B352" s="21" t="inlineStr">
        <is>
          <t>Квартиры новостройки</t>
        </is>
      </c>
      <c r="C352" s="21" t="inlineStr">
        <is>
          <t>Ульяновск</t>
        </is>
      </c>
      <c r="D352" s="22" t="n">
        <v>2566</v>
      </c>
    </row>
    <row r="353">
      <c r="A353" s="21" t="inlineStr">
        <is>
          <t>Покупка</t>
        </is>
      </c>
      <c r="B353" s="21" t="inlineStr">
        <is>
          <t>Квартиры новостройки</t>
        </is>
      </c>
      <c r="C353" s="21" t="inlineStr">
        <is>
          <t>Великий Новгород</t>
        </is>
      </c>
      <c r="D353" s="22" t="n">
        <v>838</v>
      </c>
    </row>
    <row r="354">
      <c r="A354" s="21" t="inlineStr">
        <is>
          <t>Покупка</t>
        </is>
      </c>
      <c r="B354" s="21" t="inlineStr">
        <is>
          <t>Квартиры новостройки</t>
        </is>
      </c>
      <c r="C354" s="21" t="inlineStr">
        <is>
          <t>Владикавказ</t>
        </is>
      </c>
      <c r="D354" s="22" t="n">
        <v>712</v>
      </c>
    </row>
    <row r="355">
      <c r="A355" s="21" t="inlineStr">
        <is>
          <t>Покупка</t>
        </is>
      </c>
      <c r="B355" s="21" t="inlineStr">
        <is>
          <t>Квартиры новостройки</t>
        </is>
      </c>
      <c r="C355" s="21" t="inlineStr">
        <is>
          <t>Владимир</t>
        </is>
      </c>
      <c r="D355" s="22" t="n">
        <v>1995</v>
      </c>
    </row>
    <row r="356">
      <c r="A356" s="21" t="inlineStr">
        <is>
          <t>Покупка</t>
        </is>
      </c>
      <c r="B356" s="21" t="inlineStr">
        <is>
          <t>Квартиры новостройки</t>
        </is>
      </c>
      <c r="C356" s="21" t="inlineStr">
        <is>
          <t>Владивосток</t>
        </is>
      </c>
      <c r="D356" s="22" t="n">
        <v>14225</v>
      </c>
    </row>
    <row r="357">
      <c r="A357" s="21" t="inlineStr">
        <is>
          <t>Покупка</t>
        </is>
      </c>
      <c r="B357" s="21" t="inlineStr">
        <is>
          <t>Квартиры новостройки</t>
        </is>
      </c>
      <c r="C357" s="21" t="inlineStr">
        <is>
          <t>Волгоград</t>
        </is>
      </c>
      <c r="D357" s="22" t="n">
        <v>4593</v>
      </c>
    </row>
    <row r="358">
      <c r="A358" s="21" t="inlineStr">
        <is>
          <t>Покупка</t>
        </is>
      </c>
      <c r="B358" s="21" t="inlineStr">
        <is>
          <t>Квартиры новостройки</t>
        </is>
      </c>
      <c r="C358" s="21" t="inlineStr">
        <is>
          <t>Вологда</t>
        </is>
      </c>
      <c r="D358" s="22" t="n">
        <v>1813</v>
      </c>
    </row>
    <row r="359">
      <c r="A359" s="21" t="inlineStr">
        <is>
          <t>Покупка</t>
        </is>
      </c>
      <c r="B359" s="21" t="inlineStr">
        <is>
          <t>Квартиры новостройки</t>
        </is>
      </c>
      <c r="C359" s="21" t="inlineStr">
        <is>
          <t>Волжский</t>
        </is>
      </c>
      <c r="D359" s="22" t="n">
        <v>120</v>
      </c>
    </row>
    <row r="360">
      <c r="A360" s="21" t="inlineStr">
        <is>
          <t>Покупка</t>
        </is>
      </c>
      <c r="B360" s="21" t="inlineStr">
        <is>
          <t>Квартиры новостройки</t>
        </is>
      </c>
      <c r="C360" s="21" t="inlineStr">
        <is>
          <t>Воронеж</t>
        </is>
      </c>
      <c r="D360" s="22" t="n">
        <v>8553</v>
      </c>
    </row>
    <row r="361">
      <c r="A361" s="21" t="inlineStr">
        <is>
          <t>Покупка</t>
        </is>
      </c>
      <c r="B361" s="21" t="inlineStr">
        <is>
          <t>Квартиры новостройки</t>
        </is>
      </c>
      <c r="C361" s="21" t="inlineStr">
        <is>
          <t>Хабаровск</t>
        </is>
      </c>
      <c r="D361" s="22" t="n">
        <v>6288</v>
      </c>
    </row>
    <row r="362">
      <c r="A362" s="21" t="inlineStr">
        <is>
          <t>Покупка</t>
        </is>
      </c>
      <c r="B362" s="21" t="inlineStr">
        <is>
          <t>Квартиры новостройки</t>
        </is>
      </c>
      <c r="C362" s="21" t="inlineStr">
        <is>
          <t>Ханты-Мансийск</t>
        </is>
      </c>
      <c r="D362" s="22" t="n">
        <v>327</v>
      </c>
    </row>
    <row r="363">
      <c r="A363" s="21" t="inlineStr">
        <is>
          <t>Покупка</t>
        </is>
      </c>
      <c r="B363" s="21" t="inlineStr">
        <is>
          <t>Квартиры новостройки</t>
        </is>
      </c>
      <c r="C363" s="21" t="inlineStr">
        <is>
          <t>Химки</t>
        </is>
      </c>
      <c r="D363" s="22" t="n">
        <v>2686</v>
      </c>
    </row>
    <row r="364">
      <c r="A364" s="21" t="inlineStr">
        <is>
          <t>Покупка</t>
        </is>
      </c>
      <c r="B364" s="21" t="inlineStr">
        <is>
          <t>Квартиры новостройки</t>
        </is>
      </c>
      <c r="C364" s="21" t="inlineStr">
        <is>
          <t>Якутск</t>
        </is>
      </c>
      <c r="D364" s="22" t="n">
        <v>2363</v>
      </c>
    </row>
    <row r="365">
      <c r="A365" s="21" t="inlineStr">
        <is>
          <t>Покупка</t>
        </is>
      </c>
      <c r="B365" s="21" t="inlineStr">
        <is>
          <t>Квартиры новостройки</t>
        </is>
      </c>
      <c r="C365" s="21" t="inlineStr">
        <is>
          <t>Ярославль</t>
        </is>
      </c>
      <c r="D365" s="22" t="n">
        <v>2846</v>
      </c>
    </row>
    <row r="366">
      <c r="A366" s="21" t="inlineStr">
        <is>
          <t>Покупка</t>
        </is>
      </c>
      <c r="B366" s="21" t="inlineStr">
        <is>
          <t>Квартиры новостройки</t>
        </is>
      </c>
      <c r="C366" s="21" t="inlineStr">
        <is>
          <t>Южно-Сахалинск</t>
        </is>
      </c>
      <c r="D366" s="22" t="n">
        <v>1671</v>
      </c>
    </row>
    <row r="367">
      <c r="A367" s="21" t="inlineStr">
        <is>
          <t>Покупка</t>
        </is>
      </c>
      <c r="B367" s="21" t="inlineStr">
        <is>
          <t>Квартиры новостройки</t>
        </is>
      </c>
      <c r="C367" s="21" t="inlineStr">
        <is>
          <t>Жуковский</t>
        </is>
      </c>
      <c r="D367" s="22" t="n">
        <v>409</v>
      </c>
    </row>
    <row r="368">
      <c r="A368" s="27" t="inlineStr">
        <is>
          <t>Покупка</t>
        </is>
      </c>
      <c r="B368" s="17" t="inlineStr">
        <is>
          <t>Комнаты</t>
        </is>
      </c>
      <c r="C368" s="28" t="inlineStr">
        <is>
          <t>Абакан</t>
        </is>
      </c>
      <c r="D368" s="19" t="n">
        <v>116</v>
      </c>
    </row>
    <row r="369">
      <c r="A369" s="21" t="inlineStr">
        <is>
          <t>Покупка</t>
        </is>
      </c>
      <c r="B369" s="21" t="inlineStr">
        <is>
          <t>Комнаты</t>
        </is>
      </c>
      <c r="C369" s="21" t="inlineStr">
        <is>
          <t>Анадырь</t>
        </is>
      </c>
      <c r="D369" s="22" t="n">
        <v>9</v>
      </c>
    </row>
    <row r="370">
      <c r="A370" s="21" t="inlineStr">
        <is>
          <t>Покупка</t>
        </is>
      </c>
      <c r="B370" s="21" t="inlineStr">
        <is>
          <t>Комнаты</t>
        </is>
      </c>
      <c r="C370" s="21" t="inlineStr">
        <is>
          <t>Архангельск</t>
        </is>
      </c>
      <c r="D370" s="22" t="n">
        <v>78</v>
      </c>
    </row>
    <row r="371">
      <c r="A371" s="21" t="inlineStr">
        <is>
          <t>Покупка</t>
        </is>
      </c>
      <c r="B371" s="21" t="inlineStr">
        <is>
          <t>Комнаты</t>
        </is>
      </c>
      <c r="C371" s="21" t="inlineStr">
        <is>
          <t>Астрахань</t>
        </is>
      </c>
      <c r="D371" s="22" t="n">
        <v>50</v>
      </c>
    </row>
    <row r="372">
      <c r="A372" s="21" t="inlineStr">
        <is>
          <t>Покупка</t>
        </is>
      </c>
      <c r="B372" s="21" t="inlineStr">
        <is>
          <t>Комнаты</t>
        </is>
      </c>
      <c r="C372" s="21" t="inlineStr">
        <is>
          <t>Балашиха</t>
        </is>
      </c>
      <c r="D372" s="22" t="n">
        <v>24</v>
      </c>
    </row>
    <row r="373">
      <c r="A373" s="21" t="inlineStr">
        <is>
          <t>Покупка</t>
        </is>
      </c>
      <c r="B373" s="21" t="inlineStr">
        <is>
          <t>Комнаты</t>
        </is>
      </c>
      <c r="C373" s="21" t="inlineStr">
        <is>
          <t>Барнаул</t>
        </is>
      </c>
      <c r="D373" s="22" t="n">
        <v>77</v>
      </c>
    </row>
    <row r="374">
      <c r="A374" s="21" t="inlineStr">
        <is>
          <t>Покупка</t>
        </is>
      </c>
      <c r="B374" s="21" t="inlineStr">
        <is>
          <t>Комнаты</t>
        </is>
      </c>
      <c r="C374" s="21" t="inlineStr">
        <is>
          <t>Белгород</t>
        </is>
      </c>
      <c r="D374" s="22" t="n">
        <v>159</v>
      </c>
    </row>
    <row r="375">
      <c r="A375" s="21" t="inlineStr">
        <is>
          <t>Покупка</t>
        </is>
      </c>
      <c r="B375" s="21" t="inlineStr">
        <is>
          <t>Комнаты</t>
        </is>
      </c>
      <c r="C375" s="21" t="inlineStr">
        <is>
          <t>Благовещенск</t>
        </is>
      </c>
      <c r="D375" s="22" t="n">
        <v>83</v>
      </c>
    </row>
    <row r="376">
      <c r="A376" s="21" t="inlineStr">
        <is>
          <t>Покупка</t>
        </is>
      </c>
      <c r="B376" s="21" t="inlineStr">
        <is>
          <t>Комнаты</t>
        </is>
      </c>
      <c r="C376" s="21" t="inlineStr">
        <is>
          <t>Братск</t>
        </is>
      </c>
      <c r="D376" s="22" t="n">
        <v>14</v>
      </c>
    </row>
    <row r="377">
      <c r="A377" s="21" t="inlineStr">
        <is>
          <t>Покупка</t>
        </is>
      </c>
      <c r="B377" s="21" t="inlineStr">
        <is>
          <t>Комнаты</t>
        </is>
      </c>
      <c r="C377" s="21" t="inlineStr">
        <is>
          <t>Брянск</t>
        </is>
      </c>
      <c r="D377" s="22" t="n">
        <v>156</v>
      </c>
    </row>
    <row r="378">
      <c r="A378" s="21" t="inlineStr">
        <is>
          <t>Покупка</t>
        </is>
      </c>
      <c r="B378" s="21" t="inlineStr">
        <is>
          <t>Комнаты</t>
        </is>
      </c>
      <c r="C378" s="21" t="inlineStr">
        <is>
          <t>Чебоксары</t>
        </is>
      </c>
      <c r="D378" s="22" t="n">
        <v>150</v>
      </c>
    </row>
    <row r="379">
      <c r="A379" s="21" t="inlineStr">
        <is>
          <t>Покупка</t>
        </is>
      </c>
      <c r="B379" s="21" t="inlineStr">
        <is>
          <t>Комнаты</t>
        </is>
      </c>
      <c r="C379" s="21" t="inlineStr">
        <is>
          <t>Челябинск</t>
        </is>
      </c>
      <c r="D379" s="22" t="n">
        <v>93</v>
      </c>
    </row>
    <row r="380">
      <c r="A380" s="21" t="inlineStr">
        <is>
          <t>Покупка</t>
        </is>
      </c>
      <c r="B380" s="21" t="inlineStr">
        <is>
          <t>Комнаты</t>
        </is>
      </c>
      <c r="C380" s="21" t="inlineStr">
        <is>
          <t>Череповец</t>
        </is>
      </c>
      <c r="D380" s="22" t="n">
        <v>58</v>
      </c>
    </row>
    <row r="381">
      <c r="A381" s="21" t="inlineStr">
        <is>
          <t>Покупка</t>
        </is>
      </c>
      <c r="B381" s="21" t="inlineStr">
        <is>
          <t>Комнаты</t>
        </is>
      </c>
      <c r="C381" s="21" t="inlineStr">
        <is>
          <t>Чита</t>
        </is>
      </c>
      <c r="D381" s="22" t="n">
        <v>68</v>
      </c>
    </row>
    <row r="382">
      <c r="A382" s="21" t="inlineStr">
        <is>
          <t>Покупка</t>
        </is>
      </c>
      <c r="B382" s="21" t="inlineStr">
        <is>
          <t>Комнаты</t>
        </is>
      </c>
      <c r="C382" s="21" t="inlineStr">
        <is>
          <t>Долгопрудный</t>
        </is>
      </c>
      <c r="D382" s="22" t="n">
        <v>6</v>
      </c>
    </row>
    <row r="383">
      <c r="A383" s="21" t="inlineStr">
        <is>
          <t>Покупка</t>
        </is>
      </c>
      <c r="B383" s="21" t="inlineStr">
        <is>
          <t>Комнаты</t>
        </is>
      </c>
      <c r="C383" s="21" t="inlineStr">
        <is>
          <t>Домодедово</t>
        </is>
      </c>
      <c r="D383" s="22" t="n">
        <v>11</v>
      </c>
    </row>
    <row r="384">
      <c r="A384" s="21" t="inlineStr">
        <is>
          <t>Покупка</t>
        </is>
      </c>
      <c r="B384" s="21" t="inlineStr">
        <is>
          <t>Комнаты</t>
        </is>
      </c>
      <c r="C384" s="21" t="inlineStr">
        <is>
          <t>Дзержинск</t>
        </is>
      </c>
      <c r="D384" s="22" t="n">
        <v>23</v>
      </c>
    </row>
    <row r="385">
      <c r="A385" s="21" t="inlineStr">
        <is>
          <t>Покупка</t>
        </is>
      </c>
      <c r="B385" s="21" t="inlineStr">
        <is>
          <t>Комнаты</t>
        </is>
      </c>
      <c r="C385" s="21" t="inlineStr">
        <is>
          <t>Екатеринбург</t>
        </is>
      </c>
      <c r="D385" s="22" t="n">
        <v>479</v>
      </c>
    </row>
    <row r="386">
      <c r="A386" s="21" t="inlineStr">
        <is>
          <t>Покупка</t>
        </is>
      </c>
      <c r="B386" s="21" t="inlineStr">
        <is>
          <t>Комнаты</t>
        </is>
      </c>
      <c r="C386" s="21" t="inlineStr">
        <is>
          <t>Электросталь</t>
        </is>
      </c>
      <c r="D386" s="22" t="n">
        <v>13</v>
      </c>
    </row>
    <row r="387">
      <c r="A387" s="21" t="inlineStr">
        <is>
          <t>Покупка</t>
        </is>
      </c>
      <c r="B387" s="21" t="inlineStr">
        <is>
          <t>Комнаты</t>
        </is>
      </c>
      <c r="C387" s="21" t="inlineStr">
        <is>
          <t>Энгельс</t>
        </is>
      </c>
      <c r="D387" s="22" t="n">
        <v>11</v>
      </c>
    </row>
    <row r="388">
      <c r="A388" s="21" t="inlineStr">
        <is>
          <t>Покупка</t>
        </is>
      </c>
      <c r="B388" s="21" t="inlineStr">
        <is>
          <t>Комнаты</t>
        </is>
      </c>
      <c r="C388" s="21" t="inlineStr">
        <is>
          <t>Горно-Алтайск</t>
        </is>
      </c>
      <c r="D388" s="22" t="n">
        <v>33</v>
      </c>
    </row>
    <row r="389">
      <c r="A389" s="21" t="inlineStr">
        <is>
          <t>Покупка</t>
        </is>
      </c>
      <c r="B389" s="21" t="inlineStr">
        <is>
          <t>Комнаты</t>
        </is>
      </c>
      <c r="C389" s="21" t="inlineStr">
        <is>
          <t>Иркутск</t>
        </is>
      </c>
      <c r="D389" s="22" t="n">
        <v>75</v>
      </c>
    </row>
    <row r="390">
      <c r="A390" s="21" t="inlineStr">
        <is>
          <t>Покупка</t>
        </is>
      </c>
      <c r="B390" s="21" t="inlineStr">
        <is>
          <t>Комнаты</t>
        </is>
      </c>
      <c r="C390" s="21" t="inlineStr">
        <is>
          <t>Иваново</t>
        </is>
      </c>
      <c r="D390" s="22" t="n">
        <v>48</v>
      </c>
    </row>
    <row r="391">
      <c r="A391" s="21" t="inlineStr">
        <is>
          <t>Покупка</t>
        </is>
      </c>
      <c r="B391" s="21" t="inlineStr">
        <is>
          <t>Комнаты</t>
        </is>
      </c>
      <c r="C391" s="21" t="inlineStr">
        <is>
          <t>Ижевск</t>
        </is>
      </c>
      <c r="D391" s="22" t="n">
        <v>143</v>
      </c>
    </row>
    <row r="392">
      <c r="A392" s="21" t="inlineStr">
        <is>
          <t>Покупка</t>
        </is>
      </c>
      <c r="B392" s="21" t="inlineStr">
        <is>
          <t>Комнаты</t>
        </is>
      </c>
      <c r="C392" s="21" t="inlineStr">
        <is>
          <t>Йошкар-Ола</t>
        </is>
      </c>
      <c r="D392" s="22" t="n">
        <v>64</v>
      </c>
    </row>
    <row r="393">
      <c r="A393" s="21" t="inlineStr">
        <is>
          <t>Покупка</t>
        </is>
      </c>
      <c r="B393" s="21" t="inlineStr">
        <is>
          <t>Комнаты</t>
        </is>
      </c>
      <c r="C393" s="21" t="inlineStr">
        <is>
          <t>Калининград</t>
        </is>
      </c>
      <c r="D393" s="22" t="n">
        <v>50</v>
      </c>
    </row>
    <row r="394">
      <c r="A394" s="21" t="inlineStr">
        <is>
          <t>Покупка</t>
        </is>
      </c>
      <c r="B394" s="21" t="inlineStr">
        <is>
          <t>Комнаты</t>
        </is>
      </c>
      <c r="C394" s="21" t="inlineStr">
        <is>
          <t>Калуга</t>
        </is>
      </c>
      <c r="D394" s="22" t="n">
        <v>236</v>
      </c>
    </row>
    <row r="395">
      <c r="A395" s="21" t="inlineStr">
        <is>
          <t>Покупка</t>
        </is>
      </c>
      <c r="B395" s="21" t="inlineStr">
        <is>
          <t>Комнаты</t>
        </is>
      </c>
      <c r="C395" s="21" t="inlineStr">
        <is>
          <t>Казань</t>
        </is>
      </c>
      <c r="D395" s="22" t="n">
        <v>174</v>
      </c>
    </row>
    <row r="396">
      <c r="A396" s="21" t="inlineStr">
        <is>
          <t>Покупка</t>
        </is>
      </c>
      <c r="B396" s="21" t="inlineStr">
        <is>
          <t>Комнаты</t>
        </is>
      </c>
      <c r="C396" s="21" t="inlineStr">
        <is>
          <t>Кемерово</t>
        </is>
      </c>
      <c r="D396" s="22" t="n">
        <v>24</v>
      </c>
    </row>
    <row r="397">
      <c r="A397" s="21" t="inlineStr">
        <is>
          <t>Покупка</t>
        </is>
      </c>
      <c r="B397" s="21" t="inlineStr">
        <is>
          <t>Комнаты</t>
        </is>
      </c>
      <c r="C397" s="21" t="inlineStr">
        <is>
          <t>Киров</t>
        </is>
      </c>
      <c r="D397" s="22" t="n">
        <v>104</v>
      </c>
    </row>
    <row r="398">
      <c r="A398" s="21" t="inlineStr">
        <is>
          <t>Покупка</t>
        </is>
      </c>
      <c r="B398" s="21" t="inlineStr">
        <is>
          <t>Комнаты</t>
        </is>
      </c>
      <c r="C398" s="21" t="inlineStr">
        <is>
          <t>Коломна</t>
        </is>
      </c>
      <c r="D398" s="22" t="n">
        <v>9</v>
      </c>
    </row>
    <row r="399">
      <c r="A399" s="21" t="inlineStr">
        <is>
          <t>Покупка</t>
        </is>
      </c>
      <c r="B399" s="21" t="inlineStr">
        <is>
          <t>Комнаты</t>
        </is>
      </c>
      <c r="C399" s="21" t="inlineStr">
        <is>
          <t>Комсомольск-на-Амуре</t>
        </is>
      </c>
      <c r="D399" s="22" t="n">
        <v>42</v>
      </c>
    </row>
    <row r="400">
      <c r="A400" s="21" t="inlineStr">
        <is>
          <t>Покупка</t>
        </is>
      </c>
      <c r="B400" s="21" t="inlineStr">
        <is>
          <t>Комнаты</t>
        </is>
      </c>
      <c r="C400" s="21" t="inlineStr">
        <is>
          <t>Королёв</t>
        </is>
      </c>
      <c r="D400" s="22" t="n">
        <v>31</v>
      </c>
    </row>
    <row r="401">
      <c r="A401" s="21" t="inlineStr">
        <is>
          <t>Покупка</t>
        </is>
      </c>
      <c r="B401" s="21" t="inlineStr">
        <is>
          <t>Комнаты</t>
        </is>
      </c>
      <c r="C401" s="21" t="inlineStr">
        <is>
          <t>Кострома</t>
        </is>
      </c>
      <c r="D401" s="22" t="n">
        <v>67</v>
      </c>
    </row>
    <row r="402">
      <c r="A402" s="21" t="inlineStr">
        <is>
          <t>Покупка</t>
        </is>
      </c>
      <c r="B402" s="21" t="inlineStr">
        <is>
          <t>Комнаты</t>
        </is>
      </c>
      <c r="C402" s="21" t="inlineStr">
        <is>
          <t>Краснодар</t>
        </is>
      </c>
      <c r="D402" s="22" t="n">
        <v>133</v>
      </c>
    </row>
    <row r="403">
      <c r="A403" s="21" t="inlineStr">
        <is>
          <t>Покупка</t>
        </is>
      </c>
      <c r="B403" s="21" t="inlineStr">
        <is>
          <t>Комнаты</t>
        </is>
      </c>
      <c r="C403" s="21" t="inlineStr">
        <is>
          <t>Красногорск</t>
        </is>
      </c>
      <c r="D403" s="22" t="n">
        <v>8</v>
      </c>
    </row>
    <row r="404">
      <c r="A404" s="21" t="inlineStr">
        <is>
          <t>Покупка</t>
        </is>
      </c>
      <c r="B404" s="21" t="inlineStr">
        <is>
          <t>Комнаты</t>
        </is>
      </c>
      <c r="C404" s="21" t="inlineStr">
        <is>
          <t>Красноярск</t>
        </is>
      </c>
      <c r="D404" s="22" t="n">
        <v>255</v>
      </c>
    </row>
    <row r="405">
      <c r="A405" s="21" t="inlineStr">
        <is>
          <t>Покупка</t>
        </is>
      </c>
      <c r="B405" s="21" t="inlineStr">
        <is>
          <t>Комнаты</t>
        </is>
      </c>
      <c r="C405" s="21" t="inlineStr">
        <is>
          <t>Курган</t>
        </is>
      </c>
      <c r="D405" s="22" t="n">
        <v>135</v>
      </c>
    </row>
    <row r="406">
      <c r="A406" s="21" t="inlineStr">
        <is>
          <t>Покупка</t>
        </is>
      </c>
      <c r="B406" s="21" t="inlineStr">
        <is>
          <t>Комнаты</t>
        </is>
      </c>
      <c r="C406" s="21" t="inlineStr">
        <is>
          <t>Курск</t>
        </is>
      </c>
      <c r="D406" s="22" t="n">
        <v>55</v>
      </c>
    </row>
    <row r="407">
      <c r="A407" s="21" t="inlineStr">
        <is>
          <t>Покупка</t>
        </is>
      </c>
      <c r="B407" s="21" t="inlineStr">
        <is>
          <t>Комнаты</t>
        </is>
      </c>
      <c r="C407" s="21" t="inlineStr">
        <is>
          <t>Кызыл</t>
        </is>
      </c>
      <c r="D407" s="22" t="n">
        <v>8</v>
      </c>
    </row>
    <row r="408">
      <c r="A408" s="21" t="inlineStr">
        <is>
          <t>Покупка</t>
        </is>
      </c>
      <c r="B408" s="21" t="inlineStr">
        <is>
          <t>Комнаты</t>
        </is>
      </c>
      <c r="C408" s="21" t="inlineStr">
        <is>
          <t>Липецк</t>
        </is>
      </c>
      <c r="D408" s="22" t="n">
        <v>122</v>
      </c>
    </row>
    <row r="409">
      <c r="A409" s="21" t="inlineStr">
        <is>
          <t>Покупка</t>
        </is>
      </c>
      <c r="B409" s="21" t="inlineStr">
        <is>
          <t>Комнаты</t>
        </is>
      </c>
      <c r="C409" s="21" t="inlineStr">
        <is>
          <t>Люберцы</t>
        </is>
      </c>
      <c r="D409" s="22" t="n">
        <v>21</v>
      </c>
    </row>
    <row r="410">
      <c r="A410" s="21" t="inlineStr">
        <is>
          <t>Покупка</t>
        </is>
      </c>
      <c r="B410" s="21" t="inlineStr">
        <is>
          <t>Комнаты</t>
        </is>
      </c>
      <c r="C410" s="21" t="inlineStr">
        <is>
          <t>Магадан</t>
        </is>
      </c>
      <c r="D410" s="22" t="n">
        <v>13</v>
      </c>
    </row>
    <row r="411">
      <c r="A411" s="21" t="inlineStr">
        <is>
          <t>Покупка</t>
        </is>
      </c>
      <c r="B411" s="21" t="inlineStr">
        <is>
          <t>Комнаты</t>
        </is>
      </c>
      <c r="C411" s="21" t="inlineStr">
        <is>
          <t>Магнитогорск</t>
        </is>
      </c>
      <c r="D411" s="22" t="n">
        <v>11</v>
      </c>
    </row>
    <row r="412">
      <c r="A412" s="21" t="inlineStr">
        <is>
          <t>Покупка</t>
        </is>
      </c>
      <c r="B412" s="21" t="inlineStr">
        <is>
          <t>Комнаты</t>
        </is>
      </c>
      <c r="C412" s="21" t="inlineStr">
        <is>
          <t>Майкоп</t>
        </is>
      </c>
      <c r="D412" s="22" t="n">
        <v>13</v>
      </c>
    </row>
    <row r="413">
      <c r="A413" s="21" t="inlineStr">
        <is>
          <t>Покупка</t>
        </is>
      </c>
      <c r="B413" s="21" t="inlineStr">
        <is>
          <t>Комнаты</t>
        </is>
      </c>
      <c r="C413" s="21" t="inlineStr">
        <is>
          <t>Москва</t>
        </is>
      </c>
      <c r="D413" s="22" t="n">
        <v>532</v>
      </c>
    </row>
    <row r="414">
      <c r="A414" s="21" t="inlineStr">
        <is>
          <t>Покупка</t>
        </is>
      </c>
      <c r="B414" s="21" t="inlineStr">
        <is>
          <t>Комнаты</t>
        </is>
      </c>
      <c r="C414" s="21" t="inlineStr">
        <is>
          <t>Мурманск</t>
        </is>
      </c>
      <c r="D414" s="22" t="n">
        <v>31</v>
      </c>
    </row>
    <row r="415">
      <c r="A415" s="21" t="inlineStr">
        <is>
          <t>Покупка</t>
        </is>
      </c>
      <c r="B415" s="21" t="inlineStr">
        <is>
          <t>Комнаты</t>
        </is>
      </c>
      <c r="C415" s="21" t="inlineStr">
        <is>
          <t>Мытищи</t>
        </is>
      </c>
      <c r="D415" s="22" t="n">
        <v>13</v>
      </c>
    </row>
    <row r="416">
      <c r="A416" s="21" t="inlineStr">
        <is>
          <t>Покупка</t>
        </is>
      </c>
      <c r="B416" s="21" t="inlineStr">
        <is>
          <t>Комнаты</t>
        </is>
      </c>
      <c r="C416" s="21" t="inlineStr">
        <is>
          <t>Набережные Челны</t>
        </is>
      </c>
      <c r="D416" s="22" t="n">
        <v>80</v>
      </c>
    </row>
    <row r="417">
      <c r="A417" s="21" t="inlineStr">
        <is>
          <t>Покупка</t>
        </is>
      </c>
      <c r="B417" s="21" t="inlineStr">
        <is>
          <t>Комнаты</t>
        </is>
      </c>
      <c r="C417" s="21" t="inlineStr">
        <is>
          <t>Нефтеюганск</t>
        </is>
      </c>
      <c r="D417" s="22" t="n">
        <v>27</v>
      </c>
    </row>
    <row r="418">
      <c r="A418" s="21" t="inlineStr">
        <is>
          <t>Покупка</t>
        </is>
      </c>
      <c r="B418" s="21" t="inlineStr">
        <is>
          <t>Комнаты</t>
        </is>
      </c>
      <c r="C418" s="21" t="inlineStr">
        <is>
          <t>Нижневартовск</t>
        </is>
      </c>
      <c r="D418" s="22" t="n">
        <v>76</v>
      </c>
    </row>
    <row r="419">
      <c r="A419" s="21" t="inlineStr">
        <is>
          <t>Покупка</t>
        </is>
      </c>
      <c r="B419" s="21" t="inlineStr">
        <is>
          <t>Комнаты</t>
        </is>
      </c>
      <c r="C419" s="21" t="inlineStr">
        <is>
          <t>Нижний Тагил</t>
        </is>
      </c>
      <c r="D419" s="22" t="n">
        <v>158</v>
      </c>
    </row>
    <row r="420">
      <c r="A420" s="21" t="inlineStr">
        <is>
          <t>Покупка</t>
        </is>
      </c>
      <c r="B420" s="21" t="inlineStr">
        <is>
          <t>Комнаты</t>
        </is>
      </c>
      <c r="C420" s="21" t="inlineStr">
        <is>
          <t>Нижний Новгород</t>
        </is>
      </c>
      <c r="D420" s="22" t="n">
        <v>250</v>
      </c>
    </row>
    <row r="421">
      <c r="A421" s="21" t="inlineStr">
        <is>
          <t>Покупка</t>
        </is>
      </c>
      <c r="B421" s="21" t="inlineStr">
        <is>
          <t>Комнаты</t>
        </is>
      </c>
      <c r="C421" s="21" t="inlineStr">
        <is>
          <t>Ногинск</t>
        </is>
      </c>
      <c r="D421" s="22" t="n">
        <v>19</v>
      </c>
    </row>
    <row r="422">
      <c r="A422" s="21" t="inlineStr">
        <is>
          <t>Покупка</t>
        </is>
      </c>
      <c r="B422" s="21" t="inlineStr">
        <is>
          <t>Комнаты</t>
        </is>
      </c>
      <c r="C422" s="21" t="inlineStr">
        <is>
          <t>Новокузнецк</t>
        </is>
      </c>
      <c r="D422" s="22" t="n">
        <v>44</v>
      </c>
    </row>
    <row r="423">
      <c r="A423" s="21" t="inlineStr">
        <is>
          <t>Покупка</t>
        </is>
      </c>
      <c r="B423" s="21" t="inlineStr">
        <is>
          <t>Комнаты</t>
        </is>
      </c>
      <c r="C423" s="21" t="inlineStr">
        <is>
          <t>Новороссийск</t>
        </is>
      </c>
      <c r="D423" s="22" t="n">
        <v>57</v>
      </c>
    </row>
    <row r="424">
      <c r="A424" s="21" t="inlineStr">
        <is>
          <t>Покупка</t>
        </is>
      </c>
      <c r="B424" s="21" t="inlineStr">
        <is>
          <t>Комнаты</t>
        </is>
      </c>
      <c r="C424" s="21" t="inlineStr">
        <is>
          <t>Новосибирск</t>
        </is>
      </c>
      <c r="D424" s="22" t="n">
        <v>409</v>
      </c>
    </row>
    <row r="425">
      <c r="A425" s="21" t="inlineStr">
        <is>
          <t>Покупка</t>
        </is>
      </c>
      <c r="B425" s="21" t="inlineStr">
        <is>
          <t>Комнаты</t>
        </is>
      </c>
      <c r="C425" s="21" t="inlineStr">
        <is>
          <t>Обнинск</t>
        </is>
      </c>
      <c r="D425" s="22" t="n">
        <v>51</v>
      </c>
    </row>
    <row r="426">
      <c r="A426" s="21" t="inlineStr">
        <is>
          <t>Покупка</t>
        </is>
      </c>
      <c r="B426" s="21" t="inlineStr">
        <is>
          <t>Комнаты</t>
        </is>
      </c>
      <c r="C426" s="21" t="inlineStr">
        <is>
          <t>Одинцово</t>
        </is>
      </c>
      <c r="D426" s="22" t="n">
        <v>7</v>
      </c>
    </row>
    <row r="427">
      <c r="A427" s="21" t="inlineStr">
        <is>
          <t>Покупка</t>
        </is>
      </c>
      <c r="B427" s="21" t="inlineStr">
        <is>
          <t>Комнаты</t>
        </is>
      </c>
      <c r="C427" s="21" t="inlineStr">
        <is>
          <t>Омск</t>
        </is>
      </c>
      <c r="D427" s="22" t="n">
        <v>280</v>
      </c>
    </row>
    <row r="428">
      <c r="A428" s="21" t="inlineStr">
        <is>
          <t>Покупка</t>
        </is>
      </c>
      <c r="B428" s="21" t="inlineStr">
        <is>
          <t>Комнаты</t>
        </is>
      </c>
      <c r="C428" s="21" t="inlineStr">
        <is>
          <t>Оренбург</t>
        </is>
      </c>
      <c r="D428" s="22" t="n">
        <v>62</v>
      </c>
    </row>
    <row r="429">
      <c r="A429" s="21" t="inlineStr">
        <is>
          <t>Покупка</t>
        </is>
      </c>
      <c r="B429" s="21" t="inlineStr">
        <is>
          <t>Комнаты</t>
        </is>
      </c>
      <c r="C429" s="21" t="inlineStr">
        <is>
          <t>Орехово-Зуево</t>
        </is>
      </c>
      <c r="D429" s="22" t="n">
        <v>15</v>
      </c>
    </row>
    <row r="430">
      <c r="A430" s="21" t="inlineStr">
        <is>
          <t>Покупка</t>
        </is>
      </c>
      <c r="B430" s="21" t="inlineStr">
        <is>
          <t>Комнаты</t>
        </is>
      </c>
      <c r="C430" s="21" t="inlineStr">
        <is>
          <t>Орёл</t>
        </is>
      </c>
      <c r="D430" s="22" t="n">
        <v>38</v>
      </c>
    </row>
    <row r="431">
      <c r="A431" s="21" t="inlineStr">
        <is>
          <t>Покупка</t>
        </is>
      </c>
      <c r="B431" s="21" t="inlineStr">
        <is>
          <t>Комнаты</t>
        </is>
      </c>
      <c r="C431" s="21" t="inlineStr">
        <is>
          <t>Пенза</t>
        </is>
      </c>
      <c r="D431" s="22" t="n">
        <v>142</v>
      </c>
    </row>
    <row r="432">
      <c r="A432" s="21" t="inlineStr">
        <is>
          <t>Покупка</t>
        </is>
      </c>
      <c r="B432" s="21" t="inlineStr">
        <is>
          <t>Комнаты</t>
        </is>
      </c>
      <c r="C432" s="21" t="inlineStr">
        <is>
          <t>Пермь</t>
        </is>
      </c>
      <c r="D432" s="22" t="n">
        <v>198</v>
      </c>
    </row>
    <row r="433">
      <c r="A433" s="21" t="inlineStr">
        <is>
          <t>Покупка</t>
        </is>
      </c>
      <c r="B433" s="21" t="inlineStr">
        <is>
          <t>Комнаты</t>
        </is>
      </c>
      <c r="C433" s="21" t="inlineStr">
        <is>
          <t>Петропавловск-Камчатский</t>
        </is>
      </c>
      <c r="D433" s="22" t="n">
        <v>19</v>
      </c>
    </row>
    <row r="434">
      <c r="A434" s="21" t="inlineStr">
        <is>
          <t>Покупка</t>
        </is>
      </c>
      <c r="B434" s="21" t="inlineStr">
        <is>
          <t>Комнаты</t>
        </is>
      </c>
      <c r="C434" s="21" t="inlineStr">
        <is>
          <t>Петрозаводск</t>
        </is>
      </c>
      <c r="D434" s="22" t="n">
        <v>47</v>
      </c>
    </row>
    <row r="435">
      <c r="A435" s="21" t="inlineStr">
        <is>
          <t>Покупка</t>
        </is>
      </c>
      <c r="B435" s="21" t="inlineStr">
        <is>
          <t>Комнаты</t>
        </is>
      </c>
      <c r="C435" s="21" t="inlineStr">
        <is>
          <t>Подольск</t>
        </is>
      </c>
      <c r="D435" s="22" t="n">
        <v>73</v>
      </c>
    </row>
    <row r="436">
      <c r="A436" s="21" t="inlineStr">
        <is>
          <t>Покупка</t>
        </is>
      </c>
      <c r="B436" s="21" t="inlineStr">
        <is>
          <t>Комнаты</t>
        </is>
      </c>
      <c r="C436" s="21" t="inlineStr">
        <is>
          <t>Прокопьевск</t>
        </is>
      </c>
      <c r="D436" s="22" t="n">
        <v>14</v>
      </c>
    </row>
    <row r="437">
      <c r="A437" s="21" t="inlineStr">
        <is>
          <t>Покупка</t>
        </is>
      </c>
      <c r="B437" s="21" t="inlineStr">
        <is>
          <t>Комнаты</t>
        </is>
      </c>
      <c r="C437" s="21" t="inlineStr">
        <is>
          <t>Псков</t>
        </is>
      </c>
      <c r="D437" s="22" t="n">
        <v>32</v>
      </c>
    </row>
    <row r="438">
      <c r="A438" s="21" t="inlineStr">
        <is>
          <t>Покупка</t>
        </is>
      </c>
      <c r="B438" s="21" t="inlineStr">
        <is>
          <t>Комнаты</t>
        </is>
      </c>
      <c r="C438" s="21" t="inlineStr">
        <is>
          <t>Пушкино</t>
        </is>
      </c>
      <c r="D438" s="22" t="n">
        <v>8</v>
      </c>
    </row>
    <row r="439">
      <c r="A439" s="21" t="inlineStr">
        <is>
          <t>Покупка</t>
        </is>
      </c>
      <c r="B439" s="21" t="inlineStr">
        <is>
          <t>Комнаты</t>
        </is>
      </c>
      <c r="C439" s="21" t="inlineStr">
        <is>
          <t>Раменское</t>
        </is>
      </c>
      <c r="D439" s="22" t="n">
        <v>10</v>
      </c>
    </row>
    <row r="440">
      <c r="A440" s="21" t="inlineStr">
        <is>
          <t>Покупка</t>
        </is>
      </c>
      <c r="B440" s="21" t="inlineStr">
        <is>
          <t>Комнаты</t>
        </is>
      </c>
      <c r="C440" s="21" t="inlineStr">
        <is>
          <t>Реутов</t>
        </is>
      </c>
      <c r="D440" s="22" t="n">
        <v>9</v>
      </c>
    </row>
    <row r="441">
      <c r="A441" s="21" t="inlineStr">
        <is>
          <t>Покупка</t>
        </is>
      </c>
      <c r="B441" s="21" t="inlineStr">
        <is>
          <t>Комнаты</t>
        </is>
      </c>
      <c r="C441" s="21" t="inlineStr">
        <is>
          <t>Ростов-на-Дону</t>
        </is>
      </c>
      <c r="D441" s="22" t="n">
        <v>163</v>
      </c>
    </row>
    <row r="442">
      <c r="A442" s="21" t="inlineStr">
        <is>
          <t>Покупка</t>
        </is>
      </c>
      <c r="B442" s="21" t="inlineStr">
        <is>
          <t>Комнаты</t>
        </is>
      </c>
      <c r="C442" s="21" t="inlineStr">
        <is>
          <t>Рязань</t>
        </is>
      </c>
      <c r="D442" s="22" t="n">
        <v>80</v>
      </c>
    </row>
    <row r="443">
      <c r="A443" s="21" t="inlineStr">
        <is>
          <t>Покупка</t>
        </is>
      </c>
      <c r="B443" s="21" t="inlineStr">
        <is>
          <t>Комнаты</t>
        </is>
      </c>
      <c r="C443" s="21" t="inlineStr">
        <is>
          <t>Самара</t>
        </is>
      </c>
      <c r="D443" s="22" t="n">
        <v>115</v>
      </c>
    </row>
    <row r="444">
      <c r="A444" s="21" t="inlineStr">
        <is>
          <t>Покупка</t>
        </is>
      </c>
      <c r="B444" s="21" t="inlineStr">
        <is>
          <t>Комнаты</t>
        </is>
      </c>
      <c r="C444" s="21" t="inlineStr">
        <is>
          <t>Саранск</t>
        </is>
      </c>
      <c r="D444" s="22" t="n">
        <v>67</v>
      </c>
    </row>
    <row r="445">
      <c r="A445" s="21" t="inlineStr">
        <is>
          <t>Покупка</t>
        </is>
      </c>
      <c r="B445" s="21" t="inlineStr">
        <is>
          <t>Комнаты</t>
        </is>
      </c>
      <c r="C445" s="21" t="inlineStr">
        <is>
          <t>Саратов</t>
        </is>
      </c>
      <c r="D445" s="22" t="n">
        <v>59</v>
      </c>
    </row>
    <row r="446">
      <c r="A446" s="21" t="inlineStr">
        <is>
          <t>Покупка</t>
        </is>
      </c>
      <c r="B446" s="21" t="inlineStr">
        <is>
          <t>Комнаты</t>
        </is>
      </c>
      <c r="C446" s="21" t="inlineStr">
        <is>
          <t>Сергиев Посад</t>
        </is>
      </c>
      <c r="D446" s="22" t="n">
        <v>6</v>
      </c>
    </row>
    <row r="447">
      <c r="A447" s="21" t="inlineStr">
        <is>
          <t>Покупка</t>
        </is>
      </c>
      <c r="B447" s="21" t="inlineStr">
        <is>
          <t>Комнаты</t>
        </is>
      </c>
      <c r="C447" s="21" t="inlineStr">
        <is>
          <t>Серпухов</t>
        </is>
      </c>
      <c r="D447" s="22" t="n">
        <v>12</v>
      </c>
    </row>
    <row r="448">
      <c r="A448" s="21" t="inlineStr">
        <is>
          <t>Покупка</t>
        </is>
      </c>
      <c r="B448" s="21" t="inlineStr">
        <is>
          <t>Комнаты</t>
        </is>
      </c>
      <c r="C448" s="21" t="inlineStr">
        <is>
          <t>Севастополь</t>
        </is>
      </c>
      <c r="D448" s="22" t="n">
        <v>166</v>
      </c>
    </row>
    <row r="449">
      <c r="A449" s="21" t="inlineStr">
        <is>
          <t>Покупка</t>
        </is>
      </c>
      <c r="B449" s="21" t="inlineStr">
        <is>
          <t>Комнаты</t>
        </is>
      </c>
      <c r="C449" s="21" t="inlineStr">
        <is>
          <t>Северодвинск</t>
        </is>
      </c>
      <c r="D449" s="22" t="n">
        <v>207</v>
      </c>
    </row>
    <row r="450">
      <c r="A450" s="21" t="inlineStr">
        <is>
          <t>Покупка</t>
        </is>
      </c>
      <c r="B450" s="21" t="inlineStr">
        <is>
          <t>Комнаты</t>
        </is>
      </c>
      <c r="C450" s="21" t="inlineStr">
        <is>
          <t>Симферополь</t>
        </is>
      </c>
      <c r="D450" s="22" t="n">
        <v>45</v>
      </c>
    </row>
    <row r="451">
      <c r="A451" s="21" t="inlineStr">
        <is>
          <t>Покупка</t>
        </is>
      </c>
      <c r="B451" s="21" t="inlineStr">
        <is>
          <t>Комнаты</t>
        </is>
      </c>
      <c r="C451" s="21" t="inlineStr">
        <is>
          <t>Смоленск</t>
        </is>
      </c>
      <c r="D451" s="22" t="n">
        <v>140</v>
      </c>
    </row>
    <row r="452">
      <c r="A452" s="21" t="inlineStr">
        <is>
          <t>Покупка</t>
        </is>
      </c>
      <c r="B452" s="21" t="inlineStr">
        <is>
          <t>Комнаты</t>
        </is>
      </c>
      <c r="C452" s="21" t="inlineStr">
        <is>
          <t>Сочи</t>
        </is>
      </c>
      <c r="D452" s="22" t="n">
        <v>34</v>
      </c>
    </row>
    <row r="453">
      <c r="A453" s="21" t="inlineStr">
        <is>
          <t>Покупка</t>
        </is>
      </c>
      <c r="B453" s="21" t="inlineStr">
        <is>
          <t>Комнаты</t>
        </is>
      </c>
      <c r="C453" s="21" t="inlineStr">
        <is>
          <t>Санкт-Петербург</t>
        </is>
      </c>
      <c r="D453" s="22" t="n">
        <v>1732</v>
      </c>
    </row>
    <row r="454">
      <c r="A454" s="21" t="inlineStr">
        <is>
          <t>Покупка</t>
        </is>
      </c>
      <c r="B454" s="21" t="inlineStr">
        <is>
          <t>Комнаты</t>
        </is>
      </c>
      <c r="C454" s="21" t="inlineStr">
        <is>
          <t>Старый Оскол</t>
        </is>
      </c>
      <c r="D454" s="22" t="n">
        <v>102</v>
      </c>
    </row>
    <row r="455">
      <c r="A455" s="21" t="inlineStr">
        <is>
          <t>Покупка</t>
        </is>
      </c>
      <c r="B455" s="21" t="inlineStr">
        <is>
          <t>Комнаты</t>
        </is>
      </c>
      <c r="C455" s="21" t="inlineStr">
        <is>
          <t>Ставрополь</t>
        </is>
      </c>
      <c r="D455" s="22" t="n">
        <v>48</v>
      </c>
    </row>
    <row r="456">
      <c r="A456" s="21" t="inlineStr">
        <is>
          <t>Покупка</t>
        </is>
      </c>
      <c r="B456" s="21" t="inlineStr">
        <is>
          <t>Комнаты</t>
        </is>
      </c>
      <c r="C456" s="21" t="inlineStr">
        <is>
          <t>Стерлитамак</t>
        </is>
      </c>
      <c r="D456" s="22" t="n">
        <v>96</v>
      </c>
    </row>
    <row r="457">
      <c r="A457" s="21" t="inlineStr">
        <is>
          <t>Покупка</t>
        </is>
      </c>
      <c r="B457" s="21" t="inlineStr">
        <is>
          <t>Комнаты</t>
        </is>
      </c>
      <c r="C457" s="21" t="inlineStr">
        <is>
          <t>Сургут</t>
        </is>
      </c>
      <c r="D457" s="22" t="n">
        <v>52</v>
      </c>
    </row>
    <row r="458">
      <c r="A458" s="21" t="inlineStr">
        <is>
          <t>Покупка</t>
        </is>
      </c>
      <c r="B458" s="21" t="inlineStr">
        <is>
          <t>Комнаты</t>
        </is>
      </c>
      <c r="C458" s="21" t="inlineStr">
        <is>
          <t>Сыктывкар</t>
        </is>
      </c>
      <c r="D458" s="22" t="n">
        <v>147</v>
      </c>
    </row>
    <row r="459">
      <c r="A459" s="21" t="inlineStr">
        <is>
          <t>Покупка</t>
        </is>
      </c>
      <c r="B459" s="21" t="inlineStr">
        <is>
          <t>Комнаты</t>
        </is>
      </c>
      <c r="C459" s="21" t="inlineStr">
        <is>
          <t>Тамбов</t>
        </is>
      </c>
      <c r="D459" s="22" t="n">
        <v>34</v>
      </c>
    </row>
    <row r="460">
      <c r="A460" s="21" t="inlineStr">
        <is>
          <t>Покупка</t>
        </is>
      </c>
      <c r="B460" s="21" t="inlineStr">
        <is>
          <t>Комнаты</t>
        </is>
      </c>
      <c r="C460" s="21" t="inlineStr">
        <is>
          <t>Тольятти</t>
        </is>
      </c>
      <c r="D460" s="22" t="n">
        <v>37</v>
      </c>
    </row>
    <row r="461">
      <c r="A461" s="21" t="inlineStr">
        <is>
          <t>Покупка</t>
        </is>
      </c>
      <c r="B461" s="21" t="inlineStr">
        <is>
          <t>Комнаты</t>
        </is>
      </c>
      <c r="C461" s="21" t="inlineStr">
        <is>
          <t>Томск</t>
        </is>
      </c>
      <c r="D461" s="22" t="n">
        <v>82</v>
      </c>
    </row>
    <row r="462">
      <c r="A462" s="21" t="inlineStr">
        <is>
          <t>Покупка</t>
        </is>
      </c>
      <c r="B462" s="21" t="inlineStr">
        <is>
          <t>Комнаты</t>
        </is>
      </c>
      <c r="C462" s="21" t="inlineStr">
        <is>
          <t>Тула</t>
        </is>
      </c>
      <c r="D462" s="22" t="n">
        <v>73</v>
      </c>
    </row>
    <row r="463">
      <c r="A463" s="21" t="inlineStr">
        <is>
          <t>Покупка</t>
        </is>
      </c>
      <c r="B463" s="21" t="inlineStr">
        <is>
          <t>Комнаты</t>
        </is>
      </c>
      <c r="C463" s="21" t="inlineStr">
        <is>
          <t>Тверь</t>
        </is>
      </c>
      <c r="D463" s="22" t="n">
        <v>54</v>
      </c>
    </row>
    <row r="464">
      <c r="A464" s="21" t="inlineStr">
        <is>
          <t>Покупка</t>
        </is>
      </c>
      <c r="B464" s="21" t="inlineStr">
        <is>
          <t>Комнаты</t>
        </is>
      </c>
      <c r="C464" s="21" t="inlineStr">
        <is>
          <t>Тюмень</t>
        </is>
      </c>
      <c r="D464" s="22" t="n">
        <v>217</v>
      </c>
    </row>
    <row r="465">
      <c r="A465" s="21" t="inlineStr">
        <is>
          <t>Покупка</t>
        </is>
      </c>
      <c r="B465" s="21" t="inlineStr">
        <is>
          <t>Комнаты</t>
        </is>
      </c>
      <c r="C465" s="21" t="inlineStr">
        <is>
          <t>Уфа</t>
        </is>
      </c>
      <c r="D465" s="22" t="n">
        <v>277</v>
      </c>
    </row>
    <row r="466">
      <c r="A466" s="21" t="inlineStr">
        <is>
          <t>Покупка</t>
        </is>
      </c>
      <c r="B466" s="21" t="inlineStr">
        <is>
          <t>Комнаты</t>
        </is>
      </c>
      <c r="C466" s="21" t="inlineStr">
        <is>
          <t>Улан-Удэ</t>
        </is>
      </c>
      <c r="D466" s="22" t="n">
        <v>130</v>
      </c>
    </row>
    <row r="467">
      <c r="A467" s="21" t="inlineStr">
        <is>
          <t>Покупка</t>
        </is>
      </c>
      <c r="B467" s="21" t="inlineStr">
        <is>
          <t>Комнаты</t>
        </is>
      </c>
      <c r="C467" s="21" t="inlineStr">
        <is>
          <t>Ульяновск</t>
        </is>
      </c>
      <c r="D467" s="22" t="n">
        <v>86</v>
      </c>
    </row>
    <row r="468">
      <c r="A468" s="21" t="inlineStr">
        <is>
          <t>Покупка</t>
        </is>
      </c>
      <c r="B468" s="21" t="inlineStr">
        <is>
          <t>Комнаты</t>
        </is>
      </c>
      <c r="C468" s="21" t="inlineStr">
        <is>
          <t>Великий Новгород</t>
        </is>
      </c>
      <c r="D468" s="22" t="n">
        <v>57</v>
      </c>
    </row>
    <row r="469">
      <c r="A469" s="21" t="inlineStr">
        <is>
          <t>Покупка</t>
        </is>
      </c>
      <c r="B469" s="21" t="inlineStr">
        <is>
          <t>Комнаты</t>
        </is>
      </c>
      <c r="C469" s="21" t="inlineStr">
        <is>
          <t>Владимир</t>
        </is>
      </c>
      <c r="D469" s="22" t="n">
        <v>139</v>
      </c>
    </row>
    <row r="470">
      <c r="A470" s="21" t="inlineStr">
        <is>
          <t>Покупка</t>
        </is>
      </c>
      <c r="B470" s="21" t="inlineStr">
        <is>
          <t>Комнаты</t>
        </is>
      </c>
      <c r="C470" s="21" t="inlineStr">
        <is>
          <t>Владивосток</t>
        </is>
      </c>
      <c r="D470" s="22" t="n">
        <v>36</v>
      </c>
    </row>
    <row r="471">
      <c r="A471" s="21" t="inlineStr">
        <is>
          <t>Покупка</t>
        </is>
      </c>
      <c r="B471" s="21" t="inlineStr">
        <is>
          <t>Комнаты</t>
        </is>
      </c>
      <c r="C471" s="21" t="inlineStr">
        <is>
          <t>Волгоград</t>
        </is>
      </c>
      <c r="D471" s="22" t="n">
        <v>297</v>
      </c>
    </row>
    <row r="472">
      <c r="A472" s="21" t="inlineStr">
        <is>
          <t>Покупка</t>
        </is>
      </c>
      <c r="B472" s="21" t="inlineStr">
        <is>
          <t>Комнаты</t>
        </is>
      </c>
      <c r="C472" s="21" t="inlineStr">
        <is>
          <t>Вологда</t>
        </is>
      </c>
      <c r="D472" s="22" t="n">
        <v>140</v>
      </c>
    </row>
    <row r="473">
      <c r="A473" s="21" t="inlineStr">
        <is>
          <t>Покупка</t>
        </is>
      </c>
      <c r="B473" s="21" t="inlineStr">
        <is>
          <t>Комнаты</t>
        </is>
      </c>
      <c r="C473" s="21" t="inlineStr">
        <is>
          <t>Волжский</t>
        </is>
      </c>
      <c r="D473" s="22" t="n">
        <v>49</v>
      </c>
    </row>
    <row r="474">
      <c r="A474" s="21" t="inlineStr">
        <is>
          <t>Покупка</t>
        </is>
      </c>
      <c r="B474" s="21" t="inlineStr">
        <is>
          <t>Комнаты</t>
        </is>
      </c>
      <c r="C474" s="21" t="inlineStr">
        <is>
          <t>Воронеж</t>
        </is>
      </c>
      <c r="D474" s="22" t="n">
        <v>220</v>
      </c>
    </row>
    <row r="475">
      <c r="A475" s="21" t="inlineStr">
        <is>
          <t>Покупка</t>
        </is>
      </c>
      <c r="B475" s="21" t="inlineStr">
        <is>
          <t>Комнаты</t>
        </is>
      </c>
      <c r="C475" s="21" t="inlineStr">
        <is>
          <t>Хабаровск</t>
        </is>
      </c>
      <c r="D475" s="22" t="n">
        <v>125</v>
      </c>
    </row>
    <row r="476">
      <c r="A476" s="21" t="inlineStr">
        <is>
          <t>Покупка</t>
        </is>
      </c>
      <c r="B476" s="21" t="inlineStr">
        <is>
          <t>Комнаты</t>
        </is>
      </c>
      <c r="C476" s="21" t="inlineStr">
        <is>
          <t>Химки</t>
        </is>
      </c>
      <c r="D476" s="22" t="n">
        <v>11</v>
      </c>
    </row>
    <row r="477">
      <c r="A477" s="21" t="inlineStr">
        <is>
          <t>Покупка</t>
        </is>
      </c>
      <c r="B477" s="21" t="inlineStr">
        <is>
          <t>Комнаты</t>
        </is>
      </c>
      <c r="C477" s="21" t="inlineStr">
        <is>
          <t>Якутск</t>
        </is>
      </c>
      <c r="D477" s="22" t="n">
        <v>83</v>
      </c>
    </row>
    <row r="478">
      <c r="A478" s="21" t="inlineStr">
        <is>
          <t>Покупка</t>
        </is>
      </c>
      <c r="B478" s="21" t="inlineStr">
        <is>
          <t>Комнаты</t>
        </is>
      </c>
      <c r="C478" s="21" t="inlineStr">
        <is>
          <t>Ярославль</t>
        </is>
      </c>
      <c r="D478" s="22" t="n">
        <v>116</v>
      </c>
    </row>
    <row r="479">
      <c r="A479" s="21" t="inlineStr">
        <is>
          <t>Покупка</t>
        </is>
      </c>
      <c r="B479" s="21" t="inlineStr">
        <is>
          <t>Комнаты</t>
        </is>
      </c>
      <c r="C479" s="21" t="inlineStr">
        <is>
          <t>Южно-Сахалинск</t>
        </is>
      </c>
      <c r="D479" s="22" t="n">
        <v>33</v>
      </c>
    </row>
    <row r="480">
      <c r="A480" s="21" t="inlineStr">
        <is>
          <t>Покупка</t>
        </is>
      </c>
      <c r="B480" s="21" t="inlineStr">
        <is>
          <t>Комнаты</t>
        </is>
      </c>
      <c r="C480" s="21" t="inlineStr">
        <is>
          <t>Жуковский</t>
        </is>
      </c>
      <c r="D480" s="22" t="n">
        <v>13</v>
      </c>
    </row>
    <row r="481">
      <c r="A481" s="27" t="inlineStr">
        <is>
          <t>Покупка</t>
        </is>
      </c>
      <c r="B481" s="17" t="inlineStr">
        <is>
          <t>Дом</t>
        </is>
      </c>
      <c r="C481" s="28" t="inlineStr">
        <is>
          <t>Абакан</t>
        </is>
      </c>
      <c r="D481" s="19" t="n">
        <v>862</v>
      </c>
    </row>
    <row r="482">
      <c r="A482" s="21" t="inlineStr">
        <is>
          <t>Покупка</t>
        </is>
      </c>
      <c r="B482" s="21" t="inlineStr">
        <is>
          <t>Дом</t>
        </is>
      </c>
      <c r="C482" s="21" t="inlineStr">
        <is>
          <t>Архангельск</t>
        </is>
      </c>
      <c r="D482" s="22" t="n">
        <v>140</v>
      </c>
    </row>
    <row r="483">
      <c r="A483" s="21" t="inlineStr">
        <is>
          <t>Покупка</t>
        </is>
      </c>
      <c r="B483" s="21" t="inlineStr">
        <is>
          <t>Дом</t>
        </is>
      </c>
      <c r="C483" s="21" t="inlineStr">
        <is>
          <t>Астрахань</t>
        </is>
      </c>
      <c r="D483" s="22" t="n">
        <v>1169</v>
      </c>
    </row>
    <row r="484">
      <c r="A484" s="21" t="inlineStr">
        <is>
          <t>Покупка</t>
        </is>
      </c>
      <c r="B484" s="21" t="inlineStr">
        <is>
          <t>Дом</t>
        </is>
      </c>
      <c r="C484" s="21" t="inlineStr">
        <is>
          <t>Балашиха</t>
        </is>
      </c>
      <c r="D484" s="22" t="n">
        <v>129</v>
      </c>
    </row>
    <row r="485">
      <c r="A485" s="21" t="inlineStr">
        <is>
          <t>Покупка</t>
        </is>
      </c>
      <c r="B485" s="21" t="inlineStr">
        <is>
          <t>Дом</t>
        </is>
      </c>
      <c r="C485" s="21" t="inlineStr">
        <is>
          <t>Барнаул</t>
        </is>
      </c>
      <c r="D485" s="22" t="n">
        <v>617</v>
      </c>
    </row>
    <row r="486">
      <c r="A486" s="21" t="inlineStr">
        <is>
          <t>Покупка</t>
        </is>
      </c>
      <c r="B486" s="21" t="inlineStr">
        <is>
          <t>Дом</t>
        </is>
      </c>
      <c r="C486" s="21" t="inlineStr">
        <is>
          <t>Белгород</t>
        </is>
      </c>
      <c r="D486" s="22" t="n">
        <v>811</v>
      </c>
    </row>
    <row r="487">
      <c r="A487" s="21" t="inlineStr">
        <is>
          <t>Покупка</t>
        </is>
      </c>
      <c r="B487" s="21" t="inlineStr">
        <is>
          <t>Дом</t>
        </is>
      </c>
      <c r="C487" s="21" t="inlineStr">
        <is>
          <t>Биробиджан</t>
        </is>
      </c>
      <c r="D487" s="22" t="n">
        <v>24</v>
      </c>
    </row>
    <row r="488">
      <c r="A488" s="21" t="inlineStr">
        <is>
          <t>Покупка</t>
        </is>
      </c>
      <c r="B488" s="21" t="inlineStr">
        <is>
          <t>Дом</t>
        </is>
      </c>
      <c r="C488" s="21" t="inlineStr">
        <is>
          <t>Благовещенск</t>
        </is>
      </c>
      <c r="D488" s="22" t="n">
        <v>349</v>
      </c>
    </row>
    <row r="489">
      <c r="A489" s="21" t="inlineStr">
        <is>
          <t>Покупка</t>
        </is>
      </c>
      <c r="B489" s="21" t="inlineStr">
        <is>
          <t>Дом</t>
        </is>
      </c>
      <c r="C489" s="21" t="inlineStr">
        <is>
          <t>Братск</t>
        </is>
      </c>
      <c r="D489" s="22" t="n">
        <v>109</v>
      </c>
    </row>
    <row r="490">
      <c r="A490" s="21" t="inlineStr">
        <is>
          <t>Покупка</t>
        </is>
      </c>
      <c r="B490" s="21" t="inlineStr">
        <is>
          <t>Дом</t>
        </is>
      </c>
      <c r="C490" s="21" t="inlineStr">
        <is>
          <t>Брянск</t>
        </is>
      </c>
      <c r="D490" s="22" t="n">
        <v>501</v>
      </c>
    </row>
    <row r="491">
      <c r="A491" s="21" t="inlineStr">
        <is>
          <t>Покупка</t>
        </is>
      </c>
      <c r="B491" s="21" t="inlineStr">
        <is>
          <t>Дом</t>
        </is>
      </c>
      <c r="C491" s="21" t="inlineStr">
        <is>
          <t>Чебоксары</t>
        </is>
      </c>
      <c r="D491" s="22" t="n">
        <v>254</v>
      </c>
    </row>
    <row r="492">
      <c r="A492" s="21" t="inlineStr">
        <is>
          <t>Покупка</t>
        </is>
      </c>
      <c r="B492" s="21" t="inlineStr">
        <is>
          <t>Дом</t>
        </is>
      </c>
      <c r="C492" s="21" t="inlineStr">
        <is>
          <t>Челябинск</t>
        </is>
      </c>
      <c r="D492" s="22" t="n">
        <v>907</v>
      </c>
    </row>
    <row r="493">
      <c r="A493" s="21" t="inlineStr">
        <is>
          <t>Покупка</t>
        </is>
      </c>
      <c r="B493" s="21" t="inlineStr">
        <is>
          <t>Дом</t>
        </is>
      </c>
      <c r="C493" s="21" t="inlineStr">
        <is>
          <t>Череповец</t>
        </is>
      </c>
      <c r="D493" s="22" t="n">
        <v>86</v>
      </c>
    </row>
    <row r="494">
      <c r="A494" s="21" t="inlineStr">
        <is>
          <t>Покупка</t>
        </is>
      </c>
      <c r="B494" s="21" t="inlineStr">
        <is>
          <t>Дом</t>
        </is>
      </c>
      <c r="C494" s="21" t="inlineStr">
        <is>
          <t>Черкесск</t>
        </is>
      </c>
      <c r="D494" s="22" t="n">
        <v>200</v>
      </c>
    </row>
    <row r="495">
      <c r="A495" s="21" t="inlineStr">
        <is>
          <t>Покупка</t>
        </is>
      </c>
      <c r="B495" s="21" t="inlineStr">
        <is>
          <t>Дом</t>
        </is>
      </c>
      <c r="C495" s="21" t="inlineStr">
        <is>
          <t>Чита</t>
        </is>
      </c>
      <c r="D495" s="22" t="n">
        <v>994</v>
      </c>
    </row>
    <row r="496">
      <c r="A496" s="21" t="inlineStr">
        <is>
          <t>Покупка</t>
        </is>
      </c>
      <c r="B496" s="21" t="inlineStr">
        <is>
          <t>Дом</t>
        </is>
      </c>
      <c r="C496" s="21" t="inlineStr">
        <is>
          <t>Долгопрудный</t>
        </is>
      </c>
      <c r="D496" s="22" t="n">
        <v>34</v>
      </c>
    </row>
    <row r="497">
      <c r="A497" s="21" t="inlineStr">
        <is>
          <t>Покупка</t>
        </is>
      </c>
      <c r="B497" s="21" t="inlineStr">
        <is>
          <t>Дом</t>
        </is>
      </c>
      <c r="C497" s="21" t="inlineStr">
        <is>
          <t>Домодедово</t>
        </is>
      </c>
      <c r="D497" s="22" t="n">
        <v>343</v>
      </c>
    </row>
    <row r="498">
      <c r="A498" s="21" t="inlineStr">
        <is>
          <t>Покупка</t>
        </is>
      </c>
      <c r="B498" s="21" t="inlineStr">
        <is>
          <t>Дом</t>
        </is>
      </c>
      <c r="C498" s="21" t="inlineStr">
        <is>
          <t>Дзержинск</t>
        </is>
      </c>
      <c r="D498" s="22" t="n">
        <v>58</v>
      </c>
    </row>
    <row r="499">
      <c r="A499" s="21" t="inlineStr">
        <is>
          <t>Покупка</t>
        </is>
      </c>
      <c r="B499" s="21" t="inlineStr">
        <is>
          <t>Дом</t>
        </is>
      </c>
      <c r="C499" s="21" t="inlineStr">
        <is>
          <t>Екатеринбург</t>
        </is>
      </c>
      <c r="D499" s="22" t="n">
        <v>1597</v>
      </c>
    </row>
    <row r="500">
      <c r="A500" s="21" t="inlineStr">
        <is>
          <t>Покупка</t>
        </is>
      </c>
      <c r="B500" s="21" t="inlineStr">
        <is>
          <t>Дом</t>
        </is>
      </c>
      <c r="C500" s="21" t="inlineStr">
        <is>
          <t>Электросталь</t>
        </is>
      </c>
      <c r="D500" s="22" t="n">
        <v>24</v>
      </c>
    </row>
    <row r="501">
      <c r="A501" s="21" t="inlineStr">
        <is>
          <t>Покупка</t>
        </is>
      </c>
      <c r="B501" s="21" t="inlineStr">
        <is>
          <t>Дом</t>
        </is>
      </c>
      <c r="C501" s="21" t="inlineStr">
        <is>
          <t>Элиста</t>
        </is>
      </c>
      <c r="D501" s="22" t="n">
        <v>878</v>
      </c>
    </row>
    <row r="502">
      <c r="A502" s="21" t="inlineStr">
        <is>
          <t>Покупка</t>
        </is>
      </c>
      <c r="B502" s="21" t="inlineStr">
        <is>
          <t>Дом</t>
        </is>
      </c>
      <c r="C502" s="21" t="inlineStr">
        <is>
          <t>Энгельс</t>
        </is>
      </c>
      <c r="D502" s="22" t="n">
        <v>486</v>
      </c>
    </row>
    <row r="503">
      <c r="A503" s="21" t="inlineStr">
        <is>
          <t>Покупка</t>
        </is>
      </c>
      <c r="B503" s="21" t="inlineStr">
        <is>
          <t>Дом</t>
        </is>
      </c>
      <c r="C503" s="21" t="inlineStr">
        <is>
          <t>Горно-Алтайск</t>
        </is>
      </c>
      <c r="D503" s="22" t="n">
        <v>651</v>
      </c>
    </row>
    <row r="504">
      <c r="A504" s="21" t="inlineStr">
        <is>
          <t>Покупка</t>
        </is>
      </c>
      <c r="B504" s="21" t="inlineStr">
        <is>
          <t>Дом</t>
        </is>
      </c>
      <c r="C504" s="21" t="inlineStr">
        <is>
          <t>Грозный</t>
        </is>
      </c>
      <c r="D504" s="22" t="n">
        <v>49</v>
      </c>
    </row>
    <row r="505">
      <c r="A505" s="21" t="inlineStr">
        <is>
          <t>Покупка</t>
        </is>
      </c>
      <c r="B505" s="21" t="inlineStr">
        <is>
          <t>Дом</t>
        </is>
      </c>
      <c r="C505" s="21" t="inlineStr">
        <is>
          <t>Иркутск</t>
        </is>
      </c>
      <c r="D505" s="22" t="n">
        <v>571</v>
      </c>
    </row>
    <row r="506">
      <c r="A506" s="21" t="inlineStr">
        <is>
          <t>Покупка</t>
        </is>
      </c>
      <c r="B506" s="21" t="inlineStr">
        <is>
          <t>Дом</t>
        </is>
      </c>
      <c r="C506" s="21" t="inlineStr">
        <is>
          <t>Иваново</t>
        </is>
      </c>
      <c r="D506" s="22" t="n">
        <v>319</v>
      </c>
    </row>
    <row r="507">
      <c r="A507" s="21" t="inlineStr">
        <is>
          <t>Покупка</t>
        </is>
      </c>
      <c r="B507" s="21" t="inlineStr">
        <is>
          <t>Дом</t>
        </is>
      </c>
      <c r="C507" s="21" t="inlineStr">
        <is>
          <t>Ижевск</t>
        </is>
      </c>
      <c r="D507" s="22" t="n">
        <v>662</v>
      </c>
    </row>
    <row r="508">
      <c r="A508" s="21" t="inlineStr">
        <is>
          <t>Покупка</t>
        </is>
      </c>
      <c r="B508" s="21" t="inlineStr">
        <is>
          <t>Дом</t>
        </is>
      </c>
      <c r="C508" s="21" t="inlineStr">
        <is>
          <t>Йошкар-Ола</t>
        </is>
      </c>
      <c r="D508" s="22" t="n">
        <v>163</v>
      </c>
    </row>
    <row r="509">
      <c r="A509" s="21" t="inlineStr">
        <is>
          <t>Покупка</t>
        </is>
      </c>
      <c r="B509" s="21" t="inlineStr">
        <is>
          <t>Дом</t>
        </is>
      </c>
      <c r="C509" s="21" t="inlineStr">
        <is>
          <t>Калининград</t>
        </is>
      </c>
      <c r="D509" s="22" t="n">
        <v>1072</v>
      </c>
    </row>
    <row r="510">
      <c r="A510" s="21" t="inlineStr">
        <is>
          <t>Покупка</t>
        </is>
      </c>
      <c r="B510" s="21" t="inlineStr">
        <is>
          <t>Дом</t>
        </is>
      </c>
      <c r="C510" s="21" t="inlineStr">
        <is>
          <t>Калуга</t>
        </is>
      </c>
      <c r="D510" s="22" t="n">
        <v>1201</v>
      </c>
    </row>
    <row r="511">
      <c r="A511" s="21" t="inlineStr">
        <is>
          <t>Покупка</t>
        </is>
      </c>
      <c r="B511" s="21" t="inlineStr">
        <is>
          <t>Дом</t>
        </is>
      </c>
      <c r="C511" s="21" t="inlineStr">
        <is>
          <t>Казань</t>
        </is>
      </c>
      <c r="D511" s="22" t="n">
        <v>1790</v>
      </c>
    </row>
    <row r="512">
      <c r="A512" s="21" t="inlineStr">
        <is>
          <t>Покупка</t>
        </is>
      </c>
      <c r="B512" s="21" t="inlineStr">
        <is>
          <t>Дом</t>
        </is>
      </c>
      <c r="C512" s="21" t="inlineStr">
        <is>
          <t>Кемерово</t>
        </is>
      </c>
      <c r="D512" s="22" t="n">
        <v>1384</v>
      </c>
    </row>
    <row r="513">
      <c r="A513" s="21" t="inlineStr">
        <is>
          <t>Покупка</t>
        </is>
      </c>
      <c r="B513" s="21" t="inlineStr">
        <is>
          <t>Дом</t>
        </is>
      </c>
      <c r="C513" s="21" t="inlineStr">
        <is>
          <t>Киров</t>
        </is>
      </c>
      <c r="D513" s="22" t="n">
        <v>237</v>
      </c>
    </row>
    <row r="514">
      <c r="A514" s="21" t="inlineStr">
        <is>
          <t>Покупка</t>
        </is>
      </c>
      <c r="B514" s="21" t="inlineStr">
        <is>
          <t>Дом</t>
        </is>
      </c>
      <c r="C514" s="21" t="inlineStr">
        <is>
          <t>Коломна</t>
        </is>
      </c>
      <c r="D514" s="22" t="n">
        <v>57</v>
      </c>
    </row>
    <row r="515">
      <c r="A515" s="21" t="inlineStr">
        <is>
          <t>Покупка</t>
        </is>
      </c>
      <c r="B515" s="21" t="inlineStr">
        <is>
          <t>Дом</t>
        </is>
      </c>
      <c r="C515" s="21" t="inlineStr">
        <is>
          <t>Комсомольск-на-Амуре</t>
        </is>
      </c>
      <c r="D515" s="22" t="n">
        <v>180</v>
      </c>
    </row>
    <row r="516">
      <c r="A516" s="21" t="inlineStr">
        <is>
          <t>Покупка</t>
        </is>
      </c>
      <c r="B516" s="21" t="inlineStr">
        <is>
          <t>Дом</t>
        </is>
      </c>
      <c r="C516" s="21" t="inlineStr">
        <is>
          <t>Королёв</t>
        </is>
      </c>
      <c r="D516" s="22" t="n">
        <v>53</v>
      </c>
    </row>
    <row r="517">
      <c r="A517" s="21" t="inlineStr">
        <is>
          <t>Покупка</t>
        </is>
      </c>
      <c r="B517" s="21" t="inlineStr">
        <is>
          <t>Дом</t>
        </is>
      </c>
      <c r="C517" s="21" t="inlineStr">
        <is>
          <t>Кострома</t>
        </is>
      </c>
      <c r="D517" s="22" t="n">
        <v>613</v>
      </c>
    </row>
    <row r="518">
      <c r="A518" s="21" t="inlineStr">
        <is>
          <t>Покупка</t>
        </is>
      </c>
      <c r="B518" s="21" t="inlineStr">
        <is>
          <t>Дом</t>
        </is>
      </c>
      <c r="C518" s="21" t="inlineStr">
        <is>
          <t>Краснодар</t>
        </is>
      </c>
      <c r="D518" s="22" t="n">
        <v>14767</v>
      </c>
    </row>
    <row r="519">
      <c r="A519" s="21" t="inlineStr">
        <is>
          <t>Покупка</t>
        </is>
      </c>
      <c r="B519" s="21" t="inlineStr">
        <is>
          <t>Дом</t>
        </is>
      </c>
      <c r="C519" s="21" t="inlineStr">
        <is>
          <t>Красногорск</t>
        </is>
      </c>
      <c r="D519" s="22" t="n">
        <v>53</v>
      </c>
    </row>
    <row r="520">
      <c r="A520" s="21" t="inlineStr">
        <is>
          <t>Покупка</t>
        </is>
      </c>
      <c r="B520" s="21" t="inlineStr">
        <is>
          <t>Дом</t>
        </is>
      </c>
      <c r="C520" s="21" t="inlineStr">
        <is>
          <t>Красноярск</t>
        </is>
      </c>
      <c r="D520" s="22" t="n">
        <v>1324</v>
      </c>
    </row>
    <row r="521">
      <c r="A521" s="21" t="inlineStr">
        <is>
          <t>Покупка</t>
        </is>
      </c>
      <c r="B521" s="21" t="inlineStr">
        <is>
          <t>Дом</t>
        </is>
      </c>
      <c r="C521" s="21" t="inlineStr">
        <is>
          <t>Курган</t>
        </is>
      </c>
      <c r="D521" s="22" t="n">
        <v>807</v>
      </c>
    </row>
    <row r="522">
      <c r="A522" s="21" t="inlineStr">
        <is>
          <t>Покупка</t>
        </is>
      </c>
      <c r="B522" s="21" t="inlineStr">
        <is>
          <t>Дом</t>
        </is>
      </c>
      <c r="C522" s="21" t="inlineStr">
        <is>
          <t>Курск</t>
        </is>
      </c>
      <c r="D522" s="22" t="n">
        <v>487</v>
      </c>
    </row>
    <row r="523">
      <c r="A523" s="21" t="inlineStr">
        <is>
          <t>Покупка</t>
        </is>
      </c>
      <c r="B523" s="21" t="inlineStr">
        <is>
          <t>Дом</t>
        </is>
      </c>
      <c r="C523" s="21" t="inlineStr">
        <is>
          <t>Кызыл</t>
        </is>
      </c>
      <c r="D523" s="22" t="n">
        <v>1964</v>
      </c>
    </row>
    <row r="524">
      <c r="A524" s="21" t="inlineStr">
        <is>
          <t>Покупка</t>
        </is>
      </c>
      <c r="B524" s="21" t="inlineStr">
        <is>
          <t>Дом</t>
        </is>
      </c>
      <c r="C524" s="21" t="inlineStr">
        <is>
          <t>Липецк</t>
        </is>
      </c>
      <c r="D524" s="22" t="n">
        <v>532</v>
      </c>
    </row>
    <row r="525">
      <c r="A525" s="21" t="inlineStr">
        <is>
          <t>Покупка</t>
        </is>
      </c>
      <c r="B525" s="21" t="inlineStr">
        <is>
          <t>Дом</t>
        </is>
      </c>
      <c r="C525" s="21" t="inlineStr">
        <is>
          <t>Люберцы</t>
        </is>
      </c>
      <c r="D525" s="22" t="n">
        <v>23</v>
      </c>
    </row>
    <row r="526">
      <c r="A526" s="21" t="inlineStr">
        <is>
          <t>Покупка</t>
        </is>
      </c>
      <c r="B526" s="21" t="inlineStr">
        <is>
          <t>Дом</t>
        </is>
      </c>
      <c r="C526" s="21" t="inlineStr">
        <is>
          <t>Магадан</t>
        </is>
      </c>
      <c r="D526" s="22" t="n">
        <v>51</v>
      </c>
    </row>
    <row r="527">
      <c r="A527" s="21" t="inlineStr">
        <is>
          <t>Покупка</t>
        </is>
      </c>
      <c r="B527" s="21" t="inlineStr">
        <is>
          <t>Дом</t>
        </is>
      </c>
      <c r="C527" s="21" t="inlineStr">
        <is>
          <t>Магнитогорск</t>
        </is>
      </c>
      <c r="D527" s="22" t="n">
        <v>1172</v>
      </c>
    </row>
    <row r="528">
      <c r="A528" s="21" t="inlineStr">
        <is>
          <t>Покупка</t>
        </is>
      </c>
      <c r="B528" s="21" t="inlineStr">
        <is>
          <t>Дом</t>
        </is>
      </c>
      <c r="C528" s="21" t="inlineStr">
        <is>
          <t>Майкоп</t>
        </is>
      </c>
      <c r="D528" s="22" t="n">
        <v>559</v>
      </c>
    </row>
    <row r="529">
      <c r="A529" s="21" t="inlineStr">
        <is>
          <t>Покупка</t>
        </is>
      </c>
      <c r="B529" s="21" t="inlineStr">
        <is>
          <t>Дом</t>
        </is>
      </c>
      <c r="C529" s="21" t="inlineStr">
        <is>
          <t>Махачкала</t>
        </is>
      </c>
      <c r="D529" s="22" t="n">
        <v>334</v>
      </c>
    </row>
    <row r="530">
      <c r="A530" s="21" t="inlineStr">
        <is>
          <t>Покупка</t>
        </is>
      </c>
      <c r="B530" s="21" t="inlineStr">
        <is>
          <t>Дом</t>
        </is>
      </c>
      <c r="C530" s="21" t="inlineStr">
        <is>
          <t>Москва</t>
        </is>
      </c>
      <c r="D530" s="22" t="n">
        <v>1920</v>
      </c>
    </row>
    <row r="531">
      <c r="A531" s="21" t="inlineStr">
        <is>
          <t>Покупка</t>
        </is>
      </c>
      <c r="B531" s="21" t="inlineStr">
        <is>
          <t>Дом</t>
        </is>
      </c>
      <c r="C531" s="21" t="inlineStr">
        <is>
          <t>Мурманск</t>
        </is>
      </c>
      <c r="D531" s="22" t="n">
        <v>34</v>
      </c>
    </row>
    <row r="532">
      <c r="A532" s="21" t="inlineStr">
        <is>
          <t>Покупка</t>
        </is>
      </c>
      <c r="B532" s="21" t="inlineStr">
        <is>
          <t>Дом</t>
        </is>
      </c>
      <c r="C532" s="21" t="inlineStr">
        <is>
          <t>Мытищи</t>
        </is>
      </c>
      <c r="D532" s="22" t="n">
        <v>42</v>
      </c>
    </row>
    <row r="533">
      <c r="A533" s="21" t="inlineStr">
        <is>
          <t>Покупка</t>
        </is>
      </c>
      <c r="B533" s="21" t="inlineStr">
        <is>
          <t>Дом</t>
        </is>
      </c>
      <c r="C533" s="21" t="inlineStr">
        <is>
          <t>Набережные Челны</t>
        </is>
      </c>
      <c r="D533" s="22" t="n">
        <v>206</v>
      </c>
    </row>
    <row r="534">
      <c r="A534" s="21" t="inlineStr">
        <is>
          <t>Покупка</t>
        </is>
      </c>
      <c r="B534" s="21" t="inlineStr">
        <is>
          <t>Дом</t>
        </is>
      </c>
      <c r="C534" s="21" t="inlineStr">
        <is>
          <t>Нальчик</t>
        </is>
      </c>
      <c r="D534" s="22" t="n">
        <v>177</v>
      </c>
    </row>
    <row r="535">
      <c r="A535" s="21" t="inlineStr">
        <is>
          <t>Покупка</t>
        </is>
      </c>
      <c r="B535" s="21" t="inlineStr">
        <is>
          <t>Дом</t>
        </is>
      </c>
      <c r="C535" s="21" t="inlineStr">
        <is>
          <t>Нарьян-Мар</t>
        </is>
      </c>
      <c r="D535" s="22" t="n">
        <v>9</v>
      </c>
    </row>
    <row r="536">
      <c r="A536" s="21" t="inlineStr">
        <is>
          <t>Покупка</t>
        </is>
      </c>
      <c r="B536" s="21" t="inlineStr">
        <is>
          <t>Дом</t>
        </is>
      </c>
      <c r="C536" s="21" t="inlineStr">
        <is>
          <t>Назрань</t>
        </is>
      </c>
      <c r="D536" s="22" t="n">
        <v>80</v>
      </c>
    </row>
    <row r="537">
      <c r="A537" s="21" t="inlineStr">
        <is>
          <t>Покупка</t>
        </is>
      </c>
      <c r="B537" s="21" t="inlineStr">
        <is>
          <t>Дом</t>
        </is>
      </c>
      <c r="C537" s="21" t="inlineStr">
        <is>
          <t>Нефтеюганск</t>
        </is>
      </c>
      <c r="D537" s="22" t="n">
        <v>126</v>
      </c>
    </row>
    <row r="538">
      <c r="A538" s="21" t="inlineStr">
        <is>
          <t>Покупка</t>
        </is>
      </c>
      <c r="B538" s="21" t="inlineStr">
        <is>
          <t>Дом</t>
        </is>
      </c>
      <c r="C538" s="21" t="inlineStr">
        <is>
          <t>Нижневартовск</t>
        </is>
      </c>
      <c r="D538" s="22" t="n">
        <v>503</v>
      </c>
    </row>
    <row r="539">
      <c r="A539" s="21" t="inlineStr">
        <is>
          <t>Покупка</t>
        </is>
      </c>
      <c r="B539" s="21" t="inlineStr">
        <is>
          <t>Дом</t>
        </is>
      </c>
      <c r="C539" s="21" t="inlineStr">
        <is>
          <t>Нижний Тагил</t>
        </is>
      </c>
      <c r="D539" s="22" t="n">
        <v>715</v>
      </c>
    </row>
    <row r="540">
      <c r="A540" s="21" t="inlineStr">
        <is>
          <t>Покупка</t>
        </is>
      </c>
      <c r="B540" s="21" t="inlineStr">
        <is>
          <t>Дом</t>
        </is>
      </c>
      <c r="C540" s="21" t="inlineStr">
        <is>
          <t>Нижний Новгород</t>
        </is>
      </c>
      <c r="D540" s="22" t="n">
        <v>838</v>
      </c>
    </row>
    <row r="541">
      <c r="A541" s="21" t="inlineStr">
        <is>
          <t>Покупка</t>
        </is>
      </c>
      <c r="B541" s="21" t="inlineStr">
        <is>
          <t>Дом</t>
        </is>
      </c>
      <c r="C541" s="21" t="inlineStr">
        <is>
          <t>Ногинск</t>
        </is>
      </c>
      <c r="D541" s="22" t="n">
        <v>73</v>
      </c>
    </row>
    <row r="542">
      <c r="A542" s="21" t="inlineStr">
        <is>
          <t>Покупка</t>
        </is>
      </c>
      <c r="B542" s="21" t="inlineStr">
        <is>
          <t>Дом</t>
        </is>
      </c>
      <c r="C542" s="21" t="inlineStr">
        <is>
          <t>Норильск</t>
        </is>
      </c>
      <c r="D542" s="22" t="n">
        <v>5</v>
      </c>
    </row>
    <row r="543">
      <c r="A543" s="21" t="inlineStr">
        <is>
          <t>Покупка</t>
        </is>
      </c>
      <c r="B543" s="21" t="inlineStr">
        <is>
          <t>Дом</t>
        </is>
      </c>
      <c r="C543" s="21" t="inlineStr">
        <is>
          <t>Новокузнецк</t>
        </is>
      </c>
      <c r="D543" s="22" t="n">
        <v>590</v>
      </c>
    </row>
    <row r="544">
      <c r="A544" s="21" t="inlineStr">
        <is>
          <t>Покупка</t>
        </is>
      </c>
      <c r="B544" s="21" t="inlineStr">
        <is>
          <t>Дом</t>
        </is>
      </c>
      <c r="C544" s="21" t="inlineStr">
        <is>
          <t>Новороссийск</t>
        </is>
      </c>
      <c r="D544" s="22" t="n">
        <v>974</v>
      </c>
    </row>
    <row r="545">
      <c r="A545" s="21" t="inlineStr">
        <is>
          <t>Покупка</t>
        </is>
      </c>
      <c r="B545" s="21" t="inlineStr">
        <is>
          <t>Дом</t>
        </is>
      </c>
      <c r="C545" s="21" t="inlineStr">
        <is>
          <t>Новосибирск</t>
        </is>
      </c>
      <c r="D545" s="22" t="n">
        <v>2234</v>
      </c>
    </row>
    <row r="546">
      <c r="A546" s="21" t="inlineStr">
        <is>
          <t>Покупка</t>
        </is>
      </c>
      <c r="B546" s="21" t="inlineStr">
        <is>
          <t>Дом</t>
        </is>
      </c>
      <c r="C546" s="21" t="inlineStr">
        <is>
          <t>Новый Уренгой</t>
        </is>
      </c>
      <c r="D546" s="22" t="n">
        <v>165</v>
      </c>
    </row>
    <row r="547">
      <c r="A547" s="21" t="inlineStr">
        <is>
          <t>Покупка</t>
        </is>
      </c>
      <c r="B547" s="21" t="inlineStr">
        <is>
          <t>Дом</t>
        </is>
      </c>
      <c r="C547" s="21" t="inlineStr">
        <is>
          <t>Обнинск</t>
        </is>
      </c>
      <c r="D547" s="22" t="n">
        <v>170</v>
      </c>
    </row>
    <row r="548">
      <c r="A548" s="21" t="inlineStr">
        <is>
          <t>Покупка</t>
        </is>
      </c>
      <c r="B548" s="21" t="inlineStr">
        <is>
          <t>Дом</t>
        </is>
      </c>
      <c r="C548" s="21" t="inlineStr">
        <is>
          <t>Одинцово</t>
        </is>
      </c>
      <c r="D548" s="22" t="n">
        <v>51</v>
      </c>
    </row>
    <row r="549">
      <c r="A549" s="21" t="inlineStr">
        <is>
          <t>Покупка</t>
        </is>
      </c>
      <c r="B549" s="21" t="inlineStr">
        <is>
          <t>Дом</t>
        </is>
      </c>
      <c r="C549" s="21" t="inlineStr">
        <is>
          <t>Омск</t>
        </is>
      </c>
      <c r="D549" s="22" t="n">
        <v>2165</v>
      </c>
    </row>
    <row r="550">
      <c r="A550" s="21" t="inlineStr">
        <is>
          <t>Покупка</t>
        </is>
      </c>
      <c r="B550" s="21" t="inlineStr">
        <is>
          <t>Дом</t>
        </is>
      </c>
      <c r="C550" s="21" t="inlineStr">
        <is>
          <t>Оренбург</t>
        </is>
      </c>
      <c r="D550" s="22" t="n">
        <v>1709</v>
      </c>
    </row>
    <row r="551">
      <c r="A551" s="21" t="inlineStr">
        <is>
          <t>Покупка</t>
        </is>
      </c>
      <c r="B551" s="21" t="inlineStr">
        <is>
          <t>Дом</t>
        </is>
      </c>
      <c r="C551" s="21" t="inlineStr">
        <is>
          <t>Орехово-Зуево</t>
        </is>
      </c>
      <c r="D551" s="22" t="n">
        <v>24</v>
      </c>
    </row>
    <row r="552">
      <c r="A552" s="21" t="inlineStr">
        <is>
          <t>Покупка</t>
        </is>
      </c>
      <c r="B552" s="21" t="inlineStr">
        <is>
          <t>Дом</t>
        </is>
      </c>
      <c r="C552" s="21" t="inlineStr">
        <is>
          <t>Орёл</t>
        </is>
      </c>
      <c r="D552" s="22" t="n">
        <v>252</v>
      </c>
    </row>
    <row r="553">
      <c r="A553" s="21" t="inlineStr">
        <is>
          <t>Покупка</t>
        </is>
      </c>
      <c r="B553" s="21" t="inlineStr">
        <is>
          <t>Дом</t>
        </is>
      </c>
      <c r="C553" s="21" t="inlineStr">
        <is>
          <t>Пенза</t>
        </is>
      </c>
      <c r="D553" s="22" t="n">
        <v>541</v>
      </c>
    </row>
    <row r="554">
      <c r="A554" s="21" t="inlineStr">
        <is>
          <t>Покупка</t>
        </is>
      </c>
      <c r="B554" s="21" t="inlineStr">
        <is>
          <t>Дом</t>
        </is>
      </c>
      <c r="C554" s="21" t="inlineStr">
        <is>
          <t>Пермь</t>
        </is>
      </c>
      <c r="D554" s="22" t="n">
        <v>536</v>
      </c>
    </row>
    <row r="555">
      <c r="A555" s="21" t="inlineStr">
        <is>
          <t>Покупка</t>
        </is>
      </c>
      <c r="B555" s="21" t="inlineStr">
        <is>
          <t>Дом</t>
        </is>
      </c>
      <c r="C555" s="21" t="inlineStr">
        <is>
          <t>Петропавловск-Камчатский</t>
        </is>
      </c>
      <c r="D555" s="22" t="n">
        <v>66</v>
      </c>
    </row>
    <row r="556">
      <c r="A556" s="21" t="inlineStr">
        <is>
          <t>Покупка</t>
        </is>
      </c>
      <c r="B556" s="21" t="inlineStr">
        <is>
          <t>Дом</t>
        </is>
      </c>
      <c r="C556" s="21" t="inlineStr">
        <is>
          <t>Петрозаводск</t>
        </is>
      </c>
      <c r="D556" s="22" t="n">
        <v>117</v>
      </c>
    </row>
    <row r="557">
      <c r="A557" s="21" t="inlineStr">
        <is>
          <t>Покупка</t>
        </is>
      </c>
      <c r="B557" s="21" t="inlineStr">
        <is>
          <t>Дом</t>
        </is>
      </c>
      <c r="C557" s="21" t="inlineStr">
        <is>
          <t>Подольск</t>
        </is>
      </c>
      <c r="D557" s="22" t="n">
        <v>103</v>
      </c>
    </row>
    <row r="558">
      <c r="A558" s="21" t="inlineStr">
        <is>
          <t>Покупка</t>
        </is>
      </c>
      <c r="B558" s="21" t="inlineStr">
        <is>
          <t>Дом</t>
        </is>
      </c>
      <c r="C558" s="21" t="inlineStr">
        <is>
          <t>Прокопьевск</t>
        </is>
      </c>
      <c r="D558" s="22" t="n">
        <v>471</v>
      </c>
    </row>
    <row r="559">
      <c r="A559" s="21" t="inlineStr">
        <is>
          <t>Покупка</t>
        </is>
      </c>
      <c r="B559" s="21" t="inlineStr">
        <is>
          <t>Дом</t>
        </is>
      </c>
      <c r="C559" s="21" t="inlineStr">
        <is>
          <t>Псков</t>
        </is>
      </c>
      <c r="D559" s="22" t="n">
        <v>124</v>
      </c>
    </row>
    <row r="560">
      <c r="A560" s="21" t="inlineStr">
        <is>
          <t>Покупка</t>
        </is>
      </c>
      <c r="B560" s="21" t="inlineStr">
        <is>
          <t>Дом</t>
        </is>
      </c>
      <c r="C560" s="21" t="inlineStr">
        <is>
          <t>Пушкино</t>
        </is>
      </c>
      <c r="D560" s="22" t="n">
        <v>75</v>
      </c>
    </row>
    <row r="561">
      <c r="A561" s="21" t="inlineStr">
        <is>
          <t>Покупка</t>
        </is>
      </c>
      <c r="B561" s="21" t="inlineStr">
        <is>
          <t>Дом</t>
        </is>
      </c>
      <c r="C561" s="21" t="inlineStr">
        <is>
          <t>Раменское</t>
        </is>
      </c>
      <c r="D561" s="22" t="n">
        <v>162</v>
      </c>
    </row>
    <row r="562">
      <c r="A562" s="21" t="inlineStr">
        <is>
          <t>Покупка</t>
        </is>
      </c>
      <c r="B562" s="21" t="inlineStr">
        <is>
          <t>Дом</t>
        </is>
      </c>
      <c r="C562" s="21" t="inlineStr">
        <is>
          <t>Ростов-на-Дону</t>
        </is>
      </c>
      <c r="D562" s="22" t="n">
        <v>6212</v>
      </c>
    </row>
    <row r="563">
      <c r="A563" s="21" t="inlineStr">
        <is>
          <t>Покупка</t>
        </is>
      </c>
      <c r="B563" s="21" t="inlineStr">
        <is>
          <t>Дом</t>
        </is>
      </c>
      <c r="C563" s="21" t="inlineStr">
        <is>
          <t>Рязань</t>
        </is>
      </c>
      <c r="D563" s="22" t="n">
        <v>274</v>
      </c>
    </row>
    <row r="564">
      <c r="A564" s="21" t="inlineStr">
        <is>
          <t>Покупка</t>
        </is>
      </c>
      <c r="B564" s="21" t="inlineStr">
        <is>
          <t>Дом</t>
        </is>
      </c>
      <c r="C564" s="21" t="inlineStr">
        <is>
          <t>Салехард</t>
        </is>
      </c>
      <c r="D564" s="22" t="n">
        <v>138</v>
      </c>
    </row>
    <row r="565">
      <c r="A565" s="21" t="inlineStr">
        <is>
          <t>Покупка</t>
        </is>
      </c>
      <c r="B565" s="21" t="inlineStr">
        <is>
          <t>Дом</t>
        </is>
      </c>
      <c r="C565" s="21" t="inlineStr">
        <is>
          <t>Самара</t>
        </is>
      </c>
      <c r="D565" s="22" t="n">
        <v>856</v>
      </c>
    </row>
    <row r="566">
      <c r="A566" s="21" t="inlineStr">
        <is>
          <t>Покупка</t>
        </is>
      </c>
      <c r="B566" s="21" t="inlineStr">
        <is>
          <t>Дом</t>
        </is>
      </c>
      <c r="C566" s="21" t="inlineStr">
        <is>
          <t>Саранск</t>
        </is>
      </c>
      <c r="D566" s="22" t="n">
        <v>89</v>
      </c>
    </row>
    <row r="567">
      <c r="A567" s="21" t="inlineStr">
        <is>
          <t>Покупка</t>
        </is>
      </c>
      <c r="B567" s="21" t="inlineStr">
        <is>
          <t>Дом</t>
        </is>
      </c>
      <c r="C567" s="21" t="inlineStr">
        <is>
          <t>Саратов</t>
        </is>
      </c>
      <c r="D567" s="22" t="n">
        <v>1249</v>
      </c>
    </row>
    <row r="568">
      <c r="A568" s="21" t="inlineStr">
        <is>
          <t>Покупка</t>
        </is>
      </c>
      <c r="B568" s="21" t="inlineStr">
        <is>
          <t>Дом</t>
        </is>
      </c>
      <c r="C568" s="21" t="inlineStr">
        <is>
          <t>Сергиев Посад</t>
        </is>
      </c>
      <c r="D568" s="22" t="n">
        <v>117</v>
      </c>
    </row>
    <row r="569">
      <c r="A569" s="21" t="inlineStr">
        <is>
          <t>Покупка</t>
        </is>
      </c>
      <c r="B569" s="21" t="inlineStr">
        <is>
          <t>Дом</t>
        </is>
      </c>
      <c r="C569" s="21" t="inlineStr">
        <is>
          <t>Серпухов</t>
        </is>
      </c>
      <c r="D569" s="22" t="n">
        <v>16</v>
      </c>
    </row>
    <row r="570">
      <c r="A570" s="21" t="inlineStr">
        <is>
          <t>Покупка</t>
        </is>
      </c>
      <c r="B570" s="21" t="inlineStr">
        <is>
          <t>Дом</t>
        </is>
      </c>
      <c r="C570" s="21" t="inlineStr">
        <is>
          <t>Севастополь</t>
        </is>
      </c>
      <c r="D570" s="22" t="n">
        <v>4535</v>
      </c>
    </row>
    <row r="571">
      <c r="A571" s="21" t="inlineStr">
        <is>
          <t>Покупка</t>
        </is>
      </c>
      <c r="B571" s="21" t="inlineStr">
        <is>
          <t>Дом</t>
        </is>
      </c>
      <c r="C571" s="21" t="inlineStr">
        <is>
          <t>Северодвинск</t>
        </is>
      </c>
      <c r="D571" s="22" t="n">
        <v>80</v>
      </c>
    </row>
    <row r="572">
      <c r="A572" s="21" t="inlineStr">
        <is>
          <t>Покупка</t>
        </is>
      </c>
      <c r="B572" s="21" t="inlineStr">
        <is>
          <t>Дом</t>
        </is>
      </c>
      <c r="C572" s="21" t="inlineStr">
        <is>
          <t>Симферополь</t>
        </is>
      </c>
      <c r="D572" s="22" t="n">
        <v>931</v>
      </c>
    </row>
    <row r="573">
      <c r="A573" s="21" t="inlineStr">
        <is>
          <t>Покупка</t>
        </is>
      </c>
      <c r="B573" s="21" t="inlineStr">
        <is>
          <t>Дом</t>
        </is>
      </c>
      <c r="C573" s="21" t="inlineStr">
        <is>
          <t>Смоленск</t>
        </is>
      </c>
      <c r="D573" s="22" t="n">
        <v>361</v>
      </c>
    </row>
    <row r="574">
      <c r="A574" s="21" t="inlineStr">
        <is>
          <t>Покупка</t>
        </is>
      </c>
      <c r="B574" s="21" t="inlineStr">
        <is>
          <t>Дом</t>
        </is>
      </c>
      <c r="C574" s="21" t="inlineStr">
        <is>
          <t>Сочи</t>
        </is>
      </c>
      <c r="D574" s="22" t="n">
        <v>1370</v>
      </c>
    </row>
    <row r="575">
      <c r="A575" s="21" t="inlineStr">
        <is>
          <t>Покупка</t>
        </is>
      </c>
      <c r="B575" s="21" t="inlineStr">
        <is>
          <t>Дом</t>
        </is>
      </c>
      <c r="C575" s="21" t="inlineStr">
        <is>
          <t>Санкт-Петербург</t>
        </is>
      </c>
      <c r="D575" s="22" t="n">
        <v>943</v>
      </c>
    </row>
    <row r="576">
      <c r="A576" s="21" t="inlineStr">
        <is>
          <t>Покупка</t>
        </is>
      </c>
      <c r="B576" s="21" t="inlineStr">
        <is>
          <t>Дом</t>
        </is>
      </c>
      <c r="C576" s="21" t="inlineStr">
        <is>
          <t>Старый Оскол</t>
        </is>
      </c>
      <c r="D576" s="22" t="n">
        <v>1805</v>
      </c>
    </row>
    <row r="577">
      <c r="A577" s="21" t="inlineStr">
        <is>
          <t>Покупка</t>
        </is>
      </c>
      <c r="B577" s="21" t="inlineStr">
        <is>
          <t>Дом</t>
        </is>
      </c>
      <c r="C577" s="21" t="inlineStr">
        <is>
          <t>Ставрополь</t>
        </is>
      </c>
      <c r="D577" s="22" t="n">
        <v>1920</v>
      </c>
    </row>
    <row r="578">
      <c r="A578" s="21" t="inlineStr">
        <is>
          <t>Покупка</t>
        </is>
      </c>
      <c r="B578" s="21" t="inlineStr">
        <is>
          <t>Дом</t>
        </is>
      </c>
      <c r="C578" s="21" t="inlineStr">
        <is>
          <t>Стерлитамак</t>
        </is>
      </c>
      <c r="D578" s="22" t="n">
        <v>596</v>
      </c>
    </row>
    <row r="579">
      <c r="A579" s="21" t="inlineStr">
        <is>
          <t>Покупка</t>
        </is>
      </c>
      <c r="B579" s="21" t="inlineStr">
        <is>
          <t>Дом</t>
        </is>
      </c>
      <c r="C579" s="21" t="inlineStr">
        <is>
          <t>Сургут</t>
        </is>
      </c>
      <c r="D579" s="22" t="n">
        <v>1495</v>
      </c>
    </row>
    <row r="580">
      <c r="A580" s="21" t="inlineStr">
        <is>
          <t>Покупка</t>
        </is>
      </c>
      <c r="B580" s="21" t="inlineStr">
        <is>
          <t>Дом</t>
        </is>
      </c>
      <c r="C580" s="21" t="inlineStr">
        <is>
          <t>Сыктывкар</t>
        </is>
      </c>
      <c r="D580" s="22" t="n">
        <v>336</v>
      </c>
    </row>
    <row r="581">
      <c r="A581" s="21" t="inlineStr">
        <is>
          <t>Покупка</t>
        </is>
      </c>
      <c r="B581" s="21" t="inlineStr">
        <is>
          <t>Дом</t>
        </is>
      </c>
      <c r="C581" s="21" t="inlineStr">
        <is>
          <t>Тамбов</t>
        </is>
      </c>
      <c r="D581" s="22" t="n">
        <v>345</v>
      </c>
    </row>
    <row r="582">
      <c r="A582" s="21" t="inlineStr">
        <is>
          <t>Покупка</t>
        </is>
      </c>
      <c r="B582" s="21" t="inlineStr">
        <is>
          <t>Дом</t>
        </is>
      </c>
      <c r="C582" s="21" t="inlineStr">
        <is>
          <t>Тольятти</t>
        </is>
      </c>
      <c r="D582" s="22" t="n">
        <v>317</v>
      </c>
    </row>
    <row r="583">
      <c r="A583" s="21" t="inlineStr">
        <is>
          <t>Покупка</t>
        </is>
      </c>
      <c r="B583" s="21" t="inlineStr">
        <is>
          <t>Дом</t>
        </is>
      </c>
      <c r="C583" s="21" t="inlineStr">
        <is>
          <t>Томск</t>
        </is>
      </c>
      <c r="D583" s="22" t="n">
        <v>798</v>
      </c>
    </row>
    <row r="584">
      <c r="A584" s="21" t="inlineStr">
        <is>
          <t>Покупка</t>
        </is>
      </c>
      <c r="B584" s="21" t="inlineStr">
        <is>
          <t>Дом</t>
        </is>
      </c>
      <c r="C584" s="21" t="inlineStr">
        <is>
          <t>Тула</t>
        </is>
      </c>
      <c r="D584" s="22" t="n">
        <v>795</v>
      </c>
    </row>
    <row r="585">
      <c r="A585" s="21" t="inlineStr">
        <is>
          <t>Покупка</t>
        </is>
      </c>
      <c r="B585" s="21" t="inlineStr">
        <is>
          <t>Дом</t>
        </is>
      </c>
      <c r="C585" s="21" t="inlineStr">
        <is>
          <t>Тверь</t>
        </is>
      </c>
      <c r="D585" s="22" t="n">
        <v>233</v>
      </c>
    </row>
    <row r="586">
      <c r="A586" s="21" t="inlineStr">
        <is>
          <t>Покупка</t>
        </is>
      </c>
      <c r="B586" s="21" t="inlineStr">
        <is>
          <t>Дом</t>
        </is>
      </c>
      <c r="C586" s="21" t="inlineStr">
        <is>
          <t>Тюмень</t>
        </is>
      </c>
      <c r="D586" s="22" t="n">
        <v>9676</v>
      </c>
    </row>
    <row r="587">
      <c r="A587" s="21" t="inlineStr">
        <is>
          <t>Покупка</t>
        </is>
      </c>
      <c r="B587" s="21" t="inlineStr">
        <is>
          <t>Дом</t>
        </is>
      </c>
      <c r="C587" s="21" t="inlineStr">
        <is>
          <t>Уфа</t>
        </is>
      </c>
      <c r="D587" s="22" t="n">
        <v>3486</v>
      </c>
    </row>
    <row r="588">
      <c r="A588" s="21" t="inlineStr">
        <is>
          <t>Покупка</t>
        </is>
      </c>
      <c r="B588" s="21" t="inlineStr">
        <is>
          <t>Дом</t>
        </is>
      </c>
      <c r="C588" s="21" t="inlineStr">
        <is>
          <t>Улан-Удэ</t>
        </is>
      </c>
      <c r="D588" s="22" t="n">
        <v>2304</v>
      </c>
    </row>
    <row r="589">
      <c r="A589" s="21" t="inlineStr">
        <is>
          <t>Покупка</t>
        </is>
      </c>
      <c r="B589" s="21" t="inlineStr">
        <is>
          <t>Дом</t>
        </is>
      </c>
      <c r="C589" s="21" t="inlineStr">
        <is>
          <t>Ульяновск</t>
        </is>
      </c>
      <c r="D589" s="22" t="n">
        <v>721</v>
      </c>
    </row>
    <row r="590">
      <c r="A590" s="21" t="inlineStr">
        <is>
          <t>Покупка</t>
        </is>
      </c>
      <c r="B590" s="21" t="inlineStr">
        <is>
          <t>Дом</t>
        </is>
      </c>
      <c r="C590" s="21" t="inlineStr">
        <is>
          <t>Великий Новгород</t>
        </is>
      </c>
      <c r="D590" s="22" t="n">
        <v>68</v>
      </c>
    </row>
    <row r="591">
      <c r="A591" s="21" t="inlineStr">
        <is>
          <t>Покупка</t>
        </is>
      </c>
      <c r="B591" s="21" t="inlineStr">
        <is>
          <t>Дом</t>
        </is>
      </c>
      <c r="C591" s="21" t="inlineStr">
        <is>
          <t>Владикавказ</t>
        </is>
      </c>
      <c r="D591" s="22" t="n">
        <v>489</v>
      </c>
    </row>
    <row r="592">
      <c r="A592" s="21" t="inlineStr">
        <is>
          <t>Покупка</t>
        </is>
      </c>
      <c r="B592" s="21" t="inlineStr">
        <is>
          <t>Дом</t>
        </is>
      </c>
      <c r="C592" s="21" t="inlineStr">
        <is>
          <t>Владимир</t>
        </is>
      </c>
      <c r="D592" s="22" t="n">
        <v>437</v>
      </c>
    </row>
    <row r="593">
      <c r="A593" s="21" t="inlineStr">
        <is>
          <t>Покупка</t>
        </is>
      </c>
      <c r="B593" s="21" t="inlineStr">
        <is>
          <t>Дом</t>
        </is>
      </c>
      <c r="C593" s="21" t="inlineStr">
        <is>
          <t>Владивосток</t>
        </is>
      </c>
      <c r="D593" s="22" t="n">
        <v>275</v>
      </c>
    </row>
    <row r="594">
      <c r="A594" s="21" t="inlineStr">
        <is>
          <t>Покупка</t>
        </is>
      </c>
      <c r="B594" s="21" t="inlineStr">
        <is>
          <t>Дом</t>
        </is>
      </c>
      <c r="C594" s="21" t="inlineStr">
        <is>
          <t>Волгоград</t>
        </is>
      </c>
      <c r="D594" s="22" t="n">
        <v>1673</v>
      </c>
    </row>
    <row r="595">
      <c r="A595" s="21" t="inlineStr">
        <is>
          <t>Покупка</t>
        </is>
      </c>
      <c r="B595" s="21" t="inlineStr">
        <is>
          <t>Дом</t>
        </is>
      </c>
      <c r="C595" s="21" t="inlineStr">
        <is>
          <t>Вологда</t>
        </is>
      </c>
      <c r="D595" s="22" t="n">
        <v>217</v>
      </c>
    </row>
    <row r="596">
      <c r="A596" s="21" t="inlineStr">
        <is>
          <t>Покупка</t>
        </is>
      </c>
      <c r="B596" s="21" t="inlineStr">
        <is>
          <t>Дом</t>
        </is>
      </c>
      <c r="C596" s="21" t="inlineStr">
        <is>
          <t>Волжский</t>
        </is>
      </c>
      <c r="D596" s="22" t="n">
        <v>395</v>
      </c>
    </row>
    <row r="597">
      <c r="A597" s="21" t="inlineStr">
        <is>
          <t>Покупка</t>
        </is>
      </c>
      <c r="B597" s="21" t="inlineStr">
        <is>
          <t>Дом</t>
        </is>
      </c>
      <c r="C597" s="21" t="inlineStr">
        <is>
          <t>Воронеж</t>
        </is>
      </c>
      <c r="D597" s="22" t="n">
        <v>754</v>
      </c>
    </row>
    <row r="598">
      <c r="A598" s="21" t="inlineStr">
        <is>
          <t>Покупка</t>
        </is>
      </c>
      <c r="B598" s="21" t="inlineStr">
        <is>
          <t>Дом</t>
        </is>
      </c>
      <c r="C598" s="21" t="inlineStr">
        <is>
          <t>Хабаровск</t>
        </is>
      </c>
      <c r="D598" s="22" t="n">
        <v>835</v>
      </c>
    </row>
    <row r="599">
      <c r="A599" s="21" t="inlineStr">
        <is>
          <t>Покупка</t>
        </is>
      </c>
      <c r="B599" s="21" t="inlineStr">
        <is>
          <t>Дом</t>
        </is>
      </c>
      <c r="C599" s="21" t="inlineStr">
        <is>
          <t>Ханты-Мансийск</t>
        </is>
      </c>
      <c r="D599" s="22" t="n">
        <v>414</v>
      </c>
    </row>
    <row r="600">
      <c r="A600" s="21" t="inlineStr">
        <is>
          <t>Покупка</t>
        </is>
      </c>
      <c r="B600" s="21" t="inlineStr">
        <is>
          <t>Дом</t>
        </is>
      </c>
      <c r="C600" s="21" t="inlineStr">
        <is>
          <t>Химки</t>
        </is>
      </c>
      <c r="D600" s="22" t="n">
        <v>136</v>
      </c>
    </row>
    <row r="601">
      <c r="A601" s="21" t="inlineStr">
        <is>
          <t>Покупка</t>
        </is>
      </c>
      <c r="B601" s="21" t="inlineStr">
        <is>
          <t>Дом</t>
        </is>
      </c>
      <c r="C601" s="21" t="inlineStr">
        <is>
          <t>Якутск</t>
        </is>
      </c>
      <c r="D601" s="22" t="n">
        <v>1426</v>
      </c>
    </row>
    <row r="602">
      <c r="A602" s="21" t="inlineStr">
        <is>
          <t>Покупка</t>
        </is>
      </c>
      <c r="B602" s="21" t="inlineStr">
        <is>
          <t>Дом</t>
        </is>
      </c>
      <c r="C602" s="21" t="inlineStr">
        <is>
          <t>Ярославль</t>
        </is>
      </c>
      <c r="D602" s="22" t="n">
        <v>361</v>
      </c>
    </row>
    <row r="603">
      <c r="A603" s="21" t="inlineStr">
        <is>
          <t>Покупка</t>
        </is>
      </c>
      <c r="B603" s="21" t="inlineStr">
        <is>
          <t>Дом</t>
        </is>
      </c>
      <c r="C603" s="21" t="inlineStr">
        <is>
          <t>Южно-Сахалинск</t>
        </is>
      </c>
      <c r="D603" s="22" t="n">
        <v>839</v>
      </c>
    </row>
    <row r="604">
      <c r="A604" s="21" t="inlineStr">
        <is>
          <t>Покупка</t>
        </is>
      </c>
      <c r="B604" s="21" t="inlineStr">
        <is>
          <t>Дом</t>
        </is>
      </c>
      <c r="C604" s="21" t="inlineStr">
        <is>
          <t>Жуковский</t>
        </is>
      </c>
      <c r="D604" s="22" t="n">
        <v>26</v>
      </c>
    </row>
    <row r="605">
      <c r="A605" s="27" t="inlineStr">
        <is>
          <t>Покупка</t>
        </is>
      </c>
      <c r="B605" s="17" t="inlineStr">
        <is>
          <t>Дача</t>
        </is>
      </c>
      <c r="C605" s="28" t="inlineStr">
        <is>
          <t>Абакан</t>
        </is>
      </c>
      <c r="D605" s="19" t="n">
        <v>856</v>
      </c>
    </row>
    <row r="606">
      <c r="A606" s="21" t="inlineStr">
        <is>
          <t>Покупка</t>
        </is>
      </c>
      <c r="B606" s="21" t="inlineStr">
        <is>
          <t>Дача</t>
        </is>
      </c>
      <c r="C606" s="21" t="inlineStr">
        <is>
          <t>Архангельск</t>
        </is>
      </c>
      <c r="D606" s="22" t="n">
        <v>138</v>
      </c>
    </row>
    <row r="607">
      <c r="A607" s="21" t="inlineStr">
        <is>
          <t>Покупка</t>
        </is>
      </c>
      <c r="B607" s="21" t="inlineStr">
        <is>
          <t>Дача</t>
        </is>
      </c>
      <c r="C607" s="21" t="inlineStr">
        <is>
          <t>Астрахань</t>
        </is>
      </c>
      <c r="D607" s="22" t="n">
        <v>1163</v>
      </c>
    </row>
    <row r="608">
      <c r="A608" s="21" t="inlineStr">
        <is>
          <t>Покупка</t>
        </is>
      </c>
      <c r="B608" s="21" t="inlineStr">
        <is>
          <t>Дача</t>
        </is>
      </c>
      <c r="C608" s="21" t="inlineStr">
        <is>
          <t>Балашиха</t>
        </is>
      </c>
      <c r="D608" s="22" t="n">
        <v>125</v>
      </c>
    </row>
    <row r="609">
      <c r="A609" s="21" t="inlineStr">
        <is>
          <t>Покупка</t>
        </is>
      </c>
      <c r="B609" s="21" t="inlineStr">
        <is>
          <t>Дача</t>
        </is>
      </c>
      <c r="C609" s="21" t="inlineStr">
        <is>
          <t>Барнаул</t>
        </is>
      </c>
      <c r="D609" s="22" t="n">
        <v>609</v>
      </c>
    </row>
    <row r="610">
      <c r="A610" s="21" t="inlineStr">
        <is>
          <t>Покупка</t>
        </is>
      </c>
      <c r="B610" s="21" t="inlineStr">
        <is>
          <t>Дача</t>
        </is>
      </c>
      <c r="C610" s="21" t="inlineStr">
        <is>
          <t>Белгород</t>
        </is>
      </c>
      <c r="D610" s="22" t="n">
        <v>754</v>
      </c>
    </row>
    <row r="611">
      <c r="A611" s="21" t="inlineStr">
        <is>
          <t>Покупка</t>
        </is>
      </c>
      <c r="B611" s="21" t="inlineStr">
        <is>
          <t>Дача</t>
        </is>
      </c>
      <c r="C611" s="21" t="inlineStr">
        <is>
          <t>Биробиджан</t>
        </is>
      </c>
      <c r="D611" s="22" t="n">
        <v>24</v>
      </c>
    </row>
    <row r="612">
      <c r="A612" s="21" t="inlineStr">
        <is>
          <t>Покупка</t>
        </is>
      </c>
      <c r="B612" s="21" t="inlineStr">
        <is>
          <t>Дача</t>
        </is>
      </c>
      <c r="C612" s="21" t="inlineStr">
        <is>
          <t>Благовещенск</t>
        </is>
      </c>
      <c r="D612" s="22" t="n">
        <v>349</v>
      </c>
    </row>
    <row r="613">
      <c r="A613" s="21" t="inlineStr">
        <is>
          <t>Покупка</t>
        </is>
      </c>
      <c r="B613" s="21" t="inlineStr">
        <is>
          <t>Дача</t>
        </is>
      </c>
      <c r="C613" s="21" t="inlineStr">
        <is>
          <t>Братск</t>
        </is>
      </c>
      <c r="D613" s="22" t="n">
        <v>109</v>
      </c>
    </row>
    <row r="614">
      <c r="A614" s="21" t="inlineStr">
        <is>
          <t>Покупка</t>
        </is>
      </c>
      <c r="B614" s="21" t="inlineStr">
        <is>
          <t>Дача</t>
        </is>
      </c>
      <c r="C614" s="21" t="inlineStr">
        <is>
          <t>Брянск</t>
        </is>
      </c>
      <c r="D614" s="22" t="n">
        <v>500</v>
      </c>
    </row>
    <row r="615">
      <c r="A615" s="21" t="inlineStr">
        <is>
          <t>Покупка</t>
        </is>
      </c>
      <c r="B615" s="21" t="inlineStr">
        <is>
          <t>Дача</t>
        </is>
      </c>
      <c r="C615" s="21" t="inlineStr">
        <is>
          <t>Чебоксары</t>
        </is>
      </c>
      <c r="D615" s="22" t="n">
        <v>254</v>
      </c>
    </row>
    <row r="616">
      <c r="A616" s="21" t="inlineStr">
        <is>
          <t>Покупка</t>
        </is>
      </c>
      <c r="B616" s="21" t="inlineStr">
        <is>
          <t>Дача</t>
        </is>
      </c>
      <c r="C616" s="21" t="inlineStr">
        <is>
          <t>Челябинск</t>
        </is>
      </c>
      <c r="D616" s="22" t="n">
        <v>896</v>
      </c>
    </row>
    <row r="617">
      <c r="A617" s="21" t="inlineStr">
        <is>
          <t>Покупка</t>
        </is>
      </c>
      <c r="B617" s="21" t="inlineStr">
        <is>
          <t>Дача</t>
        </is>
      </c>
      <c r="C617" s="21" t="inlineStr">
        <is>
          <t>Череповец</t>
        </is>
      </c>
      <c r="D617" s="22" t="n">
        <v>86</v>
      </c>
    </row>
    <row r="618">
      <c r="A618" s="21" t="inlineStr">
        <is>
          <t>Покупка</t>
        </is>
      </c>
      <c r="B618" s="21" t="inlineStr">
        <is>
          <t>Дача</t>
        </is>
      </c>
      <c r="C618" s="21" t="inlineStr">
        <is>
          <t>Черкесск</t>
        </is>
      </c>
      <c r="D618" s="22" t="n">
        <v>196</v>
      </c>
    </row>
    <row r="619">
      <c r="A619" s="21" t="inlineStr">
        <is>
          <t>Покупка</t>
        </is>
      </c>
      <c r="B619" s="21" t="inlineStr">
        <is>
          <t>Дача</t>
        </is>
      </c>
      <c r="C619" s="21" t="inlineStr">
        <is>
          <t>Чита</t>
        </is>
      </c>
      <c r="D619" s="22" t="n">
        <v>992</v>
      </c>
    </row>
    <row r="620">
      <c r="A620" s="21" t="inlineStr">
        <is>
          <t>Покупка</t>
        </is>
      </c>
      <c r="B620" s="21" t="inlineStr">
        <is>
          <t>Дача</t>
        </is>
      </c>
      <c r="C620" s="21" t="inlineStr">
        <is>
          <t>Долгопрудный</t>
        </is>
      </c>
      <c r="D620" s="22" t="n">
        <v>33</v>
      </c>
    </row>
    <row r="621">
      <c r="A621" s="21" t="inlineStr">
        <is>
          <t>Покупка</t>
        </is>
      </c>
      <c r="B621" s="21" t="inlineStr">
        <is>
          <t>Дача</t>
        </is>
      </c>
      <c r="C621" s="21" t="inlineStr">
        <is>
          <t>Домодедово</t>
        </is>
      </c>
      <c r="D621" s="22" t="n">
        <v>341</v>
      </c>
    </row>
    <row r="622">
      <c r="A622" s="21" t="inlineStr">
        <is>
          <t>Покупка</t>
        </is>
      </c>
      <c r="B622" s="21" t="inlineStr">
        <is>
          <t>Дача</t>
        </is>
      </c>
      <c r="C622" s="21" t="inlineStr">
        <is>
          <t>Дзержинск</t>
        </is>
      </c>
      <c r="D622" s="22" t="n">
        <v>58</v>
      </c>
    </row>
    <row r="623">
      <c r="A623" s="21" t="inlineStr">
        <is>
          <t>Покупка</t>
        </is>
      </c>
      <c r="B623" s="21" t="inlineStr">
        <is>
          <t>Дача</t>
        </is>
      </c>
      <c r="C623" s="21" t="inlineStr">
        <is>
          <t>Екатеринбург</t>
        </is>
      </c>
      <c r="D623" s="22" t="n">
        <v>1581</v>
      </c>
    </row>
    <row r="624">
      <c r="A624" s="21" t="inlineStr">
        <is>
          <t>Покупка</t>
        </is>
      </c>
      <c r="B624" s="21" t="inlineStr">
        <is>
          <t>Дача</t>
        </is>
      </c>
      <c r="C624" s="21" t="inlineStr">
        <is>
          <t>Электросталь</t>
        </is>
      </c>
      <c r="D624" s="22" t="n">
        <v>24</v>
      </c>
    </row>
    <row r="625">
      <c r="A625" s="21" t="inlineStr">
        <is>
          <t>Покупка</t>
        </is>
      </c>
      <c r="B625" s="21" t="inlineStr">
        <is>
          <t>Дача</t>
        </is>
      </c>
      <c r="C625" s="21" t="inlineStr">
        <is>
          <t>Элиста</t>
        </is>
      </c>
      <c r="D625" s="22" t="n">
        <v>860</v>
      </c>
    </row>
    <row r="626">
      <c r="A626" s="21" t="inlineStr">
        <is>
          <t>Покупка</t>
        </is>
      </c>
      <c r="B626" s="21" t="inlineStr">
        <is>
          <t>Дача</t>
        </is>
      </c>
      <c r="C626" s="21" t="inlineStr">
        <is>
          <t>Энгельс</t>
        </is>
      </c>
      <c r="D626" s="22" t="n">
        <v>483</v>
      </c>
    </row>
    <row r="627">
      <c r="A627" s="21" t="inlineStr">
        <is>
          <t>Покупка</t>
        </is>
      </c>
      <c r="B627" s="21" t="inlineStr">
        <is>
          <t>Дача</t>
        </is>
      </c>
      <c r="C627" s="21" t="inlineStr">
        <is>
          <t>Горно-Алтайск</t>
        </is>
      </c>
      <c r="D627" s="22" t="n">
        <v>649</v>
      </c>
    </row>
    <row r="628">
      <c r="A628" s="21" t="inlineStr">
        <is>
          <t>Покупка</t>
        </is>
      </c>
      <c r="B628" s="21" t="inlineStr">
        <is>
          <t>Дача</t>
        </is>
      </c>
      <c r="C628" s="21" t="inlineStr">
        <is>
          <t>Грозный</t>
        </is>
      </c>
      <c r="D628" s="22" t="n">
        <v>46</v>
      </c>
    </row>
    <row r="629">
      <c r="A629" s="21" t="inlineStr">
        <is>
          <t>Покупка</t>
        </is>
      </c>
      <c r="B629" s="21" t="inlineStr">
        <is>
          <t>Дача</t>
        </is>
      </c>
      <c r="C629" s="21" t="inlineStr">
        <is>
          <t>Иркутск</t>
        </is>
      </c>
      <c r="D629" s="22" t="n">
        <v>570</v>
      </c>
    </row>
    <row r="630">
      <c r="A630" s="21" t="inlineStr">
        <is>
          <t>Покупка</t>
        </is>
      </c>
      <c r="B630" s="21" t="inlineStr">
        <is>
          <t>Дача</t>
        </is>
      </c>
      <c r="C630" s="21" t="inlineStr">
        <is>
          <t>Иваново</t>
        </is>
      </c>
      <c r="D630" s="22" t="n">
        <v>318</v>
      </c>
    </row>
    <row r="631">
      <c r="A631" s="21" t="inlineStr">
        <is>
          <t>Покупка</t>
        </is>
      </c>
      <c r="B631" s="21" t="inlineStr">
        <is>
          <t>Дача</t>
        </is>
      </c>
      <c r="C631" s="21" t="inlineStr">
        <is>
          <t>Ижевск</t>
        </is>
      </c>
      <c r="D631" s="22" t="n">
        <v>657</v>
      </c>
    </row>
    <row r="632">
      <c r="A632" s="21" t="inlineStr">
        <is>
          <t>Покупка</t>
        </is>
      </c>
      <c r="B632" s="21" t="inlineStr">
        <is>
          <t>Дача</t>
        </is>
      </c>
      <c r="C632" s="21" t="inlineStr">
        <is>
          <t>Йошкар-Ола</t>
        </is>
      </c>
      <c r="D632" s="22" t="n">
        <v>162</v>
      </c>
    </row>
    <row r="633">
      <c r="A633" s="21" t="inlineStr">
        <is>
          <t>Покупка</t>
        </is>
      </c>
      <c r="B633" s="21" t="inlineStr">
        <is>
          <t>Дача</t>
        </is>
      </c>
      <c r="C633" s="21" t="inlineStr">
        <is>
          <t>Калининград</t>
        </is>
      </c>
      <c r="D633" s="22" t="n">
        <v>1042</v>
      </c>
    </row>
    <row r="634">
      <c r="A634" s="21" t="inlineStr">
        <is>
          <t>Покупка</t>
        </is>
      </c>
      <c r="B634" s="21" t="inlineStr">
        <is>
          <t>Дача</t>
        </is>
      </c>
      <c r="C634" s="21" t="inlineStr">
        <is>
          <t>Калуга</t>
        </is>
      </c>
      <c r="D634" s="22" t="n">
        <v>1187</v>
      </c>
    </row>
    <row r="635">
      <c r="A635" s="21" t="inlineStr">
        <is>
          <t>Покупка</t>
        </is>
      </c>
      <c r="B635" s="21" t="inlineStr">
        <is>
          <t>Дача</t>
        </is>
      </c>
      <c r="C635" s="21" t="inlineStr">
        <is>
          <t>Казань</t>
        </is>
      </c>
      <c r="D635" s="22" t="n">
        <v>1777</v>
      </c>
    </row>
    <row r="636">
      <c r="A636" s="21" t="inlineStr">
        <is>
          <t>Покупка</t>
        </is>
      </c>
      <c r="B636" s="21" t="inlineStr">
        <is>
          <t>Дача</t>
        </is>
      </c>
      <c r="C636" s="21" t="inlineStr">
        <is>
          <t>Кемерово</t>
        </is>
      </c>
      <c r="D636" s="22" t="n">
        <v>1374</v>
      </c>
    </row>
    <row r="637">
      <c r="A637" s="21" t="inlineStr">
        <is>
          <t>Покупка</t>
        </is>
      </c>
      <c r="B637" s="21" t="inlineStr">
        <is>
          <t>Дача</t>
        </is>
      </c>
      <c r="C637" s="21" t="inlineStr">
        <is>
          <t>Киров</t>
        </is>
      </c>
      <c r="D637" s="22" t="n">
        <v>237</v>
      </c>
    </row>
    <row r="638">
      <c r="A638" s="21" t="inlineStr">
        <is>
          <t>Покупка</t>
        </is>
      </c>
      <c r="B638" s="21" t="inlineStr">
        <is>
          <t>Дача</t>
        </is>
      </c>
      <c r="C638" s="21" t="inlineStr">
        <is>
          <t>Коломна</t>
        </is>
      </c>
      <c r="D638" s="22" t="n">
        <v>57</v>
      </c>
    </row>
    <row r="639">
      <c r="A639" s="21" t="inlineStr">
        <is>
          <t>Покупка</t>
        </is>
      </c>
      <c r="B639" s="21" t="inlineStr">
        <is>
          <t>Дача</t>
        </is>
      </c>
      <c r="C639" s="21" t="inlineStr">
        <is>
          <t>Комсомольск-на-Амуре</t>
        </is>
      </c>
      <c r="D639" s="22" t="n">
        <v>180</v>
      </c>
    </row>
    <row r="640">
      <c r="A640" s="21" t="inlineStr">
        <is>
          <t>Покупка</t>
        </is>
      </c>
      <c r="B640" s="21" t="inlineStr">
        <is>
          <t>Дача</t>
        </is>
      </c>
      <c r="C640" s="21" t="inlineStr">
        <is>
          <t>Королёв</t>
        </is>
      </c>
      <c r="D640" s="22" t="n">
        <v>53</v>
      </c>
    </row>
    <row r="641">
      <c r="A641" s="21" t="inlineStr">
        <is>
          <t>Покупка</t>
        </is>
      </c>
      <c r="B641" s="21" t="inlineStr">
        <is>
          <t>Дача</t>
        </is>
      </c>
      <c r="C641" s="21" t="inlineStr">
        <is>
          <t>Кострома</t>
        </is>
      </c>
      <c r="D641" s="22" t="n">
        <v>609</v>
      </c>
    </row>
    <row r="642">
      <c r="A642" s="21" t="inlineStr">
        <is>
          <t>Покупка</t>
        </is>
      </c>
      <c r="B642" s="21" t="inlineStr">
        <is>
          <t>Дача</t>
        </is>
      </c>
      <c r="C642" s="21" t="inlineStr">
        <is>
          <t>Краснодар</t>
        </is>
      </c>
      <c r="D642" s="22" t="n">
        <v>14478</v>
      </c>
    </row>
    <row r="643">
      <c r="A643" s="21" t="inlineStr">
        <is>
          <t>Покупка</t>
        </is>
      </c>
      <c r="B643" s="21" t="inlineStr">
        <is>
          <t>Дача</t>
        </is>
      </c>
      <c r="C643" s="21" t="inlineStr">
        <is>
          <t>Красногорск</t>
        </is>
      </c>
      <c r="D643" s="22" t="n">
        <v>50</v>
      </c>
    </row>
    <row r="644">
      <c r="A644" s="21" t="inlineStr">
        <is>
          <t>Покупка</t>
        </is>
      </c>
      <c r="B644" s="21" t="inlineStr">
        <is>
          <t>Дача</t>
        </is>
      </c>
      <c r="C644" s="21" t="inlineStr">
        <is>
          <t>Красноярск</t>
        </is>
      </c>
      <c r="D644" s="22" t="n">
        <v>1293</v>
      </c>
    </row>
    <row r="645">
      <c r="A645" s="21" t="inlineStr">
        <is>
          <t>Покупка</t>
        </is>
      </c>
      <c r="B645" s="21" t="inlineStr">
        <is>
          <t>Дача</t>
        </is>
      </c>
      <c r="C645" s="21" t="inlineStr">
        <is>
          <t>Курган</t>
        </is>
      </c>
      <c r="D645" s="22" t="n">
        <v>801</v>
      </c>
    </row>
    <row r="646">
      <c r="A646" s="21" t="inlineStr">
        <is>
          <t>Покупка</t>
        </is>
      </c>
      <c r="B646" s="21" t="inlineStr">
        <is>
          <t>Дача</t>
        </is>
      </c>
      <c r="C646" s="21" t="inlineStr">
        <is>
          <t>Курск</t>
        </is>
      </c>
      <c r="D646" s="22" t="n">
        <v>483</v>
      </c>
    </row>
    <row r="647">
      <c r="A647" s="21" t="inlineStr">
        <is>
          <t>Покупка</t>
        </is>
      </c>
      <c r="B647" s="21" t="inlineStr">
        <is>
          <t>Дача</t>
        </is>
      </c>
      <c r="C647" s="21" t="inlineStr">
        <is>
          <t>Кызыл</t>
        </is>
      </c>
      <c r="D647" s="22" t="n">
        <v>1943</v>
      </c>
    </row>
    <row r="648">
      <c r="A648" s="21" t="inlineStr">
        <is>
          <t>Покупка</t>
        </is>
      </c>
      <c r="B648" s="21" t="inlineStr">
        <is>
          <t>Дача</t>
        </is>
      </c>
      <c r="C648" s="21" t="inlineStr">
        <is>
          <t>Липецк</t>
        </is>
      </c>
      <c r="D648" s="22" t="n">
        <v>526</v>
      </c>
    </row>
    <row r="649">
      <c r="A649" s="21" t="inlineStr">
        <is>
          <t>Покупка</t>
        </is>
      </c>
      <c r="B649" s="21" t="inlineStr">
        <is>
          <t>Дача</t>
        </is>
      </c>
      <c r="C649" s="21" t="inlineStr">
        <is>
          <t>Люберцы</t>
        </is>
      </c>
      <c r="D649" s="22" t="n">
        <v>23</v>
      </c>
    </row>
    <row r="650">
      <c r="A650" s="21" t="inlineStr">
        <is>
          <t>Покупка</t>
        </is>
      </c>
      <c r="B650" s="21" t="inlineStr">
        <is>
          <t>Дача</t>
        </is>
      </c>
      <c r="C650" s="21" t="inlineStr">
        <is>
          <t>Магадан</t>
        </is>
      </c>
      <c r="D650" s="22" t="n">
        <v>51</v>
      </c>
    </row>
    <row r="651">
      <c r="A651" s="21" t="inlineStr">
        <is>
          <t>Покупка</t>
        </is>
      </c>
      <c r="B651" s="21" t="inlineStr">
        <is>
          <t>Дача</t>
        </is>
      </c>
      <c r="C651" s="21" t="inlineStr">
        <is>
          <t>Магнитогорск</t>
        </is>
      </c>
      <c r="D651" s="22" t="n">
        <v>1167</v>
      </c>
    </row>
    <row r="652">
      <c r="A652" s="21" t="inlineStr">
        <is>
          <t>Покупка</t>
        </is>
      </c>
      <c r="B652" s="21" t="inlineStr">
        <is>
          <t>Дача</t>
        </is>
      </c>
      <c r="C652" s="21" t="inlineStr">
        <is>
          <t>Майкоп</t>
        </is>
      </c>
      <c r="D652" s="22" t="n">
        <v>555</v>
      </c>
    </row>
    <row r="653">
      <c r="A653" s="21" t="inlineStr">
        <is>
          <t>Покупка</t>
        </is>
      </c>
      <c r="B653" s="21" t="inlineStr">
        <is>
          <t>Дача</t>
        </is>
      </c>
      <c r="C653" s="21" t="inlineStr">
        <is>
          <t>Махачкала</t>
        </is>
      </c>
      <c r="D653" s="22" t="n">
        <v>330</v>
      </c>
    </row>
    <row r="654">
      <c r="A654" s="21" t="inlineStr">
        <is>
          <t>Покупка</t>
        </is>
      </c>
      <c r="B654" s="21" t="inlineStr">
        <is>
          <t>Дача</t>
        </is>
      </c>
      <c r="C654" s="21" t="inlineStr">
        <is>
          <t>Москва</t>
        </is>
      </c>
      <c r="D654" s="22" t="n">
        <v>1830</v>
      </c>
    </row>
    <row r="655">
      <c r="A655" s="21" t="inlineStr">
        <is>
          <t>Покупка</t>
        </is>
      </c>
      <c r="B655" s="21" t="inlineStr">
        <is>
          <t>Дача</t>
        </is>
      </c>
      <c r="C655" s="21" t="inlineStr">
        <is>
          <t>Мурманск</t>
        </is>
      </c>
      <c r="D655" s="22" t="n">
        <v>34</v>
      </c>
    </row>
    <row r="656">
      <c r="A656" s="21" t="inlineStr">
        <is>
          <t>Покупка</t>
        </is>
      </c>
      <c r="B656" s="21" t="inlineStr">
        <is>
          <t>Дача</t>
        </is>
      </c>
      <c r="C656" s="21" t="inlineStr">
        <is>
          <t>Мытищи</t>
        </is>
      </c>
      <c r="D656" s="22" t="n">
        <v>41</v>
      </c>
    </row>
    <row r="657">
      <c r="A657" s="21" t="inlineStr">
        <is>
          <t>Покупка</t>
        </is>
      </c>
      <c r="B657" s="21" t="inlineStr">
        <is>
          <t>Дача</t>
        </is>
      </c>
      <c r="C657" s="21" t="inlineStr">
        <is>
          <t>Набережные Челны</t>
        </is>
      </c>
      <c r="D657" s="22" t="n">
        <v>202</v>
      </c>
    </row>
    <row r="658">
      <c r="A658" s="21" t="inlineStr">
        <is>
          <t>Покупка</t>
        </is>
      </c>
      <c r="B658" s="21" t="inlineStr">
        <is>
          <t>Дача</t>
        </is>
      </c>
      <c r="C658" s="21" t="inlineStr">
        <is>
          <t>Нальчик</t>
        </is>
      </c>
      <c r="D658" s="22" t="n">
        <v>169</v>
      </c>
    </row>
    <row r="659">
      <c r="A659" s="21" t="inlineStr">
        <is>
          <t>Покупка</t>
        </is>
      </c>
      <c r="B659" s="21" t="inlineStr">
        <is>
          <t>Дача</t>
        </is>
      </c>
      <c r="C659" s="21" t="inlineStr">
        <is>
          <t>Нарьян-Мар</t>
        </is>
      </c>
      <c r="D659" s="22" t="n">
        <v>9</v>
      </c>
    </row>
    <row r="660">
      <c r="A660" s="21" t="inlineStr">
        <is>
          <t>Покупка</t>
        </is>
      </c>
      <c r="B660" s="21" t="inlineStr">
        <is>
          <t>Дача</t>
        </is>
      </c>
      <c r="C660" s="21" t="inlineStr">
        <is>
          <t>Назрань</t>
        </is>
      </c>
      <c r="D660" s="22" t="n">
        <v>79</v>
      </c>
    </row>
    <row r="661">
      <c r="A661" s="21" t="inlineStr">
        <is>
          <t>Покупка</t>
        </is>
      </c>
      <c r="B661" s="21" t="inlineStr">
        <is>
          <t>Дача</t>
        </is>
      </c>
      <c r="C661" s="21" t="inlineStr">
        <is>
          <t>Нефтеюганск</t>
        </is>
      </c>
      <c r="D661" s="22" t="n">
        <v>125</v>
      </c>
    </row>
    <row r="662">
      <c r="A662" s="21" t="inlineStr">
        <is>
          <t>Покупка</t>
        </is>
      </c>
      <c r="B662" s="21" t="inlineStr">
        <is>
          <t>Дача</t>
        </is>
      </c>
      <c r="C662" s="21" t="inlineStr">
        <is>
          <t>Нижневартовск</t>
        </is>
      </c>
      <c r="D662" s="22" t="n">
        <v>501</v>
      </c>
    </row>
    <row r="663">
      <c r="A663" s="21" t="inlineStr">
        <is>
          <t>Покупка</t>
        </is>
      </c>
      <c r="B663" s="21" t="inlineStr">
        <is>
          <t>Дача</t>
        </is>
      </c>
      <c r="C663" s="21" t="inlineStr">
        <is>
          <t>Нижний Тагил</t>
        </is>
      </c>
      <c r="D663" s="22" t="n">
        <v>711</v>
      </c>
    </row>
    <row r="664">
      <c r="A664" s="21" t="inlineStr">
        <is>
          <t>Покупка</t>
        </is>
      </c>
      <c r="B664" s="21" t="inlineStr">
        <is>
          <t>Дача</t>
        </is>
      </c>
      <c r="C664" s="21" t="inlineStr">
        <is>
          <t>Нижний Новгород</t>
        </is>
      </c>
      <c r="D664" s="22" t="n">
        <v>825</v>
      </c>
    </row>
    <row r="665">
      <c r="A665" s="21" t="inlineStr">
        <is>
          <t>Покупка</t>
        </is>
      </c>
      <c r="B665" s="21" t="inlineStr">
        <is>
          <t>Дача</t>
        </is>
      </c>
      <c r="C665" s="21" t="inlineStr">
        <is>
          <t>Ногинск</t>
        </is>
      </c>
      <c r="D665" s="22" t="n">
        <v>72</v>
      </c>
    </row>
    <row r="666">
      <c r="A666" s="21" t="inlineStr">
        <is>
          <t>Покупка</t>
        </is>
      </c>
      <c r="B666" s="21" t="inlineStr">
        <is>
          <t>Дача</t>
        </is>
      </c>
      <c r="C666" s="21" t="inlineStr">
        <is>
          <t>Новокузнецк</t>
        </is>
      </c>
      <c r="D666" s="22" t="n">
        <v>587</v>
      </c>
    </row>
    <row r="667">
      <c r="A667" s="21" t="inlineStr">
        <is>
          <t>Покупка</t>
        </is>
      </c>
      <c r="B667" s="21" t="inlineStr">
        <is>
          <t>Дача</t>
        </is>
      </c>
      <c r="C667" s="21" t="inlineStr">
        <is>
          <t>Новороссийск</t>
        </is>
      </c>
      <c r="D667" s="22" t="n">
        <v>926</v>
      </c>
    </row>
    <row r="668">
      <c r="A668" s="21" t="inlineStr">
        <is>
          <t>Покупка</t>
        </is>
      </c>
      <c r="B668" s="21" t="inlineStr">
        <is>
          <t>Дача</t>
        </is>
      </c>
      <c r="C668" s="21" t="inlineStr">
        <is>
          <t>Новосибирск</t>
        </is>
      </c>
      <c r="D668" s="22" t="n">
        <v>2207</v>
      </c>
    </row>
    <row r="669">
      <c r="A669" s="21" t="inlineStr">
        <is>
          <t>Покупка</t>
        </is>
      </c>
      <c r="B669" s="21" t="inlineStr">
        <is>
          <t>Дача</t>
        </is>
      </c>
      <c r="C669" s="21" t="inlineStr">
        <is>
          <t>Новый Уренгой</t>
        </is>
      </c>
      <c r="D669" s="22" t="n">
        <v>165</v>
      </c>
    </row>
    <row r="670">
      <c r="A670" s="21" t="inlineStr">
        <is>
          <t>Покупка</t>
        </is>
      </c>
      <c r="B670" s="21" t="inlineStr">
        <is>
          <t>Дача</t>
        </is>
      </c>
      <c r="C670" s="21" t="inlineStr">
        <is>
          <t>Обнинск</t>
        </is>
      </c>
      <c r="D670" s="22" t="n">
        <v>168</v>
      </c>
    </row>
    <row r="671">
      <c r="A671" s="21" t="inlineStr">
        <is>
          <t>Покупка</t>
        </is>
      </c>
      <c r="B671" s="21" t="inlineStr">
        <is>
          <t>Дача</t>
        </is>
      </c>
      <c r="C671" s="21" t="inlineStr">
        <is>
          <t>Одинцово</t>
        </is>
      </c>
      <c r="D671" s="22" t="n">
        <v>44</v>
      </c>
    </row>
    <row r="672">
      <c r="A672" s="21" t="inlineStr">
        <is>
          <t>Покупка</t>
        </is>
      </c>
      <c r="B672" s="21" t="inlineStr">
        <is>
          <t>Дача</t>
        </is>
      </c>
      <c r="C672" s="21" t="inlineStr">
        <is>
          <t>Омск</t>
        </is>
      </c>
      <c r="D672" s="22" t="n">
        <v>2149</v>
      </c>
    </row>
    <row r="673">
      <c r="A673" s="21" t="inlineStr">
        <is>
          <t>Покупка</t>
        </is>
      </c>
      <c r="B673" s="21" t="inlineStr">
        <is>
          <t>Дача</t>
        </is>
      </c>
      <c r="C673" s="21" t="inlineStr">
        <is>
          <t>Оренбург</t>
        </is>
      </c>
      <c r="D673" s="22" t="n">
        <v>1696</v>
      </c>
    </row>
    <row r="674">
      <c r="A674" s="21" t="inlineStr">
        <is>
          <t>Покупка</t>
        </is>
      </c>
      <c r="B674" s="21" t="inlineStr">
        <is>
          <t>Дача</t>
        </is>
      </c>
      <c r="C674" s="21" t="inlineStr">
        <is>
          <t>Орехово-Зуево</t>
        </is>
      </c>
      <c r="D674" s="22" t="n">
        <v>24</v>
      </c>
    </row>
    <row r="675">
      <c r="A675" s="21" t="inlineStr">
        <is>
          <t>Покупка</t>
        </is>
      </c>
      <c r="B675" s="21" t="inlineStr">
        <is>
          <t>Дача</t>
        </is>
      </c>
      <c r="C675" s="21" t="inlineStr">
        <is>
          <t>Орёл</t>
        </is>
      </c>
      <c r="D675" s="22" t="n">
        <v>251</v>
      </c>
    </row>
    <row r="676">
      <c r="A676" s="21" t="inlineStr">
        <is>
          <t>Покупка</t>
        </is>
      </c>
      <c r="B676" s="21" t="inlineStr">
        <is>
          <t>Дача</t>
        </is>
      </c>
      <c r="C676" s="21" t="inlineStr">
        <is>
          <t>Пенза</t>
        </is>
      </c>
      <c r="D676" s="22" t="n">
        <v>526</v>
      </c>
    </row>
    <row r="677">
      <c r="A677" s="21" t="inlineStr">
        <is>
          <t>Покупка</t>
        </is>
      </c>
      <c r="B677" s="21" t="inlineStr">
        <is>
          <t>Дача</t>
        </is>
      </c>
      <c r="C677" s="21" t="inlineStr">
        <is>
          <t>Пермь</t>
        </is>
      </c>
      <c r="D677" s="22" t="n">
        <v>525</v>
      </c>
    </row>
    <row r="678">
      <c r="A678" s="21" t="inlineStr">
        <is>
          <t>Покупка</t>
        </is>
      </c>
      <c r="B678" s="21" t="inlineStr">
        <is>
          <t>Дача</t>
        </is>
      </c>
      <c r="C678" s="21" t="inlineStr">
        <is>
          <t>Петропавловск-Камчатский</t>
        </is>
      </c>
      <c r="D678" s="22" t="n">
        <v>63</v>
      </c>
    </row>
    <row r="679">
      <c r="A679" s="21" t="inlineStr">
        <is>
          <t>Покупка</t>
        </is>
      </c>
      <c r="B679" s="21" t="inlineStr">
        <is>
          <t>Дача</t>
        </is>
      </c>
      <c r="C679" s="21" t="inlineStr">
        <is>
          <t>Петрозаводск</t>
        </is>
      </c>
      <c r="D679" s="22" t="n">
        <v>114</v>
      </c>
    </row>
    <row r="680">
      <c r="A680" s="21" t="inlineStr">
        <is>
          <t>Покупка</t>
        </is>
      </c>
      <c r="B680" s="21" t="inlineStr">
        <is>
          <t>Дача</t>
        </is>
      </c>
      <c r="C680" s="21" t="inlineStr">
        <is>
          <t>Подольск</t>
        </is>
      </c>
      <c r="D680" s="22" t="n">
        <v>99</v>
      </c>
    </row>
    <row r="681">
      <c r="A681" s="21" t="inlineStr">
        <is>
          <t>Покупка</t>
        </is>
      </c>
      <c r="B681" s="21" t="inlineStr">
        <is>
          <t>Дача</t>
        </is>
      </c>
      <c r="C681" s="21" t="inlineStr">
        <is>
          <t>Прокопьевск</t>
        </is>
      </c>
      <c r="D681" s="22" t="n">
        <v>470</v>
      </c>
    </row>
    <row r="682">
      <c r="A682" s="21" t="inlineStr">
        <is>
          <t>Покупка</t>
        </is>
      </c>
      <c r="B682" s="21" t="inlineStr">
        <is>
          <t>Дача</t>
        </is>
      </c>
      <c r="C682" s="21" t="inlineStr">
        <is>
          <t>Псков</t>
        </is>
      </c>
      <c r="D682" s="22" t="n">
        <v>124</v>
      </c>
    </row>
    <row r="683">
      <c r="A683" s="21" t="inlineStr">
        <is>
          <t>Покупка</t>
        </is>
      </c>
      <c r="B683" s="21" t="inlineStr">
        <is>
          <t>Дача</t>
        </is>
      </c>
      <c r="C683" s="21" t="inlineStr">
        <is>
          <t>Пушкино</t>
        </is>
      </c>
      <c r="D683" s="22" t="n">
        <v>73</v>
      </c>
    </row>
    <row r="684">
      <c r="A684" s="21" t="inlineStr">
        <is>
          <t>Покупка</t>
        </is>
      </c>
      <c r="B684" s="21" t="inlineStr">
        <is>
          <t>Дача</t>
        </is>
      </c>
      <c r="C684" s="21" t="inlineStr">
        <is>
          <t>Раменское</t>
        </is>
      </c>
      <c r="D684" s="22" t="n">
        <v>162</v>
      </c>
    </row>
    <row r="685">
      <c r="A685" s="21" t="inlineStr">
        <is>
          <t>Покупка</t>
        </is>
      </c>
      <c r="B685" s="21" t="inlineStr">
        <is>
          <t>Дача</t>
        </is>
      </c>
      <c r="C685" s="21" t="inlineStr">
        <is>
          <t>Ростов-на-Дону</t>
        </is>
      </c>
      <c r="D685" s="22" t="n">
        <v>6033</v>
      </c>
    </row>
    <row r="686">
      <c r="A686" s="21" t="inlineStr">
        <is>
          <t>Покупка</t>
        </is>
      </c>
      <c r="B686" s="21" t="inlineStr">
        <is>
          <t>Дача</t>
        </is>
      </c>
      <c r="C686" s="21" t="inlineStr">
        <is>
          <t>Рязань</t>
        </is>
      </c>
      <c r="D686" s="22" t="n">
        <v>269</v>
      </c>
    </row>
    <row r="687">
      <c r="A687" s="21" t="inlineStr">
        <is>
          <t>Покупка</t>
        </is>
      </c>
      <c r="B687" s="21" t="inlineStr">
        <is>
          <t>Дача</t>
        </is>
      </c>
      <c r="C687" s="21" t="inlineStr">
        <is>
          <t>Салехард</t>
        </is>
      </c>
      <c r="D687" s="22" t="n">
        <v>138</v>
      </c>
    </row>
    <row r="688">
      <c r="A688" s="21" t="inlineStr">
        <is>
          <t>Покупка</t>
        </is>
      </c>
      <c r="B688" s="21" t="inlineStr">
        <is>
          <t>Дача</t>
        </is>
      </c>
      <c r="C688" s="21" t="inlineStr">
        <is>
          <t>Самара</t>
        </is>
      </c>
      <c r="D688" s="22" t="n">
        <v>823</v>
      </c>
    </row>
    <row r="689">
      <c r="A689" s="21" t="inlineStr">
        <is>
          <t>Покупка</t>
        </is>
      </c>
      <c r="B689" s="21" t="inlineStr">
        <is>
          <t>Дача</t>
        </is>
      </c>
      <c r="C689" s="21" t="inlineStr">
        <is>
          <t>Саранск</t>
        </is>
      </c>
      <c r="D689" s="22" t="n">
        <v>88</v>
      </c>
    </row>
    <row r="690">
      <c r="A690" s="21" t="inlineStr">
        <is>
          <t>Покупка</t>
        </is>
      </c>
      <c r="B690" s="21" t="inlineStr">
        <is>
          <t>Дача</t>
        </is>
      </c>
      <c r="C690" s="21" t="inlineStr">
        <is>
          <t>Саратов</t>
        </is>
      </c>
      <c r="D690" s="22" t="n">
        <v>1234</v>
      </c>
    </row>
    <row r="691">
      <c r="A691" s="21" t="inlineStr">
        <is>
          <t>Покупка</t>
        </is>
      </c>
      <c r="B691" s="21" t="inlineStr">
        <is>
          <t>Дача</t>
        </is>
      </c>
      <c r="C691" s="21" t="inlineStr">
        <is>
          <t>Сергиев Посад</t>
        </is>
      </c>
      <c r="D691" s="22" t="n">
        <v>117</v>
      </c>
    </row>
    <row r="692">
      <c r="A692" s="21" t="inlineStr">
        <is>
          <t>Покупка</t>
        </is>
      </c>
      <c r="B692" s="21" t="inlineStr">
        <is>
          <t>Дача</t>
        </is>
      </c>
      <c r="C692" s="21" t="inlineStr">
        <is>
          <t>Серпухов</t>
        </is>
      </c>
      <c r="D692" s="22" t="n">
        <v>16</v>
      </c>
    </row>
    <row r="693">
      <c r="A693" s="21" t="inlineStr">
        <is>
          <t>Покупка</t>
        </is>
      </c>
      <c r="B693" s="21" t="inlineStr">
        <is>
          <t>Дача</t>
        </is>
      </c>
      <c r="C693" s="21" t="inlineStr">
        <is>
          <t>Севастополь</t>
        </is>
      </c>
      <c r="D693" s="22" t="n">
        <v>4470</v>
      </c>
    </row>
    <row r="694">
      <c r="A694" s="21" t="inlineStr">
        <is>
          <t>Покупка</t>
        </is>
      </c>
      <c r="B694" s="21" t="inlineStr">
        <is>
          <t>Дача</t>
        </is>
      </c>
      <c r="C694" s="21" t="inlineStr">
        <is>
          <t>Северодвинск</t>
        </is>
      </c>
      <c r="D694" s="22" t="n">
        <v>80</v>
      </c>
    </row>
    <row r="695">
      <c r="A695" s="21" t="inlineStr">
        <is>
          <t>Покупка</t>
        </is>
      </c>
      <c r="B695" s="21" t="inlineStr">
        <is>
          <t>Дача</t>
        </is>
      </c>
      <c r="C695" s="21" t="inlineStr">
        <is>
          <t>Симферополь</t>
        </is>
      </c>
      <c r="D695" s="22" t="n">
        <v>905</v>
      </c>
    </row>
    <row r="696">
      <c r="A696" s="21" t="inlineStr">
        <is>
          <t>Покупка</t>
        </is>
      </c>
      <c r="B696" s="21" t="inlineStr">
        <is>
          <t>Дача</t>
        </is>
      </c>
      <c r="C696" s="21" t="inlineStr">
        <is>
          <t>Смоленск</t>
        </is>
      </c>
      <c r="D696" s="22" t="n">
        <v>356</v>
      </c>
    </row>
    <row r="697">
      <c r="A697" s="21" t="inlineStr">
        <is>
          <t>Покупка</t>
        </is>
      </c>
      <c r="B697" s="21" t="inlineStr">
        <is>
          <t>Дача</t>
        </is>
      </c>
      <c r="C697" s="21" t="inlineStr">
        <is>
          <t>Сочи</t>
        </is>
      </c>
      <c r="D697" s="22" t="n">
        <v>1300</v>
      </c>
    </row>
    <row r="698">
      <c r="A698" s="21" t="inlineStr">
        <is>
          <t>Покупка</t>
        </is>
      </c>
      <c r="B698" s="21" t="inlineStr">
        <is>
          <t>Дача</t>
        </is>
      </c>
      <c r="C698" s="21" t="inlineStr">
        <is>
          <t>Санкт-Петербург</t>
        </is>
      </c>
      <c r="D698" s="22" t="n">
        <v>920</v>
      </c>
    </row>
    <row r="699">
      <c r="A699" s="21" t="inlineStr">
        <is>
          <t>Покупка</t>
        </is>
      </c>
      <c r="B699" s="21" t="inlineStr">
        <is>
          <t>Дача</t>
        </is>
      </c>
      <c r="C699" s="21" t="inlineStr">
        <is>
          <t>Старый Оскол</t>
        </is>
      </c>
      <c r="D699" s="22" t="n">
        <v>1685</v>
      </c>
    </row>
    <row r="700">
      <c r="A700" s="21" t="inlineStr">
        <is>
          <t>Покупка</t>
        </is>
      </c>
      <c r="B700" s="21" t="inlineStr">
        <is>
          <t>Дача</t>
        </is>
      </c>
      <c r="C700" s="21" t="inlineStr">
        <is>
          <t>Ставрополь</t>
        </is>
      </c>
      <c r="D700" s="22" t="n">
        <v>1898</v>
      </c>
    </row>
    <row r="701">
      <c r="A701" s="21" t="inlineStr">
        <is>
          <t>Покупка</t>
        </is>
      </c>
      <c r="B701" s="21" t="inlineStr">
        <is>
          <t>Дача</t>
        </is>
      </c>
      <c r="C701" s="21" t="inlineStr">
        <is>
          <t>Стерлитамак</t>
        </is>
      </c>
      <c r="D701" s="22" t="n">
        <v>588</v>
      </c>
    </row>
    <row r="702">
      <c r="A702" s="21" t="inlineStr">
        <is>
          <t>Покупка</t>
        </is>
      </c>
      <c r="B702" s="21" t="inlineStr">
        <is>
          <t>Дача</t>
        </is>
      </c>
      <c r="C702" s="21" t="inlineStr">
        <is>
          <t>Сургут</t>
        </is>
      </c>
      <c r="D702" s="22" t="n">
        <v>1487</v>
      </c>
    </row>
    <row r="703">
      <c r="A703" s="21" t="inlineStr">
        <is>
          <t>Покупка</t>
        </is>
      </c>
      <c r="B703" s="21" t="inlineStr">
        <is>
          <t>Дача</t>
        </is>
      </c>
      <c r="C703" s="21" t="inlineStr">
        <is>
          <t>Сыктывкар</t>
        </is>
      </c>
      <c r="D703" s="22" t="n">
        <v>333</v>
      </c>
    </row>
    <row r="704">
      <c r="A704" s="21" t="inlineStr">
        <is>
          <t>Покупка</t>
        </is>
      </c>
      <c r="B704" s="21" t="inlineStr">
        <is>
          <t>Дача</t>
        </is>
      </c>
      <c r="C704" s="21" t="inlineStr">
        <is>
          <t>Тамбов</t>
        </is>
      </c>
      <c r="D704" s="22" t="n">
        <v>341</v>
      </c>
    </row>
    <row r="705">
      <c r="A705" s="21" t="inlineStr">
        <is>
          <t>Покупка</t>
        </is>
      </c>
      <c r="B705" s="21" t="inlineStr">
        <is>
          <t>Дача</t>
        </is>
      </c>
      <c r="C705" s="21" t="inlineStr">
        <is>
          <t>Тольятти</t>
        </is>
      </c>
      <c r="D705" s="22" t="n">
        <v>315</v>
      </c>
    </row>
    <row r="706">
      <c r="A706" s="21" t="inlineStr">
        <is>
          <t>Покупка</t>
        </is>
      </c>
      <c r="B706" s="21" t="inlineStr">
        <is>
          <t>Дача</t>
        </is>
      </c>
      <c r="C706" s="21" t="inlineStr">
        <is>
          <t>Томск</t>
        </is>
      </c>
      <c r="D706" s="22" t="n">
        <v>793</v>
      </c>
    </row>
    <row r="707">
      <c r="A707" s="21" t="inlineStr">
        <is>
          <t>Покупка</t>
        </is>
      </c>
      <c r="B707" s="21" t="inlineStr">
        <is>
          <t>Дача</t>
        </is>
      </c>
      <c r="C707" s="21" t="inlineStr">
        <is>
          <t>Тула</t>
        </is>
      </c>
      <c r="D707" s="22" t="n">
        <v>791</v>
      </c>
    </row>
    <row r="708">
      <c r="A708" s="21" t="inlineStr">
        <is>
          <t>Покупка</t>
        </is>
      </c>
      <c r="B708" s="21" t="inlineStr">
        <is>
          <t>Дача</t>
        </is>
      </c>
      <c r="C708" s="21" t="inlineStr">
        <is>
          <t>Тверь</t>
        </is>
      </c>
      <c r="D708" s="22" t="n">
        <v>230</v>
      </c>
    </row>
    <row r="709">
      <c r="A709" s="21" t="inlineStr">
        <is>
          <t>Покупка</t>
        </is>
      </c>
      <c r="B709" s="21" t="inlineStr">
        <is>
          <t>Дача</t>
        </is>
      </c>
      <c r="C709" s="21" t="inlineStr">
        <is>
          <t>Тюмень</t>
        </is>
      </c>
      <c r="D709" s="22" t="n">
        <v>9126</v>
      </c>
    </row>
    <row r="710">
      <c r="A710" s="21" t="inlineStr">
        <is>
          <t>Покупка</t>
        </is>
      </c>
      <c r="B710" s="21" t="inlineStr">
        <is>
          <t>Дача</t>
        </is>
      </c>
      <c r="C710" s="21" t="inlineStr">
        <is>
          <t>Уфа</t>
        </is>
      </c>
      <c r="D710" s="22" t="n">
        <v>3460</v>
      </c>
    </row>
    <row r="711">
      <c r="A711" s="21" t="inlineStr">
        <is>
          <t>Покупка</t>
        </is>
      </c>
      <c r="B711" s="21" t="inlineStr">
        <is>
          <t>Дача</t>
        </is>
      </c>
      <c r="C711" s="21" t="inlineStr">
        <is>
          <t>Улан-Удэ</t>
        </is>
      </c>
      <c r="D711" s="22" t="n">
        <v>2296</v>
      </c>
    </row>
    <row r="712">
      <c r="A712" s="21" t="inlineStr">
        <is>
          <t>Покупка</t>
        </is>
      </c>
      <c r="B712" s="21" t="inlineStr">
        <is>
          <t>Дача</t>
        </is>
      </c>
      <c r="C712" s="21" t="inlineStr">
        <is>
          <t>Ульяновск</t>
        </is>
      </c>
      <c r="D712" s="22" t="n">
        <v>717</v>
      </c>
    </row>
    <row r="713">
      <c r="A713" s="21" t="inlineStr">
        <is>
          <t>Покупка</t>
        </is>
      </c>
      <c r="B713" s="21" t="inlineStr">
        <is>
          <t>Дача</t>
        </is>
      </c>
      <c r="C713" s="21" t="inlineStr">
        <is>
          <t>Великий Новгород</t>
        </is>
      </c>
      <c r="D713" s="22" t="n">
        <v>63</v>
      </c>
    </row>
    <row r="714">
      <c r="A714" s="21" t="inlineStr">
        <is>
          <t>Покупка</t>
        </is>
      </c>
      <c r="B714" s="21" t="inlineStr">
        <is>
          <t>Дача</t>
        </is>
      </c>
      <c r="C714" s="21" t="inlineStr">
        <is>
          <t>Владикавказ</t>
        </is>
      </c>
      <c r="D714" s="22" t="n">
        <v>484</v>
      </c>
    </row>
    <row r="715">
      <c r="A715" s="21" t="inlineStr">
        <is>
          <t>Покупка</t>
        </is>
      </c>
      <c r="B715" s="21" t="inlineStr">
        <is>
          <t>Дача</t>
        </is>
      </c>
      <c r="C715" s="21" t="inlineStr">
        <is>
          <t>Владимир</t>
        </is>
      </c>
      <c r="D715" s="22" t="n">
        <v>430</v>
      </c>
    </row>
    <row r="716">
      <c r="A716" s="21" t="inlineStr">
        <is>
          <t>Покупка</t>
        </is>
      </c>
      <c r="B716" s="21" t="inlineStr">
        <is>
          <t>Дача</t>
        </is>
      </c>
      <c r="C716" s="21" t="inlineStr">
        <is>
          <t>Владивосток</t>
        </is>
      </c>
      <c r="D716" s="22" t="n">
        <v>264</v>
      </c>
    </row>
    <row r="717">
      <c r="A717" s="21" t="inlineStr">
        <is>
          <t>Покупка</t>
        </is>
      </c>
      <c r="B717" s="21" t="inlineStr">
        <is>
          <t>Дача</t>
        </is>
      </c>
      <c r="C717" s="21" t="inlineStr">
        <is>
          <t>Волгоград</t>
        </is>
      </c>
      <c r="D717" s="22" t="n">
        <v>1658</v>
      </c>
    </row>
    <row r="718">
      <c r="A718" s="21" t="inlineStr">
        <is>
          <t>Покупка</t>
        </is>
      </c>
      <c r="B718" s="21" t="inlineStr">
        <is>
          <t>Дача</t>
        </is>
      </c>
      <c r="C718" s="21" t="inlineStr">
        <is>
          <t>Вологда</t>
        </is>
      </c>
      <c r="D718" s="22" t="n">
        <v>213</v>
      </c>
    </row>
    <row r="719">
      <c r="A719" s="21" t="inlineStr">
        <is>
          <t>Покупка</t>
        </is>
      </c>
      <c r="B719" s="21" t="inlineStr">
        <is>
          <t>Дача</t>
        </is>
      </c>
      <c r="C719" s="21" t="inlineStr">
        <is>
          <t>Волжский</t>
        </is>
      </c>
      <c r="D719" s="22" t="n">
        <v>392</v>
      </c>
    </row>
    <row r="720">
      <c r="A720" s="21" t="inlineStr">
        <is>
          <t>Покупка</t>
        </is>
      </c>
      <c r="B720" s="21" t="inlineStr">
        <is>
          <t>Дача</t>
        </is>
      </c>
      <c r="C720" s="21" t="inlineStr">
        <is>
          <t>Воронеж</t>
        </is>
      </c>
      <c r="D720" s="22" t="n">
        <v>737</v>
      </c>
    </row>
    <row r="721">
      <c r="A721" s="21" t="inlineStr">
        <is>
          <t>Покупка</t>
        </is>
      </c>
      <c r="B721" s="21" t="inlineStr">
        <is>
          <t>Дача</t>
        </is>
      </c>
      <c r="C721" s="21" t="inlineStr">
        <is>
          <t>Хабаровск</t>
        </is>
      </c>
      <c r="D721" s="22" t="n">
        <v>826</v>
      </c>
    </row>
    <row r="722">
      <c r="A722" s="21" t="inlineStr">
        <is>
          <t>Покупка</t>
        </is>
      </c>
      <c r="B722" s="21" t="inlineStr">
        <is>
          <t>Дача</t>
        </is>
      </c>
      <c r="C722" s="21" t="inlineStr">
        <is>
          <t>Ханты-Мансийск</t>
        </is>
      </c>
      <c r="D722" s="22" t="n">
        <v>411</v>
      </c>
    </row>
    <row r="723">
      <c r="A723" s="21" t="inlineStr">
        <is>
          <t>Покупка</t>
        </is>
      </c>
      <c r="B723" s="21" t="inlineStr">
        <is>
          <t>Дача</t>
        </is>
      </c>
      <c r="C723" s="21" t="inlineStr">
        <is>
          <t>Химки</t>
        </is>
      </c>
      <c r="D723" s="22" t="n">
        <v>125</v>
      </c>
    </row>
    <row r="724">
      <c r="A724" s="21" t="inlineStr">
        <is>
          <t>Покупка</t>
        </is>
      </c>
      <c r="B724" s="21" t="inlineStr">
        <is>
          <t>Дача</t>
        </is>
      </c>
      <c r="C724" s="21" t="inlineStr">
        <is>
          <t>Якутск</t>
        </is>
      </c>
      <c r="D724" s="22" t="n">
        <v>1415</v>
      </c>
    </row>
    <row r="725">
      <c r="A725" s="21" t="inlineStr">
        <is>
          <t>Покупка</t>
        </is>
      </c>
      <c r="B725" s="21" t="inlineStr">
        <is>
          <t>Дача</t>
        </is>
      </c>
      <c r="C725" s="21" t="inlineStr">
        <is>
          <t>Ярославль</t>
        </is>
      </c>
      <c r="D725" s="22" t="n">
        <v>358</v>
      </c>
    </row>
    <row r="726">
      <c r="A726" s="21" t="inlineStr">
        <is>
          <t>Покупка</t>
        </is>
      </c>
      <c r="B726" s="21" t="inlineStr">
        <is>
          <t>Дача</t>
        </is>
      </c>
      <c r="C726" s="21" t="inlineStr">
        <is>
          <t>Южно-Сахалинск</t>
        </is>
      </c>
      <c r="D726" s="22" t="n">
        <v>833</v>
      </c>
    </row>
    <row r="727">
      <c r="A727" s="21" t="inlineStr">
        <is>
          <t>Покупка</t>
        </is>
      </c>
      <c r="B727" s="21" t="inlineStr">
        <is>
          <t>Дача</t>
        </is>
      </c>
      <c r="C727" s="21" t="inlineStr">
        <is>
          <t>Жуковский</t>
        </is>
      </c>
      <c r="D727" s="22" t="n">
        <v>25</v>
      </c>
    </row>
    <row r="728">
      <c r="A728" s="27" t="inlineStr">
        <is>
          <t>Покупка</t>
        </is>
      </c>
      <c r="B728" s="17" t="inlineStr">
        <is>
          <t>Коттеджи</t>
        </is>
      </c>
      <c r="C728" s="28" t="inlineStr">
        <is>
          <t>Абакан</t>
        </is>
      </c>
      <c r="D728" s="19" t="n">
        <v>171</v>
      </c>
    </row>
    <row r="729">
      <c r="A729" s="21" t="inlineStr">
        <is>
          <t>Покупка</t>
        </is>
      </c>
      <c r="B729" s="21" t="inlineStr">
        <is>
          <t>Коттеджи</t>
        </is>
      </c>
      <c r="C729" s="21" t="inlineStr">
        <is>
          <t>Архангельск</t>
        </is>
      </c>
      <c r="D729" s="22" t="n">
        <v>33</v>
      </c>
    </row>
    <row r="730">
      <c r="A730" s="21" t="inlineStr">
        <is>
          <t>Покупка</t>
        </is>
      </c>
      <c r="B730" s="21" t="inlineStr">
        <is>
          <t>Коттеджи</t>
        </is>
      </c>
      <c r="C730" s="21" t="inlineStr">
        <is>
          <t>Астрахань</t>
        </is>
      </c>
      <c r="D730" s="22" t="n">
        <v>212</v>
      </c>
    </row>
    <row r="731">
      <c r="A731" s="21" t="inlineStr">
        <is>
          <t>Покупка</t>
        </is>
      </c>
      <c r="B731" s="21" t="inlineStr">
        <is>
          <t>Коттеджи</t>
        </is>
      </c>
      <c r="C731" s="21" t="inlineStr">
        <is>
          <t>Балашиха</t>
        </is>
      </c>
      <c r="D731" s="22" t="n">
        <v>96</v>
      </c>
    </row>
    <row r="732">
      <c r="A732" s="21" t="inlineStr">
        <is>
          <t>Покупка</t>
        </is>
      </c>
      <c r="B732" s="21" t="inlineStr">
        <is>
          <t>Коттеджи</t>
        </is>
      </c>
      <c r="C732" s="21" t="inlineStr">
        <is>
          <t>Барнаул</t>
        </is>
      </c>
      <c r="D732" s="22" t="n">
        <v>154</v>
      </c>
    </row>
    <row r="733">
      <c r="A733" s="21" t="inlineStr">
        <is>
          <t>Покупка</t>
        </is>
      </c>
      <c r="B733" s="21" t="inlineStr">
        <is>
          <t>Коттеджи</t>
        </is>
      </c>
      <c r="C733" s="21" t="inlineStr">
        <is>
          <t>Белгород</t>
        </is>
      </c>
      <c r="D733" s="22" t="n">
        <v>257</v>
      </c>
    </row>
    <row r="734">
      <c r="A734" s="21" t="inlineStr">
        <is>
          <t>Покупка</t>
        </is>
      </c>
      <c r="B734" s="21" t="inlineStr">
        <is>
          <t>Коттеджи</t>
        </is>
      </c>
      <c r="C734" s="21" t="inlineStr">
        <is>
          <t>Биробиджан</t>
        </is>
      </c>
      <c r="D734" s="22" t="n">
        <v>6</v>
      </c>
    </row>
    <row r="735">
      <c r="A735" s="21" t="inlineStr">
        <is>
          <t>Покупка</t>
        </is>
      </c>
      <c r="B735" s="21" t="inlineStr">
        <is>
          <t>Коттеджи</t>
        </is>
      </c>
      <c r="C735" s="21" t="inlineStr">
        <is>
          <t>Благовещенск</t>
        </is>
      </c>
      <c r="D735" s="22" t="n">
        <v>99</v>
      </c>
    </row>
    <row r="736">
      <c r="A736" s="21" t="inlineStr">
        <is>
          <t>Покупка</t>
        </is>
      </c>
      <c r="B736" s="21" t="inlineStr">
        <is>
          <t>Коттеджи</t>
        </is>
      </c>
      <c r="C736" s="21" t="inlineStr">
        <is>
          <t>Братск</t>
        </is>
      </c>
      <c r="D736" s="22" t="n">
        <v>34</v>
      </c>
    </row>
    <row r="737">
      <c r="A737" s="21" t="inlineStr">
        <is>
          <t>Покупка</t>
        </is>
      </c>
      <c r="B737" s="21" t="inlineStr">
        <is>
          <t>Коттеджи</t>
        </is>
      </c>
      <c r="C737" s="21" t="inlineStr">
        <is>
          <t>Брянск</t>
        </is>
      </c>
      <c r="D737" s="22" t="n">
        <v>106</v>
      </c>
    </row>
    <row r="738">
      <c r="A738" s="21" t="inlineStr">
        <is>
          <t>Покупка</t>
        </is>
      </c>
      <c r="B738" s="21" t="inlineStr">
        <is>
          <t>Коттеджи</t>
        </is>
      </c>
      <c r="C738" s="21" t="inlineStr">
        <is>
          <t>Чебоксары</t>
        </is>
      </c>
      <c r="D738" s="22" t="n">
        <v>82</v>
      </c>
    </row>
    <row r="739">
      <c r="A739" s="21" t="inlineStr">
        <is>
          <t>Покупка</t>
        </is>
      </c>
      <c r="B739" s="21" t="inlineStr">
        <is>
          <t>Коттеджи</t>
        </is>
      </c>
      <c r="C739" s="21" t="inlineStr">
        <is>
          <t>Челябинск</t>
        </is>
      </c>
      <c r="D739" s="22" t="n">
        <v>210</v>
      </c>
    </row>
    <row r="740">
      <c r="A740" s="21" t="inlineStr">
        <is>
          <t>Покупка</t>
        </is>
      </c>
      <c r="B740" s="21" t="inlineStr">
        <is>
          <t>Коттеджи</t>
        </is>
      </c>
      <c r="C740" s="21" t="inlineStr">
        <is>
          <t>Череповец</t>
        </is>
      </c>
      <c r="D740" s="22" t="n">
        <v>21</v>
      </c>
    </row>
    <row r="741">
      <c r="A741" s="21" t="inlineStr">
        <is>
          <t>Покупка</t>
        </is>
      </c>
      <c r="B741" s="21" t="inlineStr">
        <is>
          <t>Коттеджи</t>
        </is>
      </c>
      <c r="C741" s="21" t="inlineStr">
        <is>
          <t>Черкесск</t>
        </is>
      </c>
      <c r="D741" s="22" t="n">
        <v>68</v>
      </c>
    </row>
    <row r="742">
      <c r="A742" s="21" t="inlineStr">
        <is>
          <t>Покупка</t>
        </is>
      </c>
      <c r="B742" s="21" t="inlineStr">
        <is>
          <t>Коттеджи</t>
        </is>
      </c>
      <c r="C742" s="21" t="inlineStr">
        <is>
          <t>Чита</t>
        </is>
      </c>
      <c r="D742" s="22" t="n">
        <v>246</v>
      </c>
    </row>
    <row r="743">
      <c r="A743" s="21" t="inlineStr">
        <is>
          <t>Покупка</t>
        </is>
      </c>
      <c r="B743" s="21" t="inlineStr">
        <is>
          <t>Коттеджи</t>
        </is>
      </c>
      <c r="C743" s="21" t="inlineStr">
        <is>
          <t>Долгопрудный</t>
        </is>
      </c>
      <c r="D743" s="22" t="n">
        <v>20</v>
      </c>
    </row>
    <row r="744">
      <c r="A744" s="21" t="inlineStr">
        <is>
          <t>Покупка</t>
        </is>
      </c>
      <c r="B744" s="21" t="inlineStr">
        <is>
          <t>Коттеджи</t>
        </is>
      </c>
      <c r="C744" s="21" t="inlineStr">
        <is>
          <t>Домодедово</t>
        </is>
      </c>
      <c r="D744" s="22" t="n">
        <v>143</v>
      </c>
    </row>
    <row r="745">
      <c r="A745" s="21" t="inlineStr">
        <is>
          <t>Покупка</t>
        </is>
      </c>
      <c r="B745" s="21" t="inlineStr">
        <is>
          <t>Коттеджи</t>
        </is>
      </c>
      <c r="C745" s="21" t="inlineStr">
        <is>
          <t>Дзержинск</t>
        </is>
      </c>
      <c r="D745" s="22" t="n">
        <v>15</v>
      </c>
    </row>
    <row r="746">
      <c r="A746" s="21" t="inlineStr">
        <is>
          <t>Покупка</t>
        </is>
      </c>
      <c r="B746" s="21" t="inlineStr">
        <is>
          <t>Коттеджи</t>
        </is>
      </c>
      <c r="C746" s="21" t="inlineStr">
        <is>
          <t>Екатеринбург</t>
        </is>
      </c>
      <c r="D746" s="22" t="n">
        <v>405</v>
      </c>
    </row>
    <row r="747">
      <c r="A747" s="21" t="inlineStr">
        <is>
          <t>Покупка</t>
        </is>
      </c>
      <c r="B747" s="21" t="inlineStr">
        <is>
          <t>Коттеджи</t>
        </is>
      </c>
      <c r="C747" s="21" t="inlineStr">
        <is>
          <t>Элиста</t>
        </is>
      </c>
      <c r="D747" s="22" t="n">
        <v>111</v>
      </c>
    </row>
    <row r="748">
      <c r="A748" s="21" t="inlineStr">
        <is>
          <t>Покупка</t>
        </is>
      </c>
      <c r="B748" s="21" t="inlineStr">
        <is>
          <t>Коттеджи</t>
        </is>
      </c>
      <c r="C748" s="21" t="inlineStr">
        <is>
          <t>Энгельс</t>
        </is>
      </c>
      <c r="D748" s="22" t="n">
        <v>108</v>
      </c>
    </row>
    <row r="749">
      <c r="A749" s="21" t="inlineStr">
        <is>
          <t>Покупка</t>
        </is>
      </c>
      <c r="B749" s="21" t="inlineStr">
        <is>
          <t>Коттеджи</t>
        </is>
      </c>
      <c r="C749" s="21" t="inlineStr">
        <is>
          <t>Горно-Алтайск</t>
        </is>
      </c>
      <c r="D749" s="22" t="n">
        <v>116</v>
      </c>
    </row>
    <row r="750">
      <c r="A750" s="21" t="inlineStr">
        <is>
          <t>Покупка</t>
        </is>
      </c>
      <c r="B750" s="21" t="inlineStr">
        <is>
          <t>Коттеджи</t>
        </is>
      </c>
      <c r="C750" s="21" t="inlineStr">
        <is>
          <t>Грозный</t>
        </is>
      </c>
      <c r="D750" s="22" t="n">
        <v>16</v>
      </c>
    </row>
    <row r="751">
      <c r="A751" s="21" t="inlineStr">
        <is>
          <t>Покупка</t>
        </is>
      </c>
      <c r="B751" s="21" t="inlineStr">
        <is>
          <t>Коттеджи</t>
        </is>
      </c>
      <c r="C751" s="21" t="inlineStr">
        <is>
          <t>Иркутск</t>
        </is>
      </c>
      <c r="D751" s="22" t="n">
        <v>166</v>
      </c>
    </row>
    <row r="752">
      <c r="A752" s="21" t="inlineStr">
        <is>
          <t>Покупка</t>
        </is>
      </c>
      <c r="B752" s="21" t="inlineStr">
        <is>
          <t>Коттеджи</t>
        </is>
      </c>
      <c r="C752" s="21" t="inlineStr">
        <is>
          <t>Иваново</t>
        </is>
      </c>
      <c r="D752" s="22" t="n">
        <v>89</v>
      </c>
    </row>
    <row r="753">
      <c r="A753" s="21" t="inlineStr">
        <is>
          <t>Покупка</t>
        </is>
      </c>
      <c r="B753" s="21" t="inlineStr">
        <is>
          <t>Коттеджи</t>
        </is>
      </c>
      <c r="C753" s="21" t="inlineStr">
        <is>
          <t>Ижевск</t>
        </is>
      </c>
      <c r="D753" s="22" t="n">
        <v>145</v>
      </c>
    </row>
    <row r="754">
      <c r="A754" s="21" t="inlineStr">
        <is>
          <t>Покупка</t>
        </is>
      </c>
      <c r="B754" s="21" t="inlineStr">
        <is>
          <t>Коттеджи</t>
        </is>
      </c>
      <c r="C754" s="21" t="inlineStr">
        <is>
          <t>Йошкар-Ола</t>
        </is>
      </c>
      <c r="D754" s="22" t="n">
        <v>42</v>
      </c>
    </row>
    <row r="755">
      <c r="A755" s="21" t="inlineStr">
        <is>
          <t>Покупка</t>
        </is>
      </c>
      <c r="B755" s="21" t="inlineStr">
        <is>
          <t>Коттеджи</t>
        </is>
      </c>
      <c r="C755" s="21" t="inlineStr">
        <is>
          <t>Калининград</t>
        </is>
      </c>
      <c r="D755" s="22" t="n">
        <v>484</v>
      </c>
    </row>
    <row r="756">
      <c r="A756" s="21" t="inlineStr">
        <is>
          <t>Покупка</t>
        </is>
      </c>
      <c r="B756" s="21" t="inlineStr">
        <is>
          <t>Коттеджи</t>
        </is>
      </c>
      <c r="C756" s="21" t="inlineStr">
        <is>
          <t>Калуга</t>
        </is>
      </c>
      <c r="D756" s="22" t="n">
        <v>310</v>
      </c>
    </row>
    <row r="757">
      <c r="A757" s="21" t="inlineStr">
        <is>
          <t>Покупка</t>
        </is>
      </c>
      <c r="B757" s="21" t="inlineStr">
        <is>
          <t>Коттеджи</t>
        </is>
      </c>
      <c r="C757" s="21" t="inlineStr">
        <is>
          <t>Казань</t>
        </is>
      </c>
      <c r="D757" s="22" t="n">
        <v>601</v>
      </c>
    </row>
    <row r="758">
      <c r="A758" s="21" t="inlineStr">
        <is>
          <t>Покупка</t>
        </is>
      </c>
      <c r="B758" s="21" t="inlineStr">
        <is>
          <t>Коттеджи</t>
        </is>
      </c>
      <c r="C758" s="21" t="inlineStr">
        <is>
          <t>Кемерово</t>
        </is>
      </c>
      <c r="D758" s="22" t="n">
        <v>249</v>
      </c>
    </row>
    <row r="759">
      <c r="A759" s="21" t="inlineStr">
        <is>
          <t>Покупка</t>
        </is>
      </c>
      <c r="B759" s="21" t="inlineStr">
        <is>
          <t>Коттеджи</t>
        </is>
      </c>
      <c r="C759" s="21" t="inlineStr">
        <is>
          <t>Киров</t>
        </is>
      </c>
      <c r="D759" s="22" t="n">
        <v>45</v>
      </c>
    </row>
    <row r="760">
      <c r="A760" s="21" t="inlineStr">
        <is>
          <t>Покупка</t>
        </is>
      </c>
      <c r="B760" s="21" t="inlineStr">
        <is>
          <t>Коттеджи</t>
        </is>
      </c>
      <c r="C760" s="21" t="inlineStr">
        <is>
          <t>Коломна</t>
        </is>
      </c>
      <c r="D760" s="22" t="n">
        <v>11</v>
      </c>
    </row>
    <row r="761">
      <c r="A761" s="21" t="inlineStr">
        <is>
          <t>Покупка</t>
        </is>
      </c>
      <c r="B761" s="21" t="inlineStr">
        <is>
          <t>Коттеджи</t>
        </is>
      </c>
      <c r="C761" s="21" t="inlineStr">
        <is>
          <t>Комсомольск-на-Амуре</t>
        </is>
      </c>
      <c r="D761" s="22" t="n">
        <v>35</v>
      </c>
    </row>
    <row r="762">
      <c r="A762" s="21" t="inlineStr">
        <is>
          <t>Покупка</t>
        </is>
      </c>
      <c r="B762" s="21" t="inlineStr">
        <is>
          <t>Коттеджи</t>
        </is>
      </c>
      <c r="C762" s="21" t="inlineStr">
        <is>
          <t>Королёв</t>
        </is>
      </c>
      <c r="D762" s="22" t="n">
        <v>28</v>
      </c>
    </row>
    <row r="763">
      <c r="A763" s="21" t="inlineStr">
        <is>
          <t>Покупка</t>
        </is>
      </c>
      <c r="B763" s="21" t="inlineStr">
        <is>
          <t>Коттеджи</t>
        </is>
      </c>
      <c r="C763" s="21" t="inlineStr">
        <is>
          <t>Кострома</t>
        </is>
      </c>
      <c r="D763" s="22" t="n">
        <v>207</v>
      </c>
    </row>
    <row r="764">
      <c r="A764" s="21" t="inlineStr">
        <is>
          <t>Покупка</t>
        </is>
      </c>
      <c r="B764" s="21" t="inlineStr">
        <is>
          <t>Коттеджи</t>
        </is>
      </c>
      <c r="C764" s="21" t="inlineStr">
        <is>
          <t>Краснодар</t>
        </is>
      </c>
      <c r="D764" s="22" t="n">
        <v>3298</v>
      </c>
    </row>
    <row r="765">
      <c r="A765" s="21" t="inlineStr">
        <is>
          <t>Покупка</t>
        </is>
      </c>
      <c r="B765" s="21" t="inlineStr">
        <is>
          <t>Коттеджи</t>
        </is>
      </c>
      <c r="C765" s="21" t="inlineStr">
        <is>
          <t>Красногорск</t>
        </is>
      </c>
      <c r="D765" s="22" t="n">
        <v>45</v>
      </c>
    </row>
    <row r="766">
      <c r="A766" s="21" t="inlineStr">
        <is>
          <t>Покупка</t>
        </is>
      </c>
      <c r="B766" s="21" t="inlineStr">
        <is>
          <t>Коттеджи</t>
        </is>
      </c>
      <c r="C766" s="21" t="inlineStr">
        <is>
          <t>Красноярск</t>
        </is>
      </c>
      <c r="D766" s="22" t="n">
        <v>415</v>
      </c>
    </row>
    <row r="767">
      <c r="A767" s="21" t="inlineStr">
        <is>
          <t>Покупка</t>
        </is>
      </c>
      <c r="B767" s="21" t="inlineStr">
        <is>
          <t>Коттеджи</t>
        </is>
      </c>
      <c r="C767" s="21" t="inlineStr">
        <is>
          <t>Курган</t>
        </is>
      </c>
      <c r="D767" s="22" t="n">
        <v>131</v>
      </c>
    </row>
    <row r="768">
      <c r="A768" s="21" t="inlineStr">
        <is>
          <t>Покупка</t>
        </is>
      </c>
      <c r="B768" s="21" t="inlineStr">
        <is>
          <t>Коттеджи</t>
        </is>
      </c>
      <c r="C768" s="21" t="inlineStr">
        <is>
          <t>Курск</t>
        </is>
      </c>
      <c r="D768" s="22" t="n">
        <v>200</v>
      </c>
    </row>
    <row r="769">
      <c r="A769" s="21" t="inlineStr">
        <is>
          <t>Покупка</t>
        </is>
      </c>
      <c r="B769" s="21" t="inlineStr">
        <is>
          <t>Коттеджи</t>
        </is>
      </c>
      <c r="C769" s="21" t="inlineStr">
        <is>
          <t>Кызыл</t>
        </is>
      </c>
      <c r="D769" s="22" t="n">
        <v>273</v>
      </c>
    </row>
    <row r="770">
      <c r="A770" s="21" t="inlineStr">
        <is>
          <t>Покупка</t>
        </is>
      </c>
      <c r="B770" s="21" t="inlineStr">
        <is>
          <t>Коттеджи</t>
        </is>
      </c>
      <c r="C770" s="21" t="inlineStr">
        <is>
          <t>Липецк</t>
        </is>
      </c>
      <c r="D770" s="22" t="n">
        <v>104</v>
      </c>
    </row>
    <row r="771">
      <c r="A771" s="21" t="inlineStr">
        <is>
          <t>Покупка</t>
        </is>
      </c>
      <c r="B771" s="21" t="inlineStr">
        <is>
          <t>Коттеджи</t>
        </is>
      </c>
      <c r="C771" s="21" t="inlineStr">
        <is>
          <t>Магадан</t>
        </is>
      </c>
      <c r="D771" s="22" t="n">
        <v>6</v>
      </c>
    </row>
    <row r="772">
      <c r="A772" s="21" t="inlineStr">
        <is>
          <t>Покупка</t>
        </is>
      </c>
      <c r="B772" s="21" t="inlineStr">
        <is>
          <t>Коттеджи</t>
        </is>
      </c>
      <c r="C772" s="21" t="inlineStr">
        <is>
          <t>Магнитогорск</t>
        </is>
      </c>
      <c r="D772" s="22" t="n">
        <v>214</v>
      </c>
    </row>
    <row r="773">
      <c r="A773" s="21" t="inlineStr">
        <is>
          <t>Покупка</t>
        </is>
      </c>
      <c r="B773" s="21" t="inlineStr">
        <is>
          <t>Коттеджи</t>
        </is>
      </c>
      <c r="C773" s="21" t="inlineStr">
        <is>
          <t>Майкоп</t>
        </is>
      </c>
      <c r="D773" s="22" t="n">
        <v>95</v>
      </c>
    </row>
    <row r="774">
      <c r="A774" s="21" t="inlineStr">
        <is>
          <t>Покупка</t>
        </is>
      </c>
      <c r="B774" s="21" t="inlineStr">
        <is>
          <t>Коттеджи</t>
        </is>
      </c>
      <c r="C774" s="21" t="inlineStr">
        <is>
          <t>Махачкала</t>
        </is>
      </c>
      <c r="D774" s="22" t="n">
        <v>75</v>
      </c>
    </row>
    <row r="775">
      <c r="A775" s="21" t="inlineStr">
        <is>
          <t>Покупка</t>
        </is>
      </c>
      <c r="B775" s="21" t="inlineStr">
        <is>
          <t>Коттеджи</t>
        </is>
      </c>
      <c r="C775" s="21" t="inlineStr">
        <is>
          <t>Москва</t>
        </is>
      </c>
      <c r="D775" s="22" t="n">
        <v>1352</v>
      </c>
    </row>
    <row r="776">
      <c r="A776" s="21" t="inlineStr">
        <is>
          <t>Покупка</t>
        </is>
      </c>
      <c r="B776" s="21" t="inlineStr">
        <is>
          <t>Коттеджи</t>
        </is>
      </c>
      <c r="C776" s="21" t="inlineStr">
        <is>
          <t>Мурманск</t>
        </is>
      </c>
      <c r="D776" s="22" t="n">
        <v>9</v>
      </c>
    </row>
    <row r="777">
      <c r="A777" s="21" t="inlineStr">
        <is>
          <t>Покупка</t>
        </is>
      </c>
      <c r="B777" s="21" t="inlineStr">
        <is>
          <t>Коттеджи</t>
        </is>
      </c>
      <c r="C777" s="21" t="inlineStr">
        <is>
          <t>Мытищи</t>
        </is>
      </c>
      <c r="D777" s="22" t="n">
        <v>29</v>
      </c>
    </row>
    <row r="778">
      <c r="A778" s="21" t="inlineStr">
        <is>
          <t>Покупка</t>
        </is>
      </c>
      <c r="B778" s="21" t="inlineStr">
        <is>
          <t>Коттеджи</t>
        </is>
      </c>
      <c r="C778" s="21" t="inlineStr">
        <is>
          <t>Набережные Челны</t>
        </is>
      </c>
      <c r="D778" s="22" t="n">
        <v>86</v>
      </c>
    </row>
    <row r="779">
      <c r="A779" s="21" t="inlineStr">
        <is>
          <t>Покупка</t>
        </is>
      </c>
      <c r="B779" s="21" t="inlineStr">
        <is>
          <t>Коттеджи</t>
        </is>
      </c>
      <c r="C779" s="21" t="inlineStr">
        <is>
          <t>Нальчик</t>
        </is>
      </c>
      <c r="D779" s="22" t="n">
        <v>54</v>
      </c>
    </row>
    <row r="780">
      <c r="A780" s="21" t="inlineStr">
        <is>
          <t>Покупка</t>
        </is>
      </c>
      <c r="B780" s="21" t="inlineStr">
        <is>
          <t>Коттеджи</t>
        </is>
      </c>
      <c r="C780" s="21" t="inlineStr">
        <is>
          <t>Нарьян-Мар</t>
        </is>
      </c>
      <c r="D780" s="22" t="n">
        <v>6</v>
      </c>
    </row>
    <row r="781">
      <c r="A781" s="21" t="inlineStr">
        <is>
          <t>Покупка</t>
        </is>
      </c>
      <c r="B781" s="21" t="inlineStr">
        <is>
          <t>Коттеджи</t>
        </is>
      </c>
      <c r="C781" s="21" t="inlineStr">
        <is>
          <t>Назрань</t>
        </is>
      </c>
      <c r="D781" s="22" t="n">
        <v>28</v>
      </c>
    </row>
    <row r="782">
      <c r="A782" s="21" t="inlineStr">
        <is>
          <t>Покупка</t>
        </is>
      </c>
      <c r="B782" s="21" t="inlineStr">
        <is>
          <t>Коттеджи</t>
        </is>
      </c>
      <c r="C782" s="21" t="inlineStr">
        <is>
          <t>Нефтеюганск</t>
        </is>
      </c>
      <c r="D782" s="22" t="n">
        <v>44</v>
      </c>
    </row>
    <row r="783">
      <c r="A783" s="21" t="inlineStr">
        <is>
          <t>Покупка</t>
        </is>
      </c>
      <c r="B783" s="21" t="inlineStr">
        <is>
          <t>Коттеджи</t>
        </is>
      </c>
      <c r="C783" s="21" t="inlineStr">
        <is>
          <t>Нижневартовск</t>
        </is>
      </c>
      <c r="D783" s="22" t="n">
        <v>128</v>
      </c>
    </row>
    <row r="784">
      <c r="A784" s="21" t="inlineStr">
        <is>
          <t>Покупка</t>
        </is>
      </c>
      <c r="B784" s="21" t="inlineStr">
        <is>
          <t>Коттеджи</t>
        </is>
      </c>
      <c r="C784" s="21" t="inlineStr">
        <is>
          <t>Нижний Тагил</t>
        </is>
      </c>
      <c r="D784" s="22" t="n">
        <v>137</v>
      </c>
    </row>
    <row r="785">
      <c r="A785" s="21" t="inlineStr">
        <is>
          <t>Покупка</t>
        </is>
      </c>
      <c r="B785" s="21" t="inlineStr">
        <is>
          <t>Коттеджи</t>
        </is>
      </c>
      <c r="C785" s="21" t="inlineStr">
        <is>
          <t>Нижний Новгород</t>
        </is>
      </c>
      <c r="D785" s="22" t="n">
        <v>317</v>
      </c>
    </row>
    <row r="786">
      <c r="A786" s="21" t="inlineStr">
        <is>
          <t>Покупка</t>
        </is>
      </c>
      <c r="B786" s="21" t="inlineStr">
        <is>
          <t>Коттеджи</t>
        </is>
      </c>
      <c r="C786" s="21" t="inlineStr">
        <is>
          <t>Ногинск</t>
        </is>
      </c>
      <c r="D786" s="22" t="n">
        <v>21</v>
      </c>
    </row>
    <row r="787">
      <c r="A787" s="21" t="inlineStr">
        <is>
          <t>Покупка</t>
        </is>
      </c>
      <c r="B787" s="21" t="inlineStr">
        <is>
          <t>Коттеджи</t>
        </is>
      </c>
      <c r="C787" s="21" t="inlineStr">
        <is>
          <t>Новокузнецк</t>
        </is>
      </c>
      <c r="D787" s="22" t="n">
        <v>85</v>
      </c>
    </row>
    <row r="788">
      <c r="A788" s="21" t="inlineStr">
        <is>
          <t>Покупка</t>
        </is>
      </c>
      <c r="B788" s="21" t="inlineStr">
        <is>
          <t>Коттеджи</t>
        </is>
      </c>
      <c r="C788" s="21" t="inlineStr">
        <is>
          <t>Новороссийск</t>
        </is>
      </c>
      <c r="D788" s="22" t="n">
        <v>267</v>
      </c>
    </row>
    <row r="789">
      <c r="A789" s="21" t="inlineStr">
        <is>
          <t>Покупка</t>
        </is>
      </c>
      <c r="B789" s="21" t="inlineStr">
        <is>
          <t>Коттеджи</t>
        </is>
      </c>
      <c r="C789" s="21" t="inlineStr">
        <is>
          <t>Новосибирск</t>
        </is>
      </c>
      <c r="D789" s="22" t="n">
        <v>549</v>
      </c>
    </row>
    <row r="790">
      <c r="A790" s="21" t="inlineStr">
        <is>
          <t>Покупка</t>
        </is>
      </c>
      <c r="B790" s="21" t="inlineStr">
        <is>
          <t>Коттеджи</t>
        </is>
      </c>
      <c r="C790" s="21" t="inlineStr">
        <is>
          <t>Новый Уренгой</t>
        </is>
      </c>
      <c r="D790" s="22" t="n">
        <v>77</v>
      </c>
    </row>
    <row r="791">
      <c r="A791" s="21" t="inlineStr">
        <is>
          <t>Покупка</t>
        </is>
      </c>
      <c r="B791" s="21" t="inlineStr">
        <is>
          <t>Коттеджи</t>
        </is>
      </c>
      <c r="C791" s="21" t="inlineStr">
        <is>
          <t>Обнинск</t>
        </is>
      </c>
      <c r="D791" s="22" t="n">
        <v>39</v>
      </c>
    </row>
    <row r="792">
      <c r="A792" s="21" t="inlineStr">
        <is>
          <t>Покупка</t>
        </is>
      </c>
      <c r="B792" s="21" t="inlineStr">
        <is>
          <t>Коттеджи</t>
        </is>
      </c>
      <c r="C792" s="21" t="inlineStr">
        <is>
          <t>Одинцово</t>
        </is>
      </c>
      <c r="D792" s="22" t="n">
        <v>42</v>
      </c>
    </row>
    <row r="793">
      <c r="A793" s="21" t="inlineStr">
        <is>
          <t>Покупка</t>
        </is>
      </c>
      <c r="B793" s="21" t="inlineStr">
        <is>
          <t>Коттеджи</t>
        </is>
      </c>
      <c r="C793" s="21" t="inlineStr">
        <is>
          <t>Омск</t>
        </is>
      </c>
      <c r="D793" s="22" t="n">
        <v>359</v>
      </c>
    </row>
    <row r="794">
      <c r="A794" s="21" t="inlineStr">
        <is>
          <t>Покупка</t>
        </is>
      </c>
      <c r="B794" s="21" t="inlineStr">
        <is>
          <t>Коттеджи</t>
        </is>
      </c>
      <c r="C794" s="21" t="inlineStr">
        <is>
          <t>Оренбург</t>
        </is>
      </c>
      <c r="D794" s="22" t="n">
        <v>247</v>
      </c>
    </row>
    <row r="795">
      <c r="A795" s="21" t="inlineStr">
        <is>
          <t>Покупка</t>
        </is>
      </c>
      <c r="B795" s="21" t="inlineStr">
        <is>
          <t>Коттеджи</t>
        </is>
      </c>
      <c r="C795" s="21" t="inlineStr">
        <is>
          <t>Орехово-Зуево</t>
        </is>
      </c>
      <c r="D795" s="22" t="n">
        <v>14</v>
      </c>
    </row>
    <row r="796">
      <c r="A796" s="21" t="inlineStr">
        <is>
          <t>Покупка</t>
        </is>
      </c>
      <c r="B796" s="21" t="inlineStr">
        <is>
          <t>Коттеджи</t>
        </is>
      </c>
      <c r="C796" s="21" t="inlineStr">
        <is>
          <t>Орёл</t>
        </is>
      </c>
      <c r="D796" s="22" t="n">
        <v>63</v>
      </c>
    </row>
    <row r="797">
      <c r="A797" s="21" t="inlineStr">
        <is>
          <t>Покупка</t>
        </is>
      </c>
      <c r="B797" s="21" t="inlineStr">
        <is>
          <t>Коттеджи</t>
        </is>
      </c>
      <c r="C797" s="21" t="inlineStr">
        <is>
          <t>Пенза</t>
        </is>
      </c>
      <c r="D797" s="22" t="n">
        <v>152</v>
      </c>
    </row>
    <row r="798">
      <c r="A798" s="21" t="inlineStr">
        <is>
          <t>Покупка</t>
        </is>
      </c>
      <c r="B798" s="21" t="inlineStr">
        <is>
          <t>Коттеджи</t>
        </is>
      </c>
      <c r="C798" s="21" t="inlineStr">
        <is>
          <t>Пермь</t>
        </is>
      </c>
      <c r="D798" s="22" t="n">
        <v>175</v>
      </c>
    </row>
    <row r="799">
      <c r="A799" s="21" t="inlineStr">
        <is>
          <t>Покупка</t>
        </is>
      </c>
      <c r="B799" s="21" t="inlineStr">
        <is>
          <t>Коттеджи</t>
        </is>
      </c>
      <c r="C799" s="21" t="inlineStr">
        <is>
          <t>Петропавловск-Камчатский</t>
        </is>
      </c>
      <c r="D799" s="22" t="n">
        <v>33</v>
      </c>
    </row>
    <row r="800">
      <c r="A800" s="21" t="inlineStr">
        <is>
          <t>Покупка</t>
        </is>
      </c>
      <c r="B800" s="21" t="inlineStr">
        <is>
          <t>Коттеджи</t>
        </is>
      </c>
      <c r="C800" s="21" t="inlineStr">
        <is>
          <t>Петрозаводск</t>
        </is>
      </c>
      <c r="D800" s="22" t="n">
        <v>38</v>
      </c>
    </row>
    <row r="801">
      <c r="A801" s="21" t="inlineStr">
        <is>
          <t>Покупка</t>
        </is>
      </c>
      <c r="B801" s="21" t="inlineStr">
        <is>
          <t>Коттеджи</t>
        </is>
      </c>
      <c r="C801" s="21" t="inlineStr">
        <is>
          <t>Подольск</t>
        </is>
      </c>
      <c r="D801" s="22" t="n">
        <v>37</v>
      </c>
    </row>
    <row r="802">
      <c r="A802" s="21" t="inlineStr">
        <is>
          <t>Покупка</t>
        </is>
      </c>
      <c r="B802" s="21" t="inlineStr">
        <is>
          <t>Коттеджи</t>
        </is>
      </c>
      <c r="C802" s="21" t="inlineStr">
        <is>
          <t>Прокопьевск</t>
        </is>
      </c>
      <c r="D802" s="22" t="n">
        <v>35</v>
      </c>
    </row>
    <row r="803">
      <c r="A803" s="21" t="inlineStr">
        <is>
          <t>Покупка</t>
        </is>
      </c>
      <c r="B803" s="21" t="inlineStr">
        <is>
          <t>Коттеджи</t>
        </is>
      </c>
      <c r="C803" s="21" t="inlineStr">
        <is>
          <t>Псков</t>
        </is>
      </c>
      <c r="D803" s="22" t="n">
        <v>37</v>
      </c>
    </row>
    <row r="804">
      <c r="A804" s="21" t="inlineStr">
        <is>
          <t>Покупка</t>
        </is>
      </c>
      <c r="B804" s="21" t="inlineStr">
        <is>
          <t>Коттеджи</t>
        </is>
      </c>
      <c r="C804" s="21" t="inlineStr">
        <is>
          <t>Пушкино</t>
        </is>
      </c>
      <c r="D804" s="22" t="n">
        <v>47</v>
      </c>
    </row>
    <row r="805">
      <c r="A805" s="21" t="inlineStr">
        <is>
          <t>Покупка</t>
        </is>
      </c>
      <c r="B805" s="21" t="inlineStr">
        <is>
          <t>Коттеджи</t>
        </is>
      </c>
      <c r="C805" s="21" t="inlineStr">
        <is>
          <t>Раменское</t>
        </is>
      </c>
      <c r="D805" s="22" t="n">
        <v>72</v>
      </c>
    </row>
    <row r="806">
      <c r="A806" s="21" t="inlineStr">
        <is>
          <t>Покупка</t>
        </is>
      </c>
      <c r="B806" s="21" t="inlineStr">
        <is>
          <t>Коттеджи</t>
        </is>
      </c>
      <c r="C806" s="21" t="inlineStr">
        <is>
          <t>Ростов-на-Дону</t>
        </is>
      </c>
      <c r="D806" s="22" t="n">
        <v>1006</v>
      </c>
    </row>
    <row r="807">
      <c r="A807" s="21" t="inlineStr">
        <is>
          <t>Покупка</t>
        </is>
      </c>
      <c r="B807" s="21" t="inlineStr">
        <is>
          <t>Коттеджи</t>
        </is>
      </c>
      <c r="C807" s="21" t="inlineStr">
        <is>
          <t>Рязань</t>
        </is>
      </c>
      <c r="D807" s="22" t="n">
        <v>97</v>
      </c>
    </row>
    <row r="808">
      <c r="A808" s="21" t="inlineStr">
        <is>
          <t>Покупка</t>
        </is>
      </c>
      <c r="B808" s="21" t="inlineStr">
        <is>
          <t>Коттеджи</t>
        </is>
      </c>
      <c r="C808" s="21" t="inlineStr">
        <is>
          <t>Салехард</t>
        </is>
      </c>
      <c r="D808" s="22" t="n">
        <v>53</v>
      </c>
    </row>
    <row r="809">
      <c r="A809" s="21" t="inlineStr">
        <is>
          <t>Покупка</t>
        </is>
      </c>
      <c r="B809" s="21" t="inlineStr">
        <is>
          <t>Коттеджи</t>
        </is>
      </c>
      <c r="C809" s="21" t="inlineStr">
        <is>
          <t>Самара</t>
        </is>
      </c>
      <c r="D809" s="22" t="n">
        <v>345</v>
      </c>
    </row>
    <row r="810">
      <c r="A810" s="21" t="inlineStr">
        <is>
          <t>Покупка</t>
        </is>
      </c>
      <c r="B810" s="21" t="inlineStr">
        <is>
          <t>Коттеджи</t>
        </is>
      </c>
      <c r="C810" s="21" t="inlineStr">
        <is>
          <t>Саранск</t>
        </is>
      </c>
      <c r="D810" s="22" t="n">
        <v>35</v>
      </c>
    </row>
    <row r="811">
      <c r="A811" s="21" t="inlineStr">
        <is>
          <t>Покупка</t>
        </is>
      </c>
      <c r="B811" s="21" t="inlineStr">
        <is>
          <t>Коттеджи</t>
        </is>
      </c>
      <c r="C811" s="21" t="inlineStr">
        <is>
          <t>Саратов</t>
        </is>
      </c>
      <c r="D811" s="22" t="n">
        <v>268</v>
      </c>
    </row>
    <row r="812">
      <c r="A812" s="21" t="inlineStr">
        <is>
          <t>Покупка</t>
        </is>
      </c>
      <c r="B812" s="21" t="inlineStr">
        <is>
          <t>Коттеджи</t>
        </is>
      </c>
      <c r="C812" s="21" t="inlineStr">
        <is>
          <t>Сергиев Посад</t>
        </is>
      </c>
      <c r="D812" s="22" t="n">
        <v>30</v>
      </c>
    </row>
    <row r="813">
      <c r="A813" s="21" t="inlineStr">
        <is>
          <t>Покупка</t>
        </is>
      </c>
      <c r="B813" s="21" t="inlineStr">
        <is>
          <t>Коттеджи</t>
        </is>
      </c>
      <c r="C813" s="21" t="inlineStr">
        <is>
          <t>Серпухов</t>
        </is>
      </c>
      <c r="D813" s="22" t="n">
        <v>5</v>
      </c>
    </row>
    <row r="814">
      <c r="A814" s="21" t="inlineStr">
        <is>
          <t>Покупка</t>
        </is>
      </c>
      <c r="B814" s="21" t="inlineStr">
        <is>
          <t>Коттеджи</t>
        </is>
      </c>
      <c r="C814" s="21" t="inlineStr">
        <is>
          <t>Севастополь</t>
        </is>
      </c>
      <c r="D814" s="22" t="n">
        <v>1064</v>
      </c>
    </row>
    <row r="815">
      <c r="A815" s="21" t="inlineStr">
        <is>
          <t>Покупка</t>
        </is>
      </c>
      <c r="B815" s="21" t="inlineStr">
        <is>
          <t>Коттеджи</t>
        </is>
      </c>
      <c r="C815" s="21" t="inlineStr">
        <is>
          <t>Северодвинск</t>
        </is>
      </c>
      <c r="D815" s="22" t="n">
        <v>7</v>
      </c>
    </row>
    <row r="816">
      <c r="A816" s="21" t="inlineStr">
        <is>
          <t>Покупка</t>
        </is>
      </c>
      <c r="B816" s="21" t="inlineStr">
        <is>
          <t>Коттеджи</t>
        </is>
      </c>
      <c r="C816" s="21" t="inlineStr">
        <is>
          <t>Симферополь</t>
        </is>
      </c>
      <c r="D816" s="22" t="n">
        <v>246</v>
      </c>
    </row>
    <row r="817">
      <c r="A817" s="21" t="inlineStr">
        <is>
          <t>Покупка</t>
        </is>
      </c>
      <c r="B817" s="21" t="inlineStr">
        <is>
          <t>Коттеджи</t>
        </is>
      </c>
      <c r="C817" s="21" t="inlineStr">
        <is>
          <t>Смоленск</t>
        </is>
      </c>
      <c r="D817" s="22" t="n">
        <v>113</v>
      </c>
    </row>
    <row r="818">
      <c r="A818" s="21" t="inlineStr">
        <is>
          <t>Покупка</t>
        </is>
      </c>
      <c r="B818" s="21" t="inlineStr">
        <is>
          <t>Коттеджи</t>
        </is>
      </c>
      <c r="C818" s="21" t="inlineStr">
        <is>
          <t>Сочи</t>
        </is>
      </c>
      <c r="D818" s="22" t="n">
        <v>761</v>
      </c>
    </row>
    <row r="819">
      <c r="A819" s="21" t="inlineStr">
        <is>
          <t>Покупка</t>
        </is>
      </c>
      <c r="B819" s="21" t="inlineStr">
        <is>
          <t>Коттеджи</t>
        </is>
      </c>
      <c r="C819" s="21" t="inlineStr">
        <is>
          <t>Санкт-Петербург</t>
        </is>
      </c>
      <c r="D819" s="22" t="n">
        <v>589</v>
      </c>
    </row>
    <row r="820">
      <c r="A820" s="21" t="inlineStr">
        <is>
          <t>Покупка</t>
        </is>
      </c>
      <c r="B820" s="21" t="inlineStr">
        <is>
          <t>Коттеджи</t>
        </is>
      </c>
      <c r="C820" s="21" t="inlineStr">
        <is>
          <t>Старый Оскол</t>
        </is>
      </c>
      <c r="D820" s="22" t="n">
        <v>498</v>
      </c>
    </row>
    <row r="821">
      <c r="A821" s="21" t="inlineStr">
        <is>
          <t>Покупка</t>
        </is>
      </c>
      <c r="B821" s="21" t="inlineStr">
        <is>
          <t>Коттеджи</t>
        </is>
      </c>
      <c r="C821" s="21" t="inlineStr">
        <is>
          <t>Ставрополь</t>
        </is>
      </c>
      <c r="D821" s="22" t="n">
        <v>600</v>
      </c>
    </row>
    <row r="822">
      <c r="A822" s="21" t="inlineStr">
        <is>
          <t>Покупка</t>
        </is>
      </c>
      <c r="B822" s="21" t="inlineStr">
        <is>
          <t>Коттеджи</t>
        </is>
      </c>
      <c r="C822" s="21" t="inlineStr">
        <is>
          <t>Стерлитамак</t>
        </is>
      </c>
      <c r="D822" s="22" t="n">
        <v>170</v>
      </c>
    </row>
    <row r="823">
      <c r="A823" s="21" t="inlineStr">
        <is>
          <t>Покупка</t>
        </is>
      </c>
      <c r="B823" s="21" t="inlineStr">
        <is>
          <t>Коттеджи</t>
        </is>
      </c>
      <c r="C823" s="21" t="inlineStr">
        <is>
          <t>Сургут</t>
        </is>
      </c>
      <c r="D823" s="22" t="n">
        <v>402</v>
      </c>
    </row>
    <row r="824">
      <c r="A824" s="21" t="inlineStr">
        <is>
          <t>Покупка</t>
        </is>
      </c>
      <c r="B824" s="21" t="inlineStr">
        <is>
          <t>Коттеджи</t>
        </is>
      </c>
      <c r="C824" s="21" t="inlineStr">
        <is>
          <t>Сыктывкар</t>
        </is>
      </c>
      <c r="D824" s="22" t="n">
        <v>61</v>
      </c>
    </row>
    <row r="825">
      <c r="A825" s="21" t="inlineStr">
        <is>
          <t>Покупка</t>
        </is>
      </c>
      <c r="B825" s="21" t="inlineStr">
        <is>
          <t>Коттеджи</t>
        </is>
      </c>
      <c r="C825" s="21" t="inlineStr">
        <is>
          <t>Тамбов</t>
        </is>
      </c>
      <c r="D825" s="22" t="n">
        <v>114</v>
      </c>
    </row>
    <row r="826">
      <c r="A826" s="21" t="inlineStr">
        <is>
          <t>Покупка</t>
        </is>
      </c>
      <c r="B826" s="21" t="inlineStr">
        <is>
          <t>Коттеджи</t>
        </is>
      </c>
      <c r="C826" s="21" t="inlineStr">
        <is>
          <t>Тольятти</t>
        </is>
      </c>
      <c r="D826" s="22" t="n">
        <v>112</v>
      </c>
    </row>
    <row r="827">
      <c r="A827" s="21" t="inlineStr">
        <is>
          <t>Покупка</t>
        </is>
      </c>
      <c r="B827" s="21" t="inlineStr">
        <is>
          <t>Коттеджи</t>
        </is>
      </c>
      <c r="C827" s="21" t="inlineStr">
        <is>
          <t>Томск</t>
        </is>
      </c>
      <c r="D827" s="22" t="n">
        <v>263</v>
      </c>
    </row>
    <row r="828">
      <c r="A828" s="21" t="inlineStr">
        <is>
          <t>Покупка</t>
        </is>
      </c>
      <c r="B828" s="21" t="inlineStr">
        <is>
          <t>Коттеджи</t>
        </is>
      </c>
      <c r="C828" s="21" t="inlineStr">
        <is>
          <t>Тула</t>
        </is>
      </c>
      <c r="D828" s="22" t="n">
        <v>171</v>
      </c>
    </row>
    <row r="829">
      <c r="A829" s="21" t="inlineStr">
        <is>
          <t>Покупка</t>
        </is>
      </c>
      <c r="B829" s="21" t="inlineStr">
        <is>
          <t>Коттеджи</t>
        </is>
      </c>
      <c r="C829" s="21" t="inlineStr">
        <is>
          <t>Тверь</t>
        </is>
      </c>
      <c r="D829" s="22" t="n">
        <v>87</v>
      </c>
    </row>
    <row r="830">
      <c r="A830" s="21" t="inlineStr">
        <is>
          <t>Покупка</t>
        </is>
      </c>
      <c r="B830" s="21" t="inlineStr">
        <is>
          <t>Коттеджи</t>
        </is>
      </c>
      <c r="C830" s="21" t="inlineStr">
        <is>
          <t>Тюмень</t>
        </is>
      </c>
      <c r="D830" s="22" t="n">
        <v>2077</v>
      </c>
    </row>
    <row r="831">
      <c r="A831" s="21" t="inlineStr">
        <is>
          <t>Покупка</t>
        </is>
      </c>
      <c r="B831" s="21" t="inlineStr">
        <is>
          <t>Коттеджи</t>
        </is>
      </c>
      <c r="C831" s="21" t="inlineStr">
        <is>
          <t>Уфа</t>
        </is>
      </c>
      <c r="D831" s="22" t="n">
        <v>979</v>
      </c>
    </row>
    <row r="832">
      <c r="A832" s="21" t="inlineStr">
        <is>
          <t>Покупка</t>
        </is>
      </c>
      <c r="B832" s="21" t="inlineStr">
        <is>
          <t>Коттеджи</t>
        </is>
      </c>
      <c r="C832" s="21" t="inlineStr">
        <is>
          <t>Улан-Удэ</t>
        </is>
      </c>
      <c r="D832" s="22" t="n">
        <v>622</v>
      </c>
    </row>
    <row r="833">
      <c r="A833" s="21" t="inlineStr">
        <is>
          <t>Покупка</t>
        </is>
      </c>
      <c r="B833" s="21" t="inlineStr">
        <is>
          <t>Коттеджи</t>
        </is>
      </c>
      <c r="C833" s="21" t="inlineStr">
        <is>
          <t>Ульяновск</t>
        </is>
      </c>
      <c r="D833" s="22" t="n">
        <v>189</v>
      </c>
    </row>
    <row r="834">
      <c r="A834" s="21" t="inlineStr">
        <is>
          <t>Покупка</t>
        </is>
      </c>
      <c r="B834" s="21" t="inlineStr">
        <is>
          <t>Коттеджи</t>
        </is>
      </c>
      <c r="C834" s="21" t="inlineStr">
        <is>
          <t>Великий Новгород</t>
        </is>
      </c>
      <c r="D834" s="22" t="n">
        <v>19</v>
      </c>
    </row>
    <row r="835">
      <c r="A835" s="21" t="inlineStr">
        <is>
          <t>Покупка</t>
        </is>
      </c>
      <c r="B835" s="21" t="inlineStr">
        <is>
          <t>Коттеджи</t>
        </is>
      </c>
      <c r="C835" s="21" t="inlineStr">
        <is>
          <t>Владикавказ</t>
        </is>
      </c>
      <c r="D835" s="22" t="n">
        <v>134</v>
      </c>
    </row>
    <row r="836">
      <c r="A836" s="21" t="inlineStr">
        <is>
          <t>Покупка</t>
        </is>
      </c>
      <c r="B836" s="21" t="inlineStr">
        <is>
          <t>Коттеджи</t>
        </is>
      </c>
      <c r="C836" s="21" t="inlineStr">
        <is>
          <t>Владимир</t>
        </is>
      </c>
      <c r="D836" s="22" t="n">
        <v>114</v>
      </c>
    </row>
    <row r="837">
      <c r="A837" s="21" t="inlineStr">
        <is>
          <t>Покупка</t>
        </is>
      </c>
      <c r="B837" s="21" t="inlineStr">
        <is>
          <t>Коттеджи</t>
        </is>
      </c>
      <c r="C837" s="21" t="inlineStr">
        <is>
          <t>Владивосток</t>
        </is>
      </c>
      <c r="D837" s="22" t="n">
        <v>135</v>
      </c>
    </row>
    <row r="838">
      <c r="A838" s="21" t="inlineStr">
        <is>
          <t>Покупка</t>
        </is>
      </c>
      <c r="B838" s="21" t="inlineStr">
        <is>
          <t>Коттеджи</t>
        </is>
      </c>
      <c r="C838" s="21" t="inlineStr">
        <is>
          <t>Волгоград</t>
        </is>
      </c>
      <c r="D838" s="22" t="n">
        <v>367</v>
      </c>
    </row>
    <row r="839">
      <c r="A839" s="21" t="inlineStr">
        <is>
          <t>Покупка</t>
        </is>
      </c>
      <c r="B839" s="21" t="inlineStr">
        <is>
          <t>Коттеджи</t>
        </is>
      </c>
      <c r="C839" s="21" t="inlineStr">
        <is>
          <t>Вологда</t>
        </is>
      </c>
      <c r="D839" s="22" t="n">
        <v>54</v>
      </c>
    </row>
    <row r="840">
      <c r="A840" s="21" t="inlineStr">
        <is>
          <t>Покупка</t>
        </is>
      </c>
      <c r="B840" s="21" t="inlineStr">
        <is>
          <t>Коттеджи</t>
        </is>
      </c>
      <c r="C840" s="21" t="inlineStr">
        <is>
          <t>Волжский</t>
        </is>
      </c>
      <c r="D840" s="22" t="n">
        <v>83</v>
      </c>
    </row>
    <row r="841">
      <c r="A841" s="21" t="inlineStr">
        <is>
          <t>Покупка</t>
        </is>
      </c>
      <c r="B841" s="21" t="inlineStr">
        <is>
          <t>Коттеджи</t>
        </is>
      </c>
      <c r="C841" s="21" t="inlineStr">
        <is>
          <t>Воронеж</t>
        </is>
      </c>
      <c r="D841" s="22" t="n">
        <v>214</v>
      </c>
    </row>
    <row r="842">
      <c r="A842" s="21" t="inlineStr">
        <is>
          <t>Покупка</t>
        </is>
      </c>
      <c r="B842" s="21" t="inlineStr">
        <is>
          <t>Коттеджи</t>
        </is>
      </c>
      <c r="C842" s="21" t="inlineStr">
        <is>
          <t>Хабаровск</t>
        </is>
      </c>
      <c r="D842" s="22" t="n">
        <v>229</v>
      </c>
    </row>
    <row r="843">
      <c r="A843" s="21" t="inlineStr">
        <is>
          <t>Покупка</t>
        </is>
      </c>
      <c r="B843" s="21" t="inlineStr">
        <is>
          <t>Коттеджи</t>
        </is>
      </c>
      <c r="C843" s="21" t="inlineStr">
        <is>
          <t>Ханты-Мансийск</t>
        </is>
      </c>
      <c r="D843" s="22" t="n">
        <v>158</v>
      </c>
    </row>
    <row r="844">
      <c r="A844" s="21" t="inlineStr">
        <is>
          <t>Покупка</t>
        </is>
      </c>
      <c r="B844" s="21" t="inlineStr">
        <is>
          <t>Коттеджи</t>
        </is>
      </c>
      <c r="C844" s="21" t="inlineStr">
        <is>
          <t>Химки</t>
        </is>
      </c>
      <c r="D844" s="22" t="n">
        <v>105</v>
      </c>
    </row>
    <row r="845">
      <c r="A845" s="21" t="inlineStr">
        <is>
          <t>Покупка</t>
        </is>
      </c>
      <c r="B845" s="21" t="inlineStr">
        <is>
          <t>Коттеджи</t>
        </is>
      </c>
      <c r="C845" s="21" t="inlineStr">
        <is>
          <t>Якутск</t>
        </is>
      </c>
      <c r="D845" s="22" t="n">
        <v>415</v>
      </c>
    </row>
    <row r="846">
      <c r="A846" s="21" t="inlineStr">
        <is>
          <t>Покупка</t>
        </is>
      </c>
      <c r="B846" s="21" t="inlineStr">
        <is>
          <t>Коттеджи</t>
        </is>
      </c>
      <c r="C846" s="21" t="inlineStr">
        <is>
          <t>Ярославль</t>
        </is>
      </c>
      <c r="D846" s="22" t="n">
        <v>107</v>
      </c>
    </row>
    <row r="847">
      <c r="A847" s="21" t="inlineStr">
        <is>
          <t>Покупка</t>
        </is>
      </c>
      <c r="B847" s="21" t="inlineStr">
        <is>
          <t>Коттеджи</t>
        </is>
      </c>
      <c r="C847" s="21" t="inlineStr">
        <is>
          <t>Южно-Сахалинск</t>
        </is>
      </c>
      <c r="D847" s="22" t="n">
        <v>332</v>
      </c>
    </row>
    <row r="848">
      <c r="A848" s="21" t="inlineStr">
        <is>
          <t>Покупка</t>
        </is>
      </c>
      <c r="B848" s="21" t="inlineStr">
        <is>
          <t>Коттеджи</t>
        </is>
      </c>
      <c r="C848" s="21" t="inlineStr">
        <is>
          <t>Жуковский</t>
        </is>
      </c>
      <c r="D848" s="22" t="n">
        <v>6</v>
      </c>
    </row>
    <row r="849">
      <c r="A849" s="27" t="inlineStr">
        <is>
          <t>Покупка</t>
        </is>
      </c>
      <c r="B849" s="17" t="inlineStr">
        <is>
          <t>Таунхаусы</t>
        </is>
      </c>
      <c r="C849" s="28" t="inlineStr">
        <is>
          <t>Астрахань</t>
        </is>
      </c>
      <c r="D849" s="19" t="n">
        <v>5</v>
      </c>
    </row>
    <row r="850">
      <c r="A850" s="21" t="inlineStr">
        <is>
          <t>Покупка</t>
        </is>
      </c>
      <c r="B850" s="21" t="inlineStr">
        <is>
          <t>Таунхаусы</t>
        </is>
      </c>
      <c r="C850" s="21" t="inlineStr">
        <is>
          <t>Барнаул</t>
        </is>
      </c>
      <c r="D850" s="22" t="n">
        <v>18</v>
      </c>
    </row>
    <row r="851">
      <c r="A851" s="21" t="inlineStr">
        <is>
          <t>Покупка</t>
        </is>
      </c>
      <c r="B851" s="21" t="inlineStr">
        <is>
          <t>Таунхаусы</t>
        </is>
      </c>
      <c r="C851" s="21" t="inlineStr">
        <is>
          <t>Белгород</t>
        </is>
      </c>
      <c r="D851" s="22" t="n">
        <v>15</v>
      </c>
    </row>
    <row r="852">
      <c r="A852" s="21" t="inlineStr">
        <is>
          <t>Покупка</t>
        </is>
      </c>
      <c r="B852" s="21" t="inlineStr">
        <is>
          <t>Таунхаусы</t>
        </is>
      </c>
      <c r="C852" s="21" t="inlineStr">
        <is>
          <t>Брянск</t>
        </is>
      </c>
      <c r="D852" s="22" t="n">
        <v>19</v>
      </c>
    </row>
    <row r="853">
      <c r="A853" s="21" t="inlineStr">
        <is>
          <t>Покупка</t>
        </is>
      </c>
      <c r="B853" s="21" t="inlineStr">
        <is>
          <t>Таунхаусы</t>
        </is>
      </c>
      <c r="C853" s="21" t="inlineStr">
        <is>
          <t>Чебоксары</t>
        </is>
      </c>
      <c r="D853" s="22" t="n">
        <v>6</v>
      </c>
    </row>
    <row r="854">
      <c r="A854" s="21" t="inlineStr">
        <is>
          <t>Покупка</t>
        </is>
      </c>
      <c r="B854" s="21" t="inlineStr">
        <is>
          <t>Таунхаусы</t>
        </is>
      </c>
      <c r="C854" s="21" t="inlineStr">
        <is>
          <t>Челябинск</t>
        </is>
      </c>
      <c r="D854" s="22" t="n">
        <v>27</v>
      </c>
    </row>
    <row r="855">
      <c r="A855" s="21" t="inlineStr">
        <is>
          <t>Покупка</t>
        </is>
      </c>
      <c r="B855" s="21" t="inlineStr">
        <is>
          <t>Таунхаусы</t>
        </is>
      </c>
      <c r="C855" s="21" t="inlineStr">
        <is>
          <t>Долгопрудный</t>
        </is>
      </c>
      <c r="D855" s="22" t="n">
        <v>11</v>
      </c>
    </row>
    <row r="856">
      <c r="A856" s="21" t="inlineStr">
        <is>
          <t>Покупка</t>
        </is>
      </c>
      <c r="B856" s="21" t="inlineStr">
        <is>
          <t>Таунхаусы</t>
        </is>
      </c>
      <c r="C856" s="21" t="inlineStr">
        <is>
          <t>Домодедово</t>
        </is>
      </c>
      <c r="D856" s="22" t="n">
        <v>7</v>
      </c>
    </row>
    <row r="857">
      <c r="A857" s="21" t="inlineStr">
        <is>
          <t>Покупка</t>
        </is>
      </c>
      <c r="B857" s="21" t="inlineStr">
        <is>
          <t>Таунхаусы</t>
        </is>
      </c>
      <c r="C857" s="21" t="inlineStr">
        <is>
          <t>Екатеринбург</t>
        </is>
      </c>
      <c r="D857" s="22" t="n">
        <v>52</v>
      </c>
    </row>
    <row r="858">
      <c r="A858" s="21" t="inlineStr">
        <is>
          <t>Покупка</t>
        </is>
      </c>
      <c r="B858" s="21" t="inlineStr">
        <is>
          <t>Таунхаусы</t>
        </is>
      </c>
      <c r="C858" s="21" t="inlineStr">
        <is>
          <t>Элиста</t>
        </is>
      </c>
      <c r="D858" s="22" t="n">
        <v>52</v>
      </c>
    </row>
    <row r="859">
      <c r="A859" s="21" t="inlineStr">
        <is>
          <t>Покупка</t>
        </is>
      </c>
      <c r="B859" s="21" t="inlineStr">
        <is>
          <t>Таунхаусы</t>
        </is>
      </c>
      <c r="C859" s="21" t="inlineStr">
        <is>
          <t>Энгельс</t>
        </is>
      </c>
      <c r="D859" s="22" t="n">
        <v>11</v>
      </c>
    </row>
    <row r="860">
      <c r="A860" s="21" t="inlineStr">
        <is>
          <t>Покупка</t>
        </is>
      </c>
      <c r="B860" s="21" t="inlineStr">
        <is>
          <t>Таунхаусы</t>
        </is>
      </c>
      <c r="C860" s="21" t="inlineStr">
        <is>
          <t>Горно-Алтайск</t>
        </is>
      </c>
      <c r="D860" s="22" t="n">
        <v>5</v>
      </c>
    </row>
    <row r="861">
      <c r="A861" s="21" t="inlineStr">
        <is>
          <t>Покупка</t>
        </is>
      </c>
      <c r="B861" s="21" t="inlineStr">
        <is>
          <t>Таунхаусы</t>
        </is>
      </c>
      <c r="C861" s="21" t="inlineStr">
        <is>
          <t>Иркутск</t>
        </is>
      </c>
      <c r="D861" s="22" t="n">
        <v>18</v>
      </c>
    </row>
    <row r="862">
      <c r="A862" s="21" t="inlineStr">
        <is>
          <t>Покупка</t>
        </is>
      </c>
      <c r="B862" s="21" t="inlineStr">
        <is>
          <t>Таунхаусы</t>
        </is>
      </c>
      <c r="C862" s="21" t="inlineStr">
        <is>
          <t>Иваново</t>
        </is>
      </c>
      <c r="D862" s="22" t="n">
        <v>7</v>
      </c>
    </row>
    <row r="863">
      <c r="A863" s="21" t="inlineStr">
        <is>
          <t>Покупка</t>
        </is>
      </c>
      <c r="B863" s="21" t="inlineStr">
        <is>
          <t>Таунхаусы</t>
        </is>
      </c>
      <c r="C863" s="21" t="inlineStr">
        <is>
          <t>Ижевск</t>
        </is>
      </c>
      <c r="D863" s="22" t="n">
        <v>10</v>
      </c>
    </row>
    <row r="864">
      <c r="A864" s="21" t="inlineStr">
        <is>
          <t>Покупка</t>
        </is>
      </c>
      <c r="B864" s="21" t="inlineStr">
        <is>
          <t>Таунхаусы</t>
        </is>
      </c>
      <c r="C864" s="21" t="inlineStr">
        <is>
          <t>Калининград</t>
        </is>
      </c>
      <c r="D864" s="22" t="n">
        <v>197</v>
      </c>
    </row>
    <row r="865">
      <c r="A865" s="21" t="inlineStr">
        <is>
          <t>Покупка</t>
        </is>
      </c>
      <c r="B865" s="21" t="inlineStr">
        <is>
          <t>Таунхаусы</t>
        </is>
      </c>
      <c r="C865" s="21" t="inlineStr">
        <is>
          <t>Калуга</t>
        </is>
      </c>
      <c r="D865" s="22" t="n">
        <v>43</v>
      </c>
    </row>
    <row r="866">
      <c r="A866" s="21" t="inlineStr">
        <is>
          <t>Покупка</t>
        </is>
      </c>
      <c r="B866" s="21" t="inlineStr">
        <is>
          <t>Таунхаусы</t>
        </is>
      </c>
      <c r="C866" s="21" t="inlineStr">
        <is>
          <t>Казань</t>
        </is>
      </c>
      <c r="D866" s="22" t="n">
        <v>55</v>
      </c>
    </row>
    <row r="867">
      <c r="A867" s="21" t="inlineStr">
        <is>
          <t>Покупка</t>
        </is>
      </c>
      <c r="B867" s="21" t="inlineStr">
        <is>
          <t>Таунхаусы</t>
        </is>
      </c>
      <c r="C867" s="21" t="inlineStr">
        <is>
          <t>Кемерово</t>
        </is>
      </c>
      <c r="D867" s="22" t="n">
        <v>47</v>
      </c>
    </row>
    <row r="868">
      <c r="A868" s="21" t="inlineStr">
        <is>
          <t>Покупка</t>
        </is>
      </c>
      <c r="B868" s="21" t="inlineStr">
        <is>
          <t>Таунхаусы</t>
        </is>
      </c>
      <c r="C868" s="21" t="inlineStr">
        <is>
          <t>Комсомольск-на-Амуре</t>
        </is>
      </c>
      <c r="D868" s="22" t="n">
        <v>13</v>
      </c>
    </row>
    <row r="869">
      <c r="A869" s="21" t="inlineStr">
        <is>
          <t>Покупка</t>
        </is>
      </c>
      <c r="B869" s="21" t="inlineStr">
        <is>
          <t>Таунхаусы</t>
        </is>
      </c>
      <c r="C869" s="21" t="inlineStr">
        <is>
          <t>Королёв</t>
        </is>
      </c>
      <c r="D869" s="22" t="n">
        <v>7</v>
      </c>
    </row>
    <row r="870">
      <c r="A870" s="21" t="inlineStr">
        <is>
          <t>Покупка</t>
        </is>
      </c>
      <c r="B870" s="21" t="inlineStr">
        <is>
          <t>Таунхаусы</t>
        </is>
      </c>
      <c r="C870" s="21" t="inlineStr">
        <is>
          <t>Кострома</t>
        </is>
      </c>
      <c r="D870" s="22" t="n">
        <v>52</v>
      </c>
    </row>
    <row r="871">
      <c r="A871" s="21" t="inlineStr">
        <is>
          <t>Покупка</t>
        </is>
      </c>
      <c r="B871" s="21" t="inlineStr">
        <is>
          <t>Таунхаусы</t>
        </is>
      </c>
      <c r="C871" s="21" t="inlineStr">
        <is>
          <t>Краснодар</t>
        </is>
      </c>
      <c r="D871" s="22" t="n">
        <v>572</v>
      </c>
    </row>
    <row r="872">
      <c r="A872" s="21" t="inlineStr">
        <is>
          <t>Покупка</t>
        </is>
      </c>
      <c r="B872" s="21" t="inlineStr">
        <is>
          <t>Таунхаусы</t>
        </is>
      </c>
      <c r="C872" s="21" t="inlineStr">
        <is>
          <t>Красногорск</t>
        </is>
      </c>
      <c r="D872" s="22" t="n">
        <v>21</v>
      </c>
    </row>
    <row r="873">
      <c r="A873" s="21" t="inlineStr">
        <is>
          <t>Покупка</t>
        </is>
      </c>
      <c r="B873" s="21" t="inlineStr">
        <is>
          <t>Таунхаусы</t>
        </is>
      </c>
      <c r="C873" s="21" t="inlineStr">
        <is>
          <t>Красноярск</t>
        </is>
      </c>
      <c r="D873" s="22" t="n">
        <v>12</v>
      </c>
    </row>
    <row r="874">
      <c r="A874" s="21" t="inlineStr">
        <is>
          <t>Покупка</t>
        </is>
      </c>
      <c r="B874" s="21" t="inlineStr">
        <is>
          <t>Таунхаусы</t>
        </is>
      </c>
      <c r="C874" s="21" t="inlineStr">
        <is>
          <t>Курган</t>
        </is>
      </c>
      <c r="D874" s="22" t="n">
        <v>14</v>
      </c>
    </row>
    <row r="875">
      <c r="A875" s="21" t="inlineStr">
        <is>
          <t>Покупка</t>
        </is>
      </c>
      <c r="B875" s="21" t="inlineStr">
        <is>
          <t>Таунхаусы</t>
        </is>
      </c>
      <c r="C875" s="21" t="inlineStr">
        <is>
          <t>Кызыл</t>
        </is>
      </c>
      <c r="D875" s="22" t="n">
        <v>16</v>
      </c>
    </row>
    <row r="876">
      <c r="A876" s="21" t="inlineStr">
        <is>
          <t>Покупка</t>
        </is>
      </c>
      <c r="B876" s="21" t="inlineStr">
        <is>
          <t>Таунхаусы</t>
        </is>
      </c>
      <c r="C876" s="21" t="inlineStr">
        <is>
          <t>Липецк</t>
        </is>
      </c>
      <c r="D876" s="22" t="n">
        <v>11</v>
      </c>
    </row>
    <row r="877">
      <c r="A877" s="21" t="inlineStr">
        <is>
          <t>Покупка</t>
        </is>
      </c>
      <c r="B877" s="21" t="inlineStr">
        <is>
          <t>Таунхаусы</t>
        </is>
      </c>
      <c r="C877" s="21" t="inlineStr">
        <is>
          <t>Магнитогорск</t>
        </is>
      </c>
      <c r="D877" s="22" t="n">
        <v>327</v>
      </c>
    </row>
    <row r="878">
      <c r="A878" s="21" t="inlineStr">
        <is>
          <t>Покупка</t>
        </is>
      </c>
      <c r="B878" s="21" t="inlineStr">
        <is>
          <t>Таунхаусы</t>
        </is>
      </c>
      <c r="C878" s="21" t="inlineStr">
        <is>
          <t>Майкоп</t>
        </is>
      </c>
      <c r="D878" s="22" t="n">
        <v>10</v>
      </c>
    </row>
    <row r="879">
      <c r="A879" s="21" t="inlineStr">
        <is>
          <t>Покупка</t>
        </is>
      </c>
      <c r="B879" s="21" t="inlineStr">
        <is>
          <t>Таунхаусы</t>
        </is>
      </c>
      <c r="C879" s="21" t="inlineStr">
        <is>
          <t>Москва</t>
        </is>
      </c>
      <c r="D879" s="22" t="n">
        <v>193</v>
      </c>
    </row>
    <row r="880">
      <c r="A880" s="21" t="inlineStr">
        <is>
          <t>Покупка</t>
        </is>
      </c>
      <c r="B880" s="21" t="inlineStr">
        <is>
          <t>Таунхаусы</t>
        </is>
      </c>
      <c r="C880" s="21" t="inlineStr">
        <is>
          <t>Набережные Челны</t>
        </is>
      </c>
      <c r="D880" s="22" t="n">
        <v>22</v>
      </c>
    </row>
    <row r="881">
      <c r="A881" s="21" t="inlineStr">
        <is>
          <t>Покупка</t>
        </is>
      </c>
      <c r="B881" s="21" t="inlineStr">
        <is>
          <t>Таунхаусы</t>
        </is>
      </c>
      <c r="C881" s="21" t="inlineStr">
        <is>
          <t>Нижний Новгород</t>
        </is>
      </c>
      <c r="D881" s="22" t="n">
        <v>85</v>
      </c>
    </row>
    <row r="882">
      <c r="A882" s="21" t="inlineStr">
        <is>
          <t>Покупка</t>
        </is>
      </c>
      <c r="B882" s="21" t="inlineStr">
        <is>
          <t>Таунхаусы</t>
        </is>
      </c>
      <c r="C882" s="21" t="inlineStr">
        <is>
          <t>Новороссийск</t>
        </is>
      </c>
      <c r="D882" s="22" t="n">
        <v>25</v>
      </c>
    </row>
    <row r="883">
      <c r="A883" s="21" t="inlineStr">
        <is>
          <t>Покупка</t>
        </is>
      </c>
      <c r="B883" s="21" t="inlineStr">
        <is>
          <t>Таунхаусы</t>
        </is>
      </c>
      <c r="C883" s="21" t="inlineStr">
        <is>
          <t>Новосибирск</t>
        </is>
      </c>
      <c r="D883" s="22" t="n">
        <v>63</v>
      </c>
    </row>
    <row r="884">
      <c r="A884" s="21" t="inlineStr">
        <is>
          <t>Покупка</t>
        </is>
      </c>
      <c r="B884" s="21" t="inlineStr">
        <is>
          <t>Таунхаусы</t>
        </is>
      </c>
      <c r="C884" s="21" t="inlineStr">
        <is>
          <t>Новый Уренгой</t>
        </is>
      </c>
      <c r="D884" s="22" t="n">
        <v>5</v>
      </c>
    </row>
    <row r="885">
      <c r="A885" s="21" t="inlineStr">
        <is>
          <t>Покупка</t>
        </is>
      </c>
      <c r="B885" s="21" t="inlineStr">
        <is>
          <t>Таунхаусы</t>
        </is>
      </c>
      <c r="C885" s="21" t="inlineStr">
        <is>
          <t>Обнинск</t>
        </is>
      </c>
      <c r="D885" s="22" t="n">
        <v>16</v>
      </c>
    </row>
    <row r="886">
      <c r="A886" s="21" t="inlineStr">
        <is>
          <t>Покупка</t>
        </is>
      </c>
      <c r="B886" s="21" t="inlineStr">
        <is>
          <t>Таунхаусы</t>
        </is>
      </c>
      <c r="C886" s="21" t="inlineStr">
        <is>
          <t>Омск</t>
        </is>
      </c>
      <c r="D886" s="22" t="n">
        <v>23</v>
      </c>
    </row>
    <row r="887">
      <c r="A887" s="21" t="inlineStr">
        <is>
          <t>Покупка</t>
        </is>
      </c>
      <c r="B887" s="21" t="inlineStr">
        <is>
          <t>Таунхаусы</t>
        </is>
      </c>
      <c r="C887" s="21" t="inlineStr">
        <is>
          <t>Оренбург</t>
        </is>
      </c>
      <c r="D887" s="22" t="n">
        <v>154</v>
      </c>
    </row>
    <row r="888">
      <c r="A888" s="21" t="inlineStr">
        <is>
          <t>Покупка</t>
        </is>
      </c>
      <c r="B888" s="21" t="inlineStr">
        <is>
          <t>Таунхаусы</t>
        </is>
      </c>
      <c r="C888" s="21" t="inlineStr">
        <is>
          <t>Орёл</t>
        </is>
      </c>
      <c r="D888" s="22" t="n">
        <v>18</v>
      </c>
    </row>
    <row r="889">
      <c r="A889" s="21" t="inlineStr">
        <is>
          <t>Покупка</t>
        </is>
      </c>
      <c r="B889" s="21" t="inlineStr">
        <is>
          <t>Таунхаусы</t>
        </is>
      </c>
      <c r="C889" s="21" t="inlineStr">
        <is>
          <t>Пенза</t>
        </is>
      </c>
      <c r="D889" s="22" t="n">
        <v>32</v>
      </c>
    </row>
    <row r="890">
      <c r="A890" s="21" t="inlineStr">
        <is>
          <t>Покупка</t>
        </is>
      </c>
      <c r="B890" s="21" t="inlineStr">
        <is>
          <t>Таунхаусы</t>
        </is>
      </c>
      <c r="C890" s="21" t="inlineStr">
        <is>
          <t>Пермь</t>
        </is>
      </c>
      <c r="D890" s="22" t="n">
        <v>39</v>
      </c>
    </row>
    <row r="891">
      <c r="A891" s="21" t="inlineStr">
        <is>
          <t>Покупка</t>
        </is>
      </c>
      <c r="B891" s="21" t="inlineStr">
        <is>
          <t>Таунхаусы</t>
        </is>
      </c>
      <c r="C891" s="21" t="inlineStr">
        <is>
          <t>Петропавловск-Камчатский</t>
        </is>
      </c>
      <c r="D891" s="22" t="n">
        <v>5</v>
      </c>
    </row>
    <row r="892">
      <c r="A892" s="21" t="inlineStr">
        <is>
          <t>Покупка</t>
        </is>
      </c>
      <c r="B892" s="21" t="inlineStr">
        <is>
          <t>Таунхаусы</t>
        </is>
      </c>
      <c r="C892" s="21" t="inlineStr">
        <is>
          <t>Петрозаводск</t>
        </is>
      </c>
      <c r="D892" s="22" t="n">
        <v>45</v>
      </c>
    </row>
    <row r="893">
      <c r="A893" s="21" t="inlineStr">
        <is>
          <t>Покупка</t>
        </is>
      </c>
      <c r="B893" s="21" t="inlineStr">
        <is>
          <t>Таунхаусы</t>
        </is>
      </c>
      <c r="C893" s="21" t="inlineStr">
        <is>
          <t>Псков</t>
        </is>
      </c>
      <c r="D893" s="22" t="n">
        <v>5</v>
      </c>
    </row>
    <row r="894">
      <c r="A894" s="21" t="inlineStr">
        <is>
          <t>Покупка</t>
        </is>
      </c>
      <c r="B894" s="21" t="inlineStr">
        <is>
          <t>Таунхаусы</t>
        </is>
      </c>
      <c r="C894" s="21" t="inlineStr">
        <is>
          <t>Ростов-на-Дону</t>
        </is>
      </c>
      <c r="D894" s="22" t="n">
        <v>63</v>
      </c>
    </row>
    <row r="895">
      <c r="A895" s="21" t="inlineStr">
        <is>
          <t>Покупка</t>
        </is>
      </c>
      <c r="B895" s="21" t="inlineStr">
        <is>
          <t>Таунхаусы</t>
        </is>
      </c>
      <c r="C895" s="21" t="inlineStr">
        <is>
          <t>Рязань</t>
        </is>
      </c>
      <c r="D895" s="22" t="n">
        <v>9</v>
      </c>
    </row>
    <row r="896">
      <c r="A896" s="21" t="inlineStr">
        <is>
          <t>Покупка</t>
        </is>
      </c>
      <c r="B896" s="21" t="inlineStr">
        <is>
          <t>Таунхаусы</t>
        </is>
      </c>
      <c r="C896" s="21" t="inlineStr">
        <is>
          <t>Самара</t>
        </is>
      </c>
      <c r="D896" s="22" t="n">
        <v>46</v>
      </c>
    </row>
    <row r="897">
      <c r="A897" s="21" t="inlineStr">
        <is>
          <t>Покупка</t>
        </is>
      </c>
      <c r="B897" s="21" t="inlineStr">
        <is>
          <t>Таунхаусы</t>
        </is>
      </c>
      <c r="C897" s="21" t="inlineStr">
        <is>
          <t>Саратов</t>
        </is>
      </c>
      <c r="D897" s="22" t="n">
        <v>15</v>
      </c>
    </row>
    <row r="898">
      <c r="A898" s="21" t="inlineStr">
        <is>
          <t>Покупка</t>
        </is>
      </c>
      <c r="B898" s="21" t="inlineStr">
        <is>
          <t>Таунхаусы</t>
        </is>
      </c>
      <c r="C898" s="21" t="inlineStr">
        <is>
          <t>Севастополь</t>
        </is>
      </c>
      <c r="D898" s="22" t="n">
        <v>53</v>
      </c>
    </row>
    <row r="899">
      <c r="A899" s="21" t="inlineStr">
        <is>
          <t>Покупка</t>
        </is>
      </c>
      <c r="B899" s="21" t="inlineStr">
        <is>
          <t>Таунхаусы</t>
        </is>
      </c>
      <c r="C899" s="21" t="inlineStr">
        <is>
          <t>Симферополь</t>
        </is>
      </c>
      <c r="D899" s="22" t="n">
        <v>8</v>
      </c>
    </row>
    <row r="900">
      <c r="A900" s="21" t="inlineStr">
        <is>
          <t>Покупка</t>
        </is>
      </c>
      <c r="B900" s="21" t="inlineStr">
        <is>
          <t>Таунхаусы</t>
        </is>
      </c>
      <c r="C900" s="21" t="inlineStr">
        <is>
          <t>Смоленск</t>
        </is>
      </c>
      <c r="D900" s="22" t="n">
        <v>28</v>
      </c>
    </row>
    <row r="901">
      <c r="A901" s="21" t="inlineStr">
        <is>
          <t>Покупка</t>
        </is>
      </c>
      <c r="B901" s="21" t="inlineStr">
        <is>
          <t>Таунхаусы</t>
        </is>
      </c>
      <c r="C901" s="21" t="inlineStr">
        <is>
          <t>Сочи</t>
        </is>
      </c>
      <c r="D901" s="22" t="n">
        <v>130</v>
      </c>
    </row>
    <row r="902">
      <c r="A902" s="21" t="inlineStr">
        <is>
          <t>Покупка</t>
        </is>
      </c>
      <c r="B902" s="21" t="inlineStr">
        <is>
          <t>Таунхаусы</t>
        </is>
      </c>
      <c r="C902" s="21" t="inlineStr">
        <is>
          <t>Санкт-Петербург</t>
        </is>
      </c>
      <c r="D902" s="22" t="n">
        <v>130</v>
      </c>
    </row>
    <row r="903">
      <c r="A903" s="21" t="inlineStr">
        <is>
          <t>Покупка</t>
        </is>
      </c>
      <c r="B903" s="21" t="inlineStr">
        <is>
          <t>Таунхаусы</t>
        </is>
      </c>
      <c r="C903" s="21" t="inlineStr">
        <is>
          <t>Старый Оскол</t>
        </is>
      </c>
      <c r="D903" s="22" t="n">
        <v>8</v>
      </c>
    </row>
    <row r="904">
      <c r="A904" s="21" t="inlineStr">
        <is>
          <t>Покупка</t>
        </is>
      </c>
      <c r="B904" s="21" t="inlineStr">
        <is>
          <t>Таунхаусы</t>
        </is>
      </c>
      <c r="C904" s="21" t="inlineStr">
        <is>
          <t>Ставрополь</t>
        </is>
      </c>
      <c r="D904" s="22" t="n">
        <v>75</v>
      </c>
    </row>
    <row r="905">
      <c r="A905" s="21" t="inlineStr">
        <is>
          <t>Покупка</t>
        </is>
      </c>
      <c r="B905" s="21" t="inlineStr">
        <is>
          <t>Таунхаусы</t>
        </is>
      </c>
      <c r="C905" s="21" t="inlineStr">
        <is>
          <t>Стерлитамак</t>
        </is>
      </c>
      <c r="D905" s="22" t="n">
        <v>28</v>
      </c>
    </row>
    <row r="906">
      <c r="A906" s="21" t="inlineStr">
        <is>
          <t>Покупка</t>
        </is>
      </c>
      <c r="B906" s="21" t="inlineStr">
        <is>
          <t>Таунхаусы</t>
        </is>
      </c>
      <c r="C906" s="21" t="inlineStr">
        <is>
          <t>Сургут</t>
        </is>
      </c>
      <c r="D906" s="22" t="n">
        <v>11</v>
      </c>
    </row>
    <row r="907">
      <c r="A907" s="21" t="inlineStr">
        <is>
          <t>Покупка</t>
        </is>
      </c>
      <c r="B907" s="21" t="inlineStr">
        <is>
          <t>Таунхаусы</t>
        </is>
      </c>
      <c r="C907" s="21" t="inlineStr">
        <is>
          <t>Сыктывкар</t>
        </is>
      </c>
      <c r="D907" s="22" t="n">
        <v>9</v>
      </c>
    </row>
    <row r="908">
      <c r="A908" s="21" t="inlineStr">
        <is>
          <t>Покупка</t>
        </is>
      </c>
      <c r="B908" s="21" t="inlineStr">
        <is>
          <t>Таунхаусы</t>
        </is>
      </c>
      <c r="C908" s="21" t="inlineStr">
        <is>
          <t>Тамбов</t>
        </is>
      </c>
      <c r="D908" s="22" t="n">
        <v>11</v>
      </c>
    </row>
    <row r="909">
      <c r="A909" s="21" t="inlineStr">
        <is>
          <t>Покупка</t>
        </is>
      </c>
      <c r="B909" s="21" t="inlineStr">
        <is>
          <t>Таунхаусы</t>
        </is>
      </c>
      <c r="C909" s="21" t="inlineStr">
        <is>
          <t>Тольятти</t>
        </is>
      </c>
      <c r="D909" s="22" t="n">
        <v>14</v>
      </c>
    </row>
    <row r="910">
      <c r="A910" s="21" t="inlineStr">
        <is>
          <t>Покупка</t>
        </is>
      </c>
      <c r="B910" s="21" t="inlineStr">
        <is>
          <t>Таунхаусы</t>
        </is>
      </c>
      <c r="C910" s="21" t="inlineStr">
        <is>
          <t>Томск</t>
        </is>
      </c>
      <c r="D910" s="22" t="n">
        <v>12</v>
      </c>
    </row>
    <row r="911">
      <c r="A911" s="21" t="inlineStr">
        <is>
          <t>Покупка</t>
        </is>
      </c>
      <c r="B911" s="21" t="inlineStr">
        <is>
          <t>Таунхаусы</t>
        </is>
      </c>
      <c r="C911" s="21" t="inlineStr">
        <is>
          <t>Тула</t>
        </is>
      </c>
      <c r="D911" s="22" t="n">
        <v>45</v>
      </c>
    </row>
    <row r="912">
      <c r="A912" s="21" t="inlineStr">
        <is>
          <t>Покупка</t>
        </is>
      </c>
      <c r="B912" s="21" t="inlineStr">
        <is>
          <t>Таунхаусы</t>
        </is>
      </c>
      <c r="C912" s="21" t="inlineStr">
        <is>
          <t>Тверь</t>
        </is>
      </c>
      <c r="D912" s="22" t="n">
        <v>34</v>
      </c>
    </row>
    <row r="913">
      <c r="A913" s="21" t="inlineStr">
        <is>
          <t>Покупка</t>
        </is>
      </c>
      <c r="B913" s="21" t="inlineStr">
        <is>
          <t>Таунхаусы</t>
        </is>
      </c>
      <c r="C913" s="21" t="inlineStr">
        <is>
          <t>Тюмень</t>
        </is>
      </c>
      <c r="D913" s="22" t="n">
        <v>143</v>
      </c>
    </row>
    <row r="914">
      <c r="A914" s="21" t="inlineStr">
        <is>
          <t>Покупка</t>
        </is>
      </c>
      <c r="B914" s="21" t="inlineStr">
        <is>
          <t>Таунхаусы</t>
        </is>
      </c>
      <c r="C914" s="21" t="inlineStr">
        <is>
          <t>Уфа</t>
        </is>
      </c>
      <c r="D914" s="22" t="n">
        <v>138</v>
      </c>
    </row>
    <row r="915">
      <c r="A915" s="21" t="inlineStr">
        <is>
          <t>Покупка</t>
        </is>
      </c>
      <c r="B915" s="21" t="inlineStr">
        <is>
          <t>Таунхаусы</t>
        </is>
      </c>
      <c r="C915" s="21" t="inlineStr">
        <is>
          <t>Улан-Удэ</t>
        </is>
      </c>
      <c r="D915" s="22" t="n">
        <v>41</v>
      </c>
    </row>
    <row r="916">
      <c r="A916" s="21" t="inlineStr">
        <is>
          <t>Покупка</t>
        </is>
      </c>
      <c r="B916" s="21" t="inlineStr">
        <is>
          <t>Таунхаусы</t>
        </is>
      </c>
      <c r="C916" s="21" t="inlineStr">
        <is>
          <t>Ульяновск</t>
        </is>
      </c>
      <c r="D916" s="22" t="n">
        <v>14</v>
      </c>
    </row>
    <row r="917">
      <c r="A917" s="21" t="inlineStr">
        <is>
          <t>Покупка</t>
        </is>
      </c>
      <c r="B917" s="21" t="inlineStr">
        <is>
          <t>Таунхаусы</t>
        </is>
      </c>
      <c r="C917" s="21" t="inlineStr">
        <is>
          <t>Владикавказ</t>
        </is>
      </c>
      <c r="D917" s="22" t="n">
        <v>7</v>
      </c>
    </row>
    <row r="918">
      <c r="A918" s="21" t="inlineStr">
        <is>
          <t>Покупка</t>
        </is>
      </c>
      <c r="B918" s="21" t="inlineStr">
        <is>
          <t>Таунхаусы</t>
        </is>
      </c>
      <c r="C918" s="21" t="inlineStr">
        <is>
          <t>Владимир</t>
        </is>
      </c>
      <c r="D918" s="22" t="n">
        <v>20</v>
      </c>
    </row>
    <row r="919">
      <c r="A919" s="21" t="inlineStr">
        <is>
          <t>Покупка</t>
        </is>
      </c>
      <c r="B919" s="21" t="inlineStr">
        <is>
          <t>Таунхаусы</t>
        </is>
      </c>
      <c r="C919" s="21" t="inlineStr">
        <is>
          <t>Владивосток</t>
        </is>
      </c>
      <c r="D919" s="22" t="n">
        <v>43</v>
      </c>
    </row>
    <row r="920">
      <c r="A920" s="21" t="inlineStr">
        <is>
          <t>Покупка</t>
        </is>
      </c>
      <c r="B920" s="21" t="inlineStr">
        <is>
          <t>Таунхаусы</t>
        </is>
      </c>
      <c r="C920" s="21" t="inlineStr">
        <is>
          <t>Волгоград</t>
        </is>
      </c>
      <c r="D920" s="22" t="n">
        <v>15</v>
      </c>
    </row>
    <row r="921">
      <c r="A921" s="21" t="inlineStr">
        <is>
          <t>Покупка</t>
        </is>
      </c>
      <c r="B921" s="21" t="inlineStr">
        <is>
          <t>Таунхаусы</t>
        </is>
      </c>
      <c r="C921" s="21" t="inlineStr">
        <is>
          <t>Воронеж</t>
        </is>
      </c>
      <c r="D921" s="22" t="n">
        <v>32</v>
      </c>
    </row>
    <row r="922">
      <c r="A922" s="21" t="inlineStr">
        <is>
          <t>Покупка</t>
        </is>
      </c>
      <c r="B922" s="21" t="inlineStr">
        <is>
          <t>Таунхаусы</t>
        </is>
      </c>
      <c r="C922" s="21" t="inlineStr">
        <is>
          <t>Хабаровск</t>
        </is>
      </c>
      <c r="D922" s="22" t="n">
        <v>10</v>
      </c>
    </row>
    <row r="923">
      <c r="A923" s="21" t="inlineStr">
        <is>
          <t>Покупка</t>
        </is>
      </c>
      <c r="B923" s="21" t="inlineStr">
        <is>
          <t>Таунхаусы</t>
        </is>
      </c>
      <c r="C923" s="21" t="inlineStr">
        <is>
          <t>Ханты-Мансийск</t>
        </is>
      </c>
      <c r="D923" s="22" t="n">
        <v>12</v>
      </c>
    </row>
    <row r="924">
      <c r="A924" s="21" t="inlineStr">
        <is>
          <t>Покупка</t>
        </is>
      </c>
      <c r="B924" s="21" t="inlineStr">
        <is>
          <t>Таунхаусы</t>
        </is>
      </c>
      <c r="C924" s="21" t="inlineStr">
        <is>
          <t>Химки</t>
        </is>
      </c>
      <c r="D924" s="22" t="n">
        <v>12</v>
      </c>
    </row>
    <row r="925">
      <c r="A925" s="21" t="inlineStr">
        <is>
          <t>Покупка</t>
        </is>
      </c>
      <c r="B925" s="21" t="inlineStr">
        <is>
          <t>Таунхаусы</t>
        </is>
      </c>
      <c r="C925" s="21" t="inlineStr">
        <is>
          <t>Якутск</t>
        </is>
      </c>
      <c r="D925" s="22" t="n">
        <v>7</v>
      </c>
    </row>
    <row r="926">
      <c r="A926" s="21" t="inlineStr">
        <is>
          <t>Покупка</t>
        </is>
      </c>
      <c r="B926" s="21" t="inlineStr">
        <is>
          <t>Таунхаусы</t>
        </is>
      </c>
      <c r="C926" s="21" t="inlineStr">
        <is>
          <t>Ярославль</t>
        </is>
      </c>
      <c r="D926" s="22" t="n">
        <v>53</v>
      </c>
    </row>
    <row r="927">
      <c r="A927" s="21" t="inlineStr">
        <is>
          <t>Покупка</t>
        </is>
      </c>
      <c r="B927" s="21" t="inlineStr">
        <is>
          <t>Таунхаусы</t>
        </is>
      </c>
      <c r="C927" s="21" t="inlineStr">
        <is>
          <t>Южно-Сахалинск</t>
        </is>
      </c>
      <c r="D927" s="22" t="n">
        <v>8</v>
      </c>
    </row>
    <row r="928">
      <c r="A928" s="27" t="inlineStr">
        <is>
          <t>Покупка</t>
        </is>
      </c>
      <c r="B928" s="17" t="inlineStr">
        <is>
          <t>Части дома</t>
        </is>
      </c>
      <c r="C928" s="28" t="inlineStr">
        <is>
          <t>Абакан</t>
        </is>
      </c>
      <c r="D928" s="19" t="n">
        <v>36</v>
      </c>
    </row>
    <row r="929">
      <c r="A929" s="21" t="inlineStr">
        <is>
          <t>Покупка</t>
        </is>
      </c>
      <c r="B929" s="21" t="inlineStr">
        <is>
          <t>Части дома</t>
        </is>
      </c>
      <c r="C929" s="21" t="inlineStr">
        <is>
          <t>Архангельск</t>
        </is>
      </c>
      <c r="D929" s="22" t="n">
        <v>6</v>
      </c>
    </row>
    <row r="930">
      <c r="A930" s="21" t="inlineStr">
        <is>
          <t>Покупка</t>
        </is>
      </c>
      <c r="B930" s="21" t="inlineStr">
        <is>
          <t>Части дома</t>
        </is>
      </c>
      <c r="C930" s="21" t="inlineStr">
        <is>
          <t>Астрахань</t>
        </is>
      </c>
      <c r="D930" s="22" t="n">
        <v>12</v>
      </c>
    </row>
    <row r="931">
      <c r="A931" s="21" t="inlineStr">
        <is>
          <t>Покупка</t>
        </is>
      </c>
      <c r="B931" s="21" t="inlineStr">
        <is>
          <t>Части дома</t>
        </is>
      </c>
      <c r="C931" s="21" t="inlineStr">
        <is>
          <t>Балашиха</t>
        </is>
      </c>
      <c r="D931" s="22" t="n">
        <v>12</v>
      </c>
    </row>
    <row r="932">
      <c r="A932" s="21" t="inlineStr">
        <is>
          <t>Покупка</t>
        </is>
      </c>
      <c r="B932" s="21" t="inlineStr">
        <is>
          <t>Части дома</t>
        </is>
      </c>
      <c r="C932" s="21" t="inlineStr">
        <is>
          <t>Барнаул</t>
        </is>
      </c>
      <c r="D932" s="22" t="n">
        <v>76</v>
      </c>
    </row>
    <row r="933">
      <c r="A933" s="21" t="inlineStr">
        <is>
          <t>Покупка</t>
        </is>
      </c>
      <c r="B933" s="21" t="inlineStr">
        <is>
          <t>Части дома</t>
        </is>
      </c>
      <c r="C933" s="21" t="inlineStr">
        <is>
          <t>Белгород</t>
        </is>
      </c>
      <c r="D933" s="22" t="n">
        <v>52</v>
      </c>
    </row>
    <row r="934">
      <c r="A934" s="21" t="inlineStr">
        <is>
          <t>Покупка</t>
        </is>
      </c>
      <c r="B934" s="21" t="inlineStr">
        <is>
          <t>Части дома</t>
        </is>
      </c>
      <c r="C934" s="21" t="inlineStr">
        <is>
          <t>Благовещенск</t>
        </is>
      </c>
      <c r="D934" s="22" t="n">
        <v>12</v>
      </c>
    </row>
    <row r="935">
      <c r="A935" s="21" t="inlineStr">
        <is>
          <t>Покупка</t>
        </is>
      </c>
      <c r="B935" s="21" t="inlineStr">
        <is>
          <t>Части дома</t>
        </is>
      </c>
      <c r="C935" s="21" t="inlineStr">
        <is>
          <t>Брянск</t>
        </is>
      </c>
      <c r="D935" s="22" t="n">
        <v>58</v>
      </c>
    </row>
    <row r="936">
      <c r="A936" s="21" t="inlineStr">
        <is>
          <t>Покупка</t>
        </is>
      </c>
      <c r="B936" s="21" t="inlineStr">
        <is>
          <t>Части дома</t>
        </is>
      </c>
      <c r="C936" s="21" t="inlineStr">
        <is>
          <t>Челябинск</t>
        </is>
      </c>
      <c r="D936" s="22" t="n">
        <v>26</v>
      </c>
    </row>
    <row r="937">
      <c r="A937" s="21" t="inlineStr">
        <is>
          <t>Покупка</t>
        </is>
      </c>
      <c r="B937" s="21" t="inlineStr">
        <is>
          <t>Части дома</t>
        </is>
      </c>
      <c r="C937" s="21" t="inlineStr">
        <is>
          <t>Черкесск</t>
        </is>
      </c>
      <c r="D937" s="22" t="n">
        <v>5</v>
      </c>
    </row>
    <row r="938">
      <c r="A938" s="21" t="inlineStr">
        <is>
          <t>Покупка</t>
        </is>
      </c>
      <c r="B938" s="21" t="inlineStr">
        <is>
          <t>Части дома</t>
        </is>
      </c>
      <c r="C938" s="21" t="inlineStr">
        <is>
          <t>Чита</t>
        </is>
      </c>
      <c r="D938" s="22" t="n">
        <v>17</v>
      </c>
    </row>
    <row r="939">
      <c r="A939" s="21" t="inlineStr">
        <is>
          <t>Покупка</t>
        </is>
      </c>
      <c r="B939" s="21" t="inlineStr">
        <is>
          <t>Части дома</t>
        </is>
      </c>
      <c r="C939" s="21" t="inlineStr">
        <is>
          <t>Домодедово</t>
        </is>
      </c>
      <c r="D939" s="22" t="n">
        <v>10</v>
      </c>
    </row>
    <row r="940">
      <c r="A940" s="21" t="inlineStr">
        <is>
          <t>Покупка</t>
        </is>
      </c>
      <c r="B940" s="21" t="inlineStr">
        <is>
          <t>Части дома</t>
        </is>
      </c>
      <c r="C940" s="21" t="inlineStr">
        <is>
          <t>Екатеринбург</t>
        </is>
      </c>
      <c r="D940" s="22" t="n">
        <v>20</v>
      </c>
    </row>
    <row r="941">
      <c r="A941" s="21" t="inlineStr">
        <is>
          <t>Покупка</t>
        </is>
      </c>
      <c r="B941" s="21" t="inlineStr">
        <is>
          <t>Части дома</t>
        </is>
      </c>
      <c r="C941" s="21" t="inlineStr">
        <is>
          <t>Элиста</t>
        </is>
      </c>
      <c r="D941" s="22" t="n">
        <v>7</v>
      </c>
    </row>
    <row r="942">
      <c r="A942" s="21" t="inlineStr">
        <is>
          <t>Покупка</t>
        </is>
      </c>
      <c r="B942" s="21" t="inlineStr">
        <is>
          <t>Части дома</t>
        </is>
      </c>
      <c r="C942" s="21" t="inlineStr">
        <is>
          <t>Энгельс</t>
        </is>
      </c>
      <c r="D942" s="22" t="n">
        <v>13</v>
      </c>
    </row>
    <row r="943">
      <c r="A943" s="21" t="inlineStr">
        <is>
          <t>Покупка</t>
        </is>
      </c>
      <c r="B943" s="21" t="inlineStr">
        <is>
          <t>Части дома</t>
        </is>
      </c>
      <c r="C943" s="21" t="inlineStr">
        <is>
          <t>Горно-Алтайск</t>
        </is>
      </c>
      <c r="D943" s="22" t="n">
        <v>29</v>
      </c>
    </row>
    <row r="944">
      <c r="A944" s="21" t="inlineStr">
        <is>
          <t>Покупка</t>
        </is>
      </c>
      <c r="B944" s="21" t="inlineStr">
        <is>
          <t>Части дома</t>
        </is>
      </c>
      <c r="C944" s="21" t="inlineStr">
        <is>
          <t>Иваново</t>
        </is>
      </c>
      <c r="D944" s="22" t="n">
        <v>58</v>
      </c>
    </row>
    <row r="945">
      <c r="A945" s="21" t="inlineStr">
        <is>
          <t>Покупка</t>
        </is>
      </c>
      <c r="B945" s="21" t="inlineStr">
        <is>
          <t>Части дома</t>
        </is>
      </c>
      <c r="C945" s="21" t="inlineStr">
        <is>
          <t>Ижевск</t>
        </is>
      </c>
      <c r="D945" s="22" t="n">
        <v>5</v>
      </c>
    </row>
    <row r="946">
      <c r="A946" s="21" t="inlineStr">
        <is>
          <t>Покупка</t>
        </is>
      </c>
      <c r="B946" s="21" t="inlineStr">
        <is>
          <t>Части дома</t>
        </is>
      </c>
      <c r="C946" s="21" t="inlineStr">
        <is>
          <t>Йошкар-Ола</t>
        </is>
      </c>
      <c r="D946" s="22" t="n">
        <v>5</v>
      </c>
    </row>
    <row r="947">
      <c r="A947" s="21" t="inlineStr">
        <is>
          <t>Покупка</t>
        </is>
      </c>
      <c r="B947" s="21" t="inlineStr">
        <is>
          <t>Части дома</t>
        </is>
      </c>
      <c r="C947" s="21" t="inlineStr">
        <is>
          <t>Калининград</t>
        </is>
      </c>
      <c r="D947" s="22" t="n">
        <v>56</v>
      </c>
    </row>
    <row r="948">
      <c r="A948" s="21" t="inlineStr">
        <is>
          <t>Покупка</t>
        </is>
      </c>
      <c r="B948" s="21" t="inlineStr">
        <is>
          <t>Части дома</t>
        </is>
      </c>
      <c r="C948" s="21" t="inlineStr">
        <is>
          <t>Калуга</t>
        </is>
      </c>
      <c r="D948" s="22" t="n">
        <v>39</v>
      </c>
    </row>
    <row r="949">
      <c r="A949" s="21" t="inlineStr">
        <is>
          <t>Покупка</t>
        </is>
      </c>
      <c r="B949" s="21" t="inlineStr">
        <is>
          <t>Части дома</t>
        </is>
      </c>
      <c r="C949" s="21" t="inlineStr">
        <is>
          <t>Казань</t>
        </is>
      </c>
      <c r="D949" s="22" t="n">
        <v>19</v>
      </c>
    </row>
    <row r="950">
      <c r="A950" s="21" t="inlineStr">
        <is>
          <t>Покупка</t>
        </is>
      </c>
      <c r="B950" s="21" t="inlineStr">
        <is>
          <t>Части дома</t>
        </is>
      </c>
      <c r="C950" s="21" t="inlineStr">
        <is>
          <t>Кемерово</t>
        </is>
      </c>
      <c r="D950" s="22" t="n">
        <v>39</v>
      </c>
    </row>
    <row r="951">
      <c r="A951" s="21" t="inlineStr">
        <is>
          <t>Покупка</t>
        </is>
      </c>
      <c r="B951" s="21" t="inlineStr">
        <is>
          <t>Части дома</t>
        </is>
      </c>
      <c r="C951" s="21" t="inlineStr">
        <is>
          <t>Киров</t>
        </is>
      </c>
      <c r="D951" s="22" t="n">
        <v>8</v>
      </c>
    </row>
    <row r="952">
      <c r="A952" s="21" t="inlineStr">
        <is>
          <t>Покупка</t>
        </is>
      </c>
      <c r="B952" s="21" t="inlineStr">
        <is>
          <t>Части дома</t>
        </is>
      </c>
      <c r="C952" s="21" t="inlineStr">
        <is>
          <t>Коломна</t>
        </is>
      </c>
      <c r="D952" s="22" t="n">
        <v>6</v>
      </c>
    </row>
    <row r="953">
      <c r="A953" s="21" t="inlineStr">
        <is>
          <t>Покупка</t>
        </is>
      </c>
      <c r="B953" s="21" t="inlineStr">
        <is>
          <t>Части дома</t>
        </is>
      </c>
      <c r="C953" s="21" t="inlineStr">
        <is>
          <t>Кострома</t>
        </is>
      </c>
      <c r="D953" s="22" t="n">
        <v>81</v>
      </c>
    </row>
    <row r="954">
      <c r="A954" s="21" t="inlineStr">
        <is>
          <t>Покупка</t>
        </is>
      </c>
      <c r="B954" s="21" t="inlineStr">
        <is>
          <t>Части дома</t>
        </is>
      </c>
      <c r="C954" s="21" t="inlineStr">
        <is>
          <t>Краснодар</t>
        </is>
      </c>
      <c r="D954" s="22" t="n">
        <v>328</v>
      </c>
    </row>
    <row r="955">
      <c r="A955" s="21" t="inlineStr">
        <is>
          <t>Покупка</t>
        </is>
      </c>
      <c r="B955" s="21" t="inlineStr">
        <is>
          <t>Части дома</t>
        </is>
      </c>
      <c r="C955" s="21" t="inlineStr">
        <is>
          <t>Красноярск</t>
        </is>
      </c>
      <c r="D955" s="22" t="n">
        <v>26</v>
      </c>
    </row>
    <row r="956">
      <c r="A956" s="21" t="inlineStr">
        <is>
          <t>Покупка</t>
        </is>
      </c>
      <c r="B956" s="21" t="inlineStr">
        <is>
          <t>Части дома</t>
        </is>
      </c>
      <c r="C956" s="21" t="inlineStr">
        <is>
          <t>Курган</t>
        </is>
      </c>
      <c r="D956" s="22" t="n">
        <v>97</v>
      </c>
    </row>
    <row r="957">
      <c r="A957" s="21" t="inlineStr">
        <is>
          <t>Покупка</t>
        </is>
      </c>
      <c r="B957" s="21" t="inlineStr">
        <is>
          <t>Части дома</t>
        </is>
      </c>
      <c r="C957" s="21" t="inlineStr">
        <is>
          <t>Курск</t>
        </is>
      </c>
      <c r="D957" s="22" t="n">
        <v>40</v>
      </c>
    </row>
    <row r="958">
      <c r="A958" s="21" t="inlineStr">
        <is>
          <t>Покупка</t>
        </is>
      </c>
      <c r="B958" s="21" t="inlineStr">
        <is>
          <t>Части дома</t>
        </is>
      </c>
      <c r="C958" s="21" t="inlineStr">
        <is>
          <t>Кызыл</t>
        </is>
      </c>
      <c r="D958" s="22" t="n">
        <v>70</v>
      </c>
    </row>
    <row r="959">
      <c r="A959" s="21" t="inlineStr">
        <is>
          <t>Покупка</t>
        </is>
      </c>
      <c r="B959" s="21" t="inlineStr">
        <is>
          <t>Части дома</t>
        </is>
      </c>
      <c r="C959" s="21" t="inlineStr">
        <is>
          <t>Липецк</t>
        </is>
      </c>
      <c r="D959" s="22" t="n">
        <v>47</v>
      </c>
    </row>
    <row r="960">
      <c r="A960" s="21" t="inlineStr">
        <is>
          <t>Покупка</t>
        </is>
      </c>
      <c r="B960" s="21" t="inlineStr">
        <is>
          <t>Части дома</t>
        </is>
      </c>
      <c r="C960" s="21" t="inlineStr">
        <is>
          <t>Магадан</t>
        </is>
      </c>
      <c r="D960" s="22" t="n">
        <v>5</v>
      </c>
    </row>
    <row r="961">
      <c r="A961" s="21" t="inlineStr">
        <is>
          <t>Покупка</t>
        </is>
      </c>
      <c r="B961" s="21" t="inlineStr">
        <is>
          <t>Части дома</t>
        </is>
      </c>
      <c r="C961" s="21" t="inlineStr">
        <is>
          <t>Магнитогорск</t>
        </is>
      </c>
      <c r="D961" s="22" t="n">
        <v>22</v>
      </c>
    </row>
    <row r="962">
      <c r="A962" s="21" t="inlineStr">
        <is>
          <t>Покупка</t>
        </is>
      </c>
      <c r="B962" s="21" t="inlineStr">
        <is>
          <t>Части дома</t>
        </is>
      </c>
      <c r="C962" s="21" t="inlineStr">
        <is>
          <t>Майкоп</t>
        </is>
      </c>
      <c r="D962" s="22" t="n">
        <v>64</v>
      </c>
    </row>
    <row r="963">
      <c r="A963" s="21" t="inlineStr">
        <is>
          <t>Покупка</t>
        </is>
      </c>
      <c r="B963" s="21" t="inlineStr">
        <is>
          <t>Части дома</t>
        </is>
      </c>
      <c r="C963" s="21" t="inlineStr">
        <is>
          <t>Махачкала</t>
        </is>
      </c>
      <c r="D963" s="22" t="n">
        <v>7</v>
      </c>
    </row>
    <row r="964">
      <c r="A964" s="21" t="inlineStr">
        <is>
          <t>Покупка</t>
        </is>
      </c>
      <c r="B964" s="21" t="inlineStr">
        <is>
          <t>Части дома</t>
        </is>
      </c>
      <c r="C964" s="21" t="inlineStr">
        <is>
          <t>Москва</t>
        </is>
      </c>
      <c r="D964" s="22" t="n">
        <v>16</v>
      </c>
    </row>
    <row r="965">
      <c r="A965" s="21" t="inlineStr">
        <is>
          <t>Покупка</t>
        </is>
      </c>
      <c r="B965" s="21" t="inlineStr">
        <is>
          <t>Части дома</t>
        </is>
      </c>
      <c r="C965" s="21" t="inlineStr">
        <is>
          <t>Нальчик</t>
        </is>
      </c>
      <c r="D965" s="22" t="n">
        <v>13</v>
      </c>
    </row>
    <row r="966">
      <c r="A966" s="21" t="inlineStr">
        <is>
          <t>Покупка</t>
        </is>
      </c>
      <c r="B966" s="21" t="inlineStr">
        <is>
          <t>Части дома</t>
        </is>
      </c>
      <c r="C966" s="21" t="inlineStr">
        <is>
          <t>Нижний Тагил</t>
        </is>
      </c>
      <c r="D966" s="22" t="n">
        <v>9</v>
      </c>
    </row>
    <row r="967">
      <c r="A967" s="21" t="inlineStr">
        <is>
          <t>Покупка</t>
        </is>
      </c>
      <c r="B967" s="21" t="inlineStr">
        <is>
          <t>Части дома</t>
        </is>
      </c>
      <c r="C967" s="21" t="inlineStr">
        <is>
          <t>Нижний Новгород</t>
        </is>
      </c>
      <c r="D967" s="22" t="n">
        <v>63</v>
      </c>
    </row>
    <row r="968">
      <c r="A968" s="21" t="inlineStr">
        <is>
          <t>Покупка</t>
        </is>
      </c>
      <c r="B968" s="21" t="inlineStr">
        <is>
          <t>Части дома</t>
        </is>
      </c>
      <c r="C968" s="21" t="inlineStr">
        <is>
          <t>Ногинск</t>
        </is>
      </c>
      <c r="D968" s="22" t="n">
        <v>6</v>
      </c>
    </row>
    <row r="969">
      <c r="A969" s="21" t="inlineStr">
        <is>
          <t>Покупка</t>
        </is>
      </c>
      <c r="B969" s="21" t="inlineStr">
        <is>
          <t>Части дома</t>
        </is>
      </c>
      <c r="C969" s="21" t="inlineStr">
        <is>
          <t>Новокузнецк</t>
        </is>
      </c>
      <c r="D969" s="22" t="n">
        <v>9</v>
      </c>
    </row>
    <row r="970">
      <c r="A970" s="21" t="inlineStr">
        <is>
          <t>Покупка</t>
        </is>
      </c>
      <c r="B970" s="21" t="inlineStr">
        <is>
          <t>Части дома</t>
        </is>
      </c>
      <c r="C970" s="21" t="inlineStr">
        <is>
          <t>Новороссийск</t>
        </is>
      </c>
      <c r="D970" s="22" t="n">
        <v>82</v>
      </c>
    </row>
    <row r="971">
      <c r="A971" s="21" t="inlineStr">
        <is>
          <t>Покупка</t>
        </is>
      </c>
      <c r="B971" s="21" t="inlineStr">
        <is>
          <t>Части дома</t>
        </is>
      </c>
      <c r="C971" s="21" t="inlineStr">
        <is>
          <t>Новосибирск</t>
        </is>
      </c>
      <c r="D971" s="22" t="n">
        <v>190</v>
      </c>
    </row>
    <row r="972">
      <c r="A972" s="21" t="inlineStr">
        <is>
          <t>Покупка</t>
        </is>
      </c>
      <c r="B972" s="21" t="inlineStr">
        <is>
          <t>Части дома</t>
        </is>
      </c>
      <c r="C972" s="21" t="inlineStr">
        <is>
          <t>Омск</t>
        </is>
      </c>
      <c r="D972" s="22" t="n">
        <v>125</v>
      </c>
    </row>
    <row r="973">
      <c r="A973" s="21" t="inlineStr">
        <is>
          <t>Покупка</t>
        </is>
      </c>
      <c r="B973" s="21" t="inlineStr">
        <is>
          <t>Части дома</t>
        </is>
      </c>
      <c r="C973" s="21" t="inlineStr">
        <is>
          <t>Оренбург</t>
        </is>
      </c>
      <c r="D973" s="22" t="n">
        <v>25</v>
      </c>
    </row>
    <row r="974">
      <c r="A974" s="21" t="inlineStr">
        <is>
          <t>Покупка</t>
        </is>
      </c>
      <c r="B974" s="21" t="inlineStr">
        <is>
          <t>Части дома</t>
        </is>
      </c>
      <c r="C974" s="21" t="inlineStr">
        <is>
          <t>Орёл</t>
        </is>
      </c>
      <c r="D974" s="22" t="n">
        <v>51</v>
      </c>
    </row>
    <row r="975">
      <c r="A975" s="21" t="inlineStr">
        <is>
          <t>Покупка</t>
        </is>
      </c>
      <c r="B975" s="21" t="inlineStr">
        <is>
          <t>Части дома</t>
        </is>
      </c>
      <c r="C975" s="21" t="inlineStr">
        <is>
          <t>Пенза</t>
        </is>
      </c>
      <c r="D975" s="22" t="n">
        <v>74</v>
      </c>
    </row>
    <row r="976">
      <c r="A976" s="21" t="inlineStr">
        <is>
          <t>Покупка</t>
        </is>
      </c>
      <c r="B976" s="21" t="inlineStr">
        <is>
          <t>Части дома</t>
        </is>
      </c>
      <c r="C976" s="21" t="inlineStr">
        <is>
          <t>Пермь</t>
        </is>
      </c>
      <c r="D976" s="22" t="n">
        <v>9</v>
      </c>
    </row>
    <row r="977">
      <c r="A977" s="21" t="inlineStr">
        <is>
          <t>Покупка</t>
        </is>
      </c>
      <c r="B977" s="21" t="inlineStr">
        <is>
          <t>Части дома</t>
        </is>
      </c>
      <c r="C977" s="21" t="inlineStr">
        <is>
          <t>Петропавловск-Камчатский</t>
        </is>
      </c>
      <c r="D977" s="22" t="n">
        <v>7</v>
      </c>
    </row>
    <row r="978">
      <c r="A978" s="21" t="inlineStr">
        <is>
          <t>Покупка</t>
        </is>
      </c>
      <c r="B978" s="21" t="inlineStr">
        <is>
          <t>Части дома</t>
        </is>
      </c>
      <c r="C978" s="21" t="inlineStr">
        <is>
          <t>Подольск</t>
        </is>
      </c>
      <c r="D978" s="22" t="n">
        <v>6</v>
      </c>
    </row>
    <row r="979">
      <c r="A979" s="21" t="inlineStr">
        <is>
          <t>Покупка</t>
        </is>
      </c>
      <c r="B979" s="21" t="inlineStr">
        <is>
          <t>Части дома</t>
        </is>
      </c>
      <c r="C979" s="21" t="inlineStr">
        <is>
          <t>Прокопьевск</t>
        </is>
      </c>
      <c r="D979" s="22" t="n">
        <v>11</v>
      </c>
    </row>
    <row r="980">
      <c r="A980" s="21" t="inlineStr">
        <is>
          <t>Покупка</t>
        </is>
      </c>
      <c r="B980" s="21" t="inlineStr">
        <is>
          <t>Части дома</t>
        </is>
      </c>
      <c r="C980" s="21" t="inlineStr">
        <is>
          <t>Псков</t>
        </is>
      </c>
      <c r="D980" s="22" t="n">
        <v>8</v>
      </c>
    </row>
    <row r="981">
      <c r="A981" s="21" t="inlineStr">
        <is>
          <t>Покупка</t>
        </is>
      </c>
      <c r="B981" s="21" t="inlineStr">
        <is>
          <t>Части дома</t>
        </is>
      </c>
      <c r="C981" s="21" t="inlineStr">
        <is>
          <t>Пушкино</t>
        </is>
      </c>
      <c r="D981" s="22" t="n">
        <v>16</v>
      </c>
    </row>
    <row r="982">
      <c r="A982" s="21" t="inlineStr">
        <is>
          <t>Покупка</t>
        </is>
      </c>
      <c r="B982" s="21" t="inlineStr">
        <is>
          <t>Части дома</t>
        </is>
      </c>
      <c r="C982" s="21" t="inlineStr">
        <is>
          <t>Ростов-на-Дону</t>
        </is>
      </c>
      <c r="D982" s="22" t="n">
        <v>172</v>
      </c>
    </row>
    <row r="983">
      <c r="A983" s="21" t="inlineStr">
        <is>
          <t>Покупка</t>
        </is>
      </c>
      <c r="B983" s="21" t="inlineStr">
        <is>
          <t>Части дома</t>
        </is>
      </c>
      <c r="C983" s="21" t="inlineStr">
        <is>
          <t>Рязань</t>
        </is>
      </c>
      <c r="D983" s="22" t="n">
        <v>35</v>
      </c>
    </row>
    <row r="984">
      <c r="A984" s="21" t="inlineStr">
        <is>
          <t>Покупка</t>
        </is>
      </c>
      <c r="B984" s="21" t="inlineStr">
        <is>
          <t>Части дома</t>
        </is>
      </c>
      <c r="C984" s="21" t="inlineStr">
        <is>
          <t>Салехард</t>
        </is>
      </c>
      <c r="D984" s="22" t="n">
        <v>7</v>
      </c>
    </row>
    <row r="985">
      <c r="A985" s="21" t="inlineStr">
        <is>
          <t>Покупка</t>
        </is>
      </c>
      <c r="B985" s="21" t="inlineStr">
        <is>
          <t>Части дома</t>
        </is>
      </c>
      <c r="C985" s="21" t="inlineStr">
        <is>
          <t>Самара</t>
        </is>
      </c>
      <c r="D985" s="22" t="n">
        <v>29</v>
      </c>
    </row>
    <row r="986">
      <c r="A986" s="21" t="inlineStr">
        <is>
          <t>Покупка</t>
        </is>
      </c>
      <c r="B986" s="21" t="inlineStr">
        <is>
          <t>Части дома</t>
        </is>
      </c>
      <c r="C986" s="21" t="inlineStr">
        <is>
          <t>Саранск</t>
        </is>
      </c>
      <c r="D986" s="22" t="n">
        <v>22</v>
      </c>
    </row>
    <row r="987">
      <c r="A987" s="21" t="inlineStr">
        <is>
          <t>Покупка</t>
        </is>
      </c>
      <c r="B987" s="21" t="inlineStr">
        <is>
          <t>Части дома</t>
        </is>
      </c>
      <c r="C987" s="21" t="inlineStr">
        <is>
          <t>Саратов</t>
        </is>
      </c>
      <c r="D987" s="22" t="n">
        <v>67</v>
      </c>
    </row>
    <row r="988">
      <c r="A988" s="21" t="inlineStr">
        <is>
          <t>Покупка</t>
        </is>
      </c>
      <c r="B988" s="21" t="inlineStr">
        <is>
          <t>Части дома</t>
        </is>
      </c>
      <c r="C988" s="21" t="inlineStr">
        <is>
          <t>Сергиев Посад</t>
        </is>
      </c>
      <c r="D988" s="22" t="n">
        <v>7</v>
      </c>
    </row>
    <row r="989">
      <c r="A989" s="21" t="inlineStr">
        <is>
          <t>Покупка</t>
        </is>
      </c>
      <c r="B989" s="21" t="inlineStr">
        <is>
          <t>Части дома</t>
        </is>
      </c>
      <c r="C989" s="21" t="inlineStr">
        <is>
          <t>Севастополь</t>
        </is>
      </c>
      <c r="D989" s="22" t="n">
        <v>46</v>
      </c>
    </row>
    <row r="990">
      <c r="A990" s="21" t="inlineStr">
        <is>
          <t>Покупка</t>
        </is>
      </c>
      <c r="B990" s="21" t="inlineStr">
        <is>
          <t>Части дома</t>
        </is>
      </c>
      <c r="C990" s="21" t="inlineStr">
        <is>
          <t>Симферополь</t>
        </is>
      </c>
      <c r="D990" s="22" t="n">
        <v>47</v>
      </c>
    </row>
    <row r="991">
      <c r="A991" s="21" t="inlineStr">
        <is>
          <t>Покупка</t>
        </is>
      </c>
      <c r="B991" s="21" t="inlineStr">
        <is>
          <t>Части дома</t>
        </is>
      </c>
      <c r="C991" s="21" t="inlineStr">
        <is>
          <t>Смоленск</t>
        </is>
      </c>
      <c r="D991" s="22" t="n">
        <v>13</v>
      </c>
    </row>
    <row r="992">
      <c r="A992" s="21" t="inlineStr">
        <is>
          <t>Покупка</t>
        </is>
      </c>
      <c r="B992" s="21" t="inlineStr">
        <is>
          <t>Части дома</t>
        </is>
      </c>
      <c r="C992" s="21" t="inlineStr">
        <is>
          <t>Сочи</t>
        </is>
      </c>
      <c r="D992" s="22" t="n">
        <v>30</v>
      </c>
    </row>
    <row r="993">
      <c r="A993" s="21" t="inlineStr">
        <is>
          <t>Покупка</t>
        </is>
      </c>
      <c r="B993" s="21" t="inlineStr">
        <is>
          <t>Части дома</t>
        </is>
      </c>
      <c r="C993" s="21" t="inlineStr">
        <is>
          <t>Санкт-Петербург</t>
        </is>
      </c>
      <c r="D993" s="22" t="n">
        <v>32</v>
      </c>
    </row>
    <row r="994">
      <c r="A994" s="21" t="inlineStr">
        <is>
          <t>Покупка</t>
        </is>
      </c>
      <c r="B994" s="21" t="inlineStr">
        <is>
          <t>Части дома</t>
        </is>
      </c>
      <c r="C994" s="21" t="inlineStr">
        <is>
          <t>Старый Оскол</t>
        </is>
      </c>
      <c r="D994" s="22" t="n">
        <v>95</v>
      </c>
    </row>
    <row r="995">
      <c r="A995" s="21" t="inlineStr">
        <is>
          <t>Покупка</t>
        </is>
      </c>
      <c r="B995" s="21" t="inlineStr">
        <is>
          <t>Части дома</t>
        </is>
      </c>
      <c r="C995" s="21" t="inlineStr">
        <is>
          <t>Ставрополь</t>
        </is>
      </c>
      <c r="D995" s="22" t="n">
        <v>126</v>
      </c>
    </row>
    <row r="996">
      <c r="A996" s="21" t="inlineStr">
        <is>
          <t>Покупка</t>
        </is>
      </c>
      <c r="B996" s="21" t="inlineStr">
        <is>
          <t>Части дома</t>
        </is>
      </c>
      <c r="C996" s="21" t="inlineStr">
        <is>
          <t>Сургут</t>
        </is>
      </c>
      <c r="D996" s="22" t="n">
        <v>6</v>
      </c>
    </row>
    <row r="997">
      <c r="A997" s="21" t="inlineStr">
        <is>
          <t>Покупка</t>
        </is>
      </c>
      <c r="B997" s="21" t="inlineStr">
        <is>
          <t>Части дома</t>
        </is>
      </c>
      <c r="C997" s="21" t="inlineStr">
        <is>
          <t>Сыктывкар</t>
        </is>
      </c>
      <c r="D997" s="22" t="n">
        <v>6</v>
      </c>
    </row>
    <row r="998">
      <c r="A998" s="21" t="inlineStr">
        <is>
          <t>Покупка</t>
        </is>
      </c>
      <c r="B998" s="21" t="inlineStr">
        <is>
          <t>Части дома</t>
        </is>
      </c>
      <c r="C998" s="21" t="inlineStr">
        <is>
          <t>Тамбов</t>
        </is>
      </c>
      <c r="D998" s="22" t="n">
        <v>106</v>
      </c>
    </row>
    <row r="999">
      <c r="A999" s="21" t="inlineStr">
        <is>
          <t>Покупка</t>
        </is>
      </c>
      <c r="B999" s="21" t="inlineStr">
        <is>
          <t>Части дома</t>
        </is>
      </c>
      <c r="C999" s="21" t="inlineStr">
        <is>
          <t>Тольятти</t>
        </is>
      </c>
      <c r="D999" s="22" t="n">
        <v>15</v>
      </c>
    </row>
    <row r="1000">
      <c r="A1000" s="21" t="inlineStr">
        <is>
          <t>Покупка</t>
        </is>
      </c>
      <c r="B1000" s="21" t="inlineStr">
        <is>
          <t>Части дома</t>
        </is>
      </c>
      <c r="C1000" s="21" t="inlineStr">
        <is>
          <t>Томск</t>
        </is>
      </c>
      <c r="D1000" s="22" t="n">
        <v>40</v>
      </c>
    </row>
    <row r="1001">
      <c r="A1001" s="21" t="inlineStr">
        <is>
          <t>Покупка</t>
        </is>
      </c>
      <c r="B1001" s="21" t="inlineStr">
        <is>
          <t>Части дома</t>
        </is>
      </c>
      <c r="C1001" s="21" t="inlineStr">
        <is>
          <t>Тула</t>
        </is>
      </c>
      <c r="D1001" s="22" t="n">
        <v>50</v>
      </c>
    </row>
    <row r="1002">
      <c r="A1002" s="21" t="inlineStr">
        <is>
          <t>Покупка</t>
        </is>
      </c>
      <c r="B1002" s="21" t="inlineStr">
        <is>
          <t>Части дома</t>
        </is>
      </c>
      <c r="C1002" s="21" t="inlineStr">
        <is>
          <t>Тверь</t>
        </is>
      </c>
      <c r="D1002" s="22" t="n">
        <v>43</v>
      </c>
    </row>
    <row r="1003">
      <c r="A1003" s="21" t="inlineStr">
        <is>
          <t>Покупка</t>
        </is>
      </c>
      <c r="B1003" s="21" t="inlineStr">
        <is>
          <t>Части дома</t>
        </is>
      </c>
      <c r="C1003" s="21" t="inlineStr">
        <is>
          <t>Тюмень</t>
        </is>
      </c>
      <c r="D1003" s="22" t="n">
        <v>72</v>
      </c>
    </row>
    <row r="1004">
      <c r="A1004" s="21" t="inlineStr">
        <is>
          <t>Покупка</t>
        </is>
      </c>
      <c r="B1004" s="21" t="inlineStr">
        <is>
          <t>Части дома</t>
        </is>
      </c>
      <c r="C1004" s="21" t="inlineStr">
        <is>
          <t>Уфа</t>
        </is>
      </c>
      <c r="D1004" s="22" t="n">
        <v>34</v>
      </c>
    </row>
    <row r="1005">
      <c r="A1005" s="21" t="inlineStr">
        <is>
          <t>Покупка</t>
        </is>
      </c>
      <c r="B1005" s="21" t="inlineStr">
        <is>
          <t>Части дома</t>
        </is>
      </c>
      <c r="C1005" s="21" t="inlineStr">
        <is>
          <t>Улан-Удэ</t>
        </is>
      </c>
      <c r="D1005" s="22" t="n">
        <v>41</v>
      </c>
    </row>
    <row r="1006">
      <c r="A1006" s="21" t="inlineStr">
        <is>
          <t>Покупка</t>
        </is>
      </c>
      <c r="B1006" s="21" t="inlineStr">
        <is>
          <t>Части дома</t>
        </is>
      </c>
      <c r="C1006" s="21" t="inlineStr">
        <is>
          <t>Ульяновск</t>
        </is>
      </c>
      <c r="D1006" s="22" t="n">
        <v>75</v>
      </c>
    </row>
    <row r="1007">
      <c r="A1007" s="21" t="inlineStr">
        <is>
          <t>Покупка</t>
        </is>
      </c>
      <c r="B1007" s="21" t="inlineStr">
        <is>
          <t>Части дома</t>
        </is>
      </c>
      <c r="C1007" s="21" t="inlineStr">
        <is>
          <t>Владикавказ</t>
        </is>
      </c>
      <c r="D1007" s="22" t="n">
        <v>11</v>
      </c>
    </row>
    <row r="1008">
      <c r="A1008" s="21" t="inlineStr">
        <is>
          <t>Покупка</t>
        </is>
      </c>
      <c r="B1008" s="21" t="inlineStr">
        <is>
          <t>Части дома</t>
        </is>
      </c>
      <c r="C1008" s="21" t="inlineStr">
        <is>
          <t>Владимир</t>
        </is>
      </c>
      <c r="D1008" s="22" t="n">
        <v>55</v>
      </c>
    </row>
    <row r="1009">
      <c r="A1009" s="21" t="inlineStr">
        <is>
          <t>Покупка</t>
        </is>
      </c>
      <c r="B1009" s="21" t="inlineStr">
        <is>
          <t>Части дома</t>
        </is>
      </c>
      <c r="C1009" s="21" t="inlineStr">
        <is>
          <t>Волгоград</t>
        </is>
      </c>
      <c r="D1009" s="22" t="n">
        <v>62</v>
      </c>
    </row>
    <row r="1010">
      <c r="A1010" s="21" t="inlineStr">
        <is>
          <t>Покупка</t>
        </is>
      </c>
      <c r="B1010" s="21" t="inlineStr">
        <is>
          <t>Части дома</t>
        </is>
      </c>
      <c r="C1010" s="21" t="inlineStr">
        <is>
          <t>Вологда</t>
        </is>
      </c>
      <c r="D1010" s="22" t="n">
        <v>9</v>
      </c>
    </row>
    <row r="1011">
      <c r="A1011" s="21" t="inlineStr">
        <is>
          <t>Покупка</t>
        </is>
      </c>
      <c r="B1011" s="21" t="inlineStr">
        <is>
          <t>Части дома</t>
        </is>
      </c>
      <c r="C1011" s="21" t="inlineStr">
        <is>
          <t>Воронеж</t>
        </is>
      </c>
      <c r="D1011" s="22" t="n">
        <v>182</v>
      </c>
    </row>
    <row r="1012">
      <c r="A1012" s="21" t="inlineStr">
        <is>
          <t>Покупка</t>
        </is>
      </c>
      <c r="B1012" s="21" t="inlineStr">
        <is>
          <t>Части дома</t>
        </is>
      </c>
      <c r="C1012" s="21" t="inlineStr">
        <is>
          <t>Хабаровск</t>
        </is>
      </c>
      <c r="D1012" s="22" t="n">
        <v>8</v>
      </c>
    </row>
    <row r="1013">
      <c r="A1013" s="21" t="inlineStr">
        <is>
          <t>Покупка</t>
        </is>
      </c>
      <c r="B1013" s="21" t="inlineStr">
        <is>
          <t>Части дома</t>
        </is>
      </c>
      <c r="C1013" s="21" t="inlineStr">
        <is>
          <t>Ханты-Мансийск</t>
        </is>
      </c>
      <c r="D1013" s="22" t="n">
        <v>19</v>
      </c>
    </row>
    <row r="1014">
      <c r="A1014" s="21" t="inlineStr">
        <is>
          <t>Покупка</t>
        </is>
      </c>
      <c r="B1014" s="21" t="inlineStr">
        <is>
          <t>Части дома</t>
        </is>
      </c>
      <c r="C1014" s="21" t="inlineStr">
        <is>
          <t>Якутск</t>
        </is>
      </c>
      <c r="D1014" s="22" t="n">
        <v>24</v>
      </c>
    </row>
    <row r="1015">
      <c r="A1015" s="21" t="inlineStr">
        <is>
          <t>Покупка</t>
        </is>
      </c>
      <c r="B1015" s="21" t="inlineStr">
        <is>
          <t>Части дома</t>
        </is>
      </c>
      <c r="C1015" s="21" t="inlineStr">
        <is>
          <t>Ярославль</t>
        </is>
      </c>
      <c r="D1015" s="22" t="n">
        <v>46</v>
      </c>
    </row>
    <row r="1016">
      <c r="A1016" s="21" t="inlineStr">
        <is>
          <t>Покупка</t>
        </is>
      </c>
      <c r="B1016" s="21" t="inlineStr">
        <is>
          <t>Части дома</t>
        </is>
      </c>
      <c r="C1016" s="21" t="inlineStr">
        <is>
          <t>Южно-Сахалинск</t>
        </is>
      </c>
      <c r="D1016" s="22" t="n">
        <v>6</v>
      </c>
    </row>
    <row r="1017">
      <c r="A1017" s="27" t="inlineStr">
        <is>
          <t>Покупка</t>
        </is>
      </c>
      <c r="B1017" s="17" t="inlineStr">
        <is>
          <t>Участок</t>
        </is>
      </c>
      <c r="C1017" s="28" t="inlineStr">
        <is>
          <t>Абакан</t>
        </is>
      </c>
      <c r="D1017" s="19" t="n">
        <v>418</v>
      </c>
    </row>
    <row r="1018">
      <c r="A1018" s="21" t="inlineStr">
        <is>
          <t>Покупка</t>
        </is>
      </c>
      <c r="B1018" s="21" t="inlineStr">
        <is>
          <t>Участок</t>
        </is>
      </c>
      <c r="C1018" s="21" t="inlineStr">
        <is>
          <t>Анадырь</t>
        </is>
      </c>
      <c r="D1018" s="22" t="n">
        <v>5</v>
      </c>
    </row>
    <row r="1019">
      <c r="A1019" s="21" t="inlineStr">
        <is>
          <t>Покупка</t>
        </is>
      </c>
      <c r="B1019" s="21" t="inlineStr">
        <is>
          <t>Участок</t>
        </is>
      </c>
      <c r="C1019" s="21" t="inlineStr">
        <is>
          <t>Архангельск</t>
        </is>
      </c>
      <c r="D1019" s="22" t="n">
        <v>97</v>
      </c>
    </row>
    <row r="1020">
      <c r="A1020" s="21" t="inlineStr">
        <is>
          <t>Покупка</t>
        </is>
      </c>
      <c r="B1020" s="21" t="inlineStr">
        <is>
          <t>Участок</t>
        </is>
      </c>
      <c r="C1020" s="21" t="inlineStr">
        <is>
          <t>Астрахань</t>
        </is>
      </c>
      <c r="D1020" s="22" t="n">
        <v>261</v>
      </c>
    </row>
    <row r="1021">
      <c r="A1021" s="21" t="inlineStr">
        <is>
          <t>Покупка</t>
        </is>
      </c>
      <c r="B1021" s="21" t="inlineStr">
        <is>
          <t>Участок</t>
        </is>
      </c>
      <c r="C1021" s="21" t="inlineStr">
        <is>
          <t>Балашиха</t>
        </is>
      </c>
      <c r="D1021" s="22" t="n">
        <v>70</v>
      </c>
    </row>
    <row r="1022">
      <c r="A1022" s="21" t="inlineStr">
        <is>
          <t>Покупка</t>
        </is>
      </c>
      <c r="B1022" s="21" t="inlineStr">
        <is>
          <t>Участок</t>
        </is>
      </c>
      <c r="C1022" s="21" t="inlineStr">
        <is>
          <t>Барнаул</t>
        </is>
      </c>
      <c r="D1022" s="22" t="n">
        <v>198</v>
      </c>
    </row>
    <row r="1023">
      <c r="A1023" s="21" t="inlineStr">
        <is>
          <t>Покупка</t>
        </is>
      </c>
      <c r="B1023" s="21" t="inlineStr">
        <is>
          <t>Участок</t>
        </is>
      </c>
      <c r="C1023" s="21" t="inlineStr">
        <is>
          <t>Белгород</t>
        </is>
      </c>
      <c r="D1023" s="22" t="n">
        <v>224</v>
      </c>
    </row>
    <row r="1024">
      <c r="A1024" s="21" t="inlineStr">
        <is>
          <t>Покупка</t>
        </is>
      </c>
      <c r="B1024" s="21" t="inlineStr">
        <is>
          <t>Участок</t>
        </is>
      </c>
      <c r="C1024" s="21" t="inlineStr">
        <is>
          <t>Биробиджан</t>
        </is>
      </c>
      <c r="D1024" s="22" t="n">
        <v>17</v>
      </c>
    </row>
    <row r="1025">
      <c r="A1025" s="21" t="inlineStr">
        <is>
          <t>Покупка</t>
        </is>
      </c>
      <c r="B1025" s="21" t="inlineStr">
        <is>
          <t>Участок</t>
        </is>
      </c>
      <c r="C1025" s="21" t="inlineStr">
        <is>
          <t>Благовещенск</t>
        </is>
      </c>
      <c r="D1025" s="22" t="n">
        <v>430</v>
      </c>
    </row>
    <row r="1026">
      <c r="A1026" s="21" t="inlineStr">
        <is>
          <t>Покупка</t>
        </is>
      </c>
      <c r="B1026" s="21" t="inlineStr">
        <is>
          <t>Участок</t>
        </is>
      </c>
      <c r="C1026" s="21" t="inlineStr">
        <is>
          <t>Братск</t>
        </is>
      </c>
      <c r="D1026" s="22" t="n">
        <v>23</v>
      </c>
    </row>
    <row r="1027">
      <c r="A1027" s="21" t="inlineStr">
        <is>
          <t>Покупка</t>
        </is>
      </c>
      <c r="B1027" s="21" t="inlineStr">
        <is>
          <t>Участок</t>
        </is>
      </c>
      <c r="C1027" s="21" t="inlineStr">
        <is>
          <t>Брянск</t>
        </is>
      </c>
      <c r="D1027" s="22" t="n">
        <v>292</v>
      </c>
    </row>
    <row r="1028">
      <c r="A1028" s="21" t="inlineStr">
        <is>
          <t>Покупка</t>
        </is>
      </c>
      <c r="B1028" s="21" t="inlineStr">
        <is>
          <t>Участок</t>
        </is>
      </c>
      <c r="C1028" s="21" t="inlineStr">
        <is>
          <t>Чебоксары</t>
        </is>
      </c>
      <c r="D1028" s="22" t="n">
        <v>175</v>
      </c>
    </row>
    <row r="1029">
      <c r="A1029" s="21" t="inlineStr">
        <is>
          <t>Покупка</t>
        </is>
      </c>
      <c r="B1029" s="21" t="inlineStr">
        <is>
          <t>Участок</t>
        </is>
      </c>
      <c r="C1029" s="21" t="inlineStr">
        <is>
          <t>Челябинск</t>
        </is>
      </c>
      <c r="D1029" s="22" t="n">
        <v>225</v>
      </c>
    </row>
    <row r="1030">
      <c r="A1030" s="21" t="inlineStr">
        <is>
          <t>Покупка</t>
        </is>
      </c>
      <c r="B1030" s="21" t="inlineStr">
        <is>
          <t>Участок</t>
        </is>
      </c>
      <c r="C1030" s="21" t="inlineStr">
        <is>
          <t>Череповец</t>
        </is>
      </c>
      <c r="D1030" s="22" t="n">
        <v>102</v>
      </c>
    </row>
    <row r="1031">
      <c r="A1031" s="21" t="inlineStr">
        <is>
          <t>Покупка</t>
        </is>
      </c>
      <c r="B1031" s="21" t="inlineStr">
        <is>
          <t>Участок</t>
        </is>
      </c>
      <c r="C1031" s="21" t="inlineStr">
        <is>
          <t>Черкесск</t>
        </is>
      </c>
      <c r="D1031" s="22" t="n">
        <v>96</v>
      </c>
    </row>
    <row r="1032">
      <c r="A1032" s="21" t="inlineStr">
        <is>
          <t>Покупка</t>
        </is>
      </c>
      <c r="B1032" s="21" t="inlineStr">
        <is>
          <t>Участок</t>
        </is>
      </c>
      <c r="C1032" s="21" t="inlineStr">
        <is>
          <t>Чита</t>
        </is>
      </c>
      <c r="D1032" s="22" t="n">
        <v>293</v>
      </c>
    </row>
    <row r="1033">
      <c r="A1033" s="21" t="inlineStr">
        <is>
          <t>Покупка</t>
        </is>
      </c>
      <c r="B1033" s="21" t="inlineStr">
        <is>
          <t>Участок</t>
        </is>
      </c>
      <c r="C1033" s="21" t="inlineStr">
        <is>
          <t>Долгопрудный</t>
        </is>
      </c>
      <c r="D1033" s="22" t="n">
        <v>16</v>
      </c>
    </row>
    <row r="1034">
      <c r="A1034" s="21" t="inlineStr">
        <is>
          <t>Покупка</t>
        </is>
      </c>
      <c r="B1034" s="21" t="inlineStr">
        <is>
          <t>Участок</t>
        </is>
      </c>
      <c r="C1034" s="21" t="inlineStr">
        <is>
          <t>Домодедово</t>
        </is>
      </c>
      <c r="D1034" s="22" t="n">
        <v>401</v>
      </c>
    </row>
    <row r="1035">
      <c r="A1035" s="21" t="inlineStr">
        <is>
          <t>Покупка</t>
        </is>
      </c>
      <c r="B1035" s="21" t="inlineStr">
        <is>
          <t>Участок</t>
        </is>
      </c>
      <c r="C1035" s="21" t="inlineStr">
        <is>
          <t>Дзержинск</t>
        </is>
      </c>
      <c r="D1035" s="22" t="n">
        <v>27</v>
      </c>
    </row>
    <row r="1036">
      <c r="A1036" s="21" t="inlineStr">
        <is>
          <t>Покупка</t>
        </is>
      </c>
      <c r="B1036" s="21" t="inlineStr">
        <is>
          <t>Участок</t>
        </is>
      </c>
      <c r="C1036" s="21" t="inlineStr">
        <is>
          <t>Екатеринбург</t>
        </is>
      </c>
      <c r="D1036" s="22" t="n">
        <v>734</v>
      </c>
    </row>
    <row r="1037">
      <c r="A1037" s="21" t="inlineStr">
        <is>
          <t>Покупка</t>
        </is>
      </c>
      <c r="B1037" s="21" t="inlineStr">
        <is>
          <t>Участок</t>
        </is>
      </c>
      <c r="C1037" s="21" t="inlineStr">
        <is>
          <t>Электросталь</t>
        </is>
      </c>
      <c r="D1037" s="22" t="n">
        <v>9</v>
      </c>
    </row>
    <row r="1038">
      <c r="A1038" s="21" t="inlineStr">
        <is>
          <t>Покупка</t>
        </is>
      </c>
      <c r="B1038" s="21" t="inlineStr">
        <is>
          <t>Участок</t>
        </is>
      </c>
      <c r="C1038" s="21" t="inlineStr">
        <is>
          <t>Элиста</t>
        </is>
      </c>
      <c r="D1038" s="22" t="n">
        <v>213</v>
      </c>
    </row>
    <row r="1039">
      <c r="A1039" s="21" t="inlineStr">
        <is>
          <t>Покупка</t>
        </is>
      </c>
      <c r="B1039" s="21" t="inlineStr">
        <is>
          <t>Участок</t>
        </is>
      </c>
      <c r="C1039" s="21" t="inlineStr">
        <is>
          <t>Энгельс</t>
        </is>
      </c>
      <c r="D1039" s="22" t="n">
        <v>160</v>
      </c>
    </row>
    <row r="1040">
      <c r="A1040" s="21" t="inlineStr">
        <is>
          <t>Покупка</t>
        </is>
      </c>
      <c r="B1040" s="21" t="inlineStr">
        <is>
          <t>Участок</t>
        </is>
      </c>
      <c r="C1040" s="21" t="inlineStr">
        <is>
          <t>Горно-Алтайск</t>
        </is>
      </c>
      <c r="D1040" s="22" t="n">
        <v>508</v>
      </c>
    </row>
    <row r="1041">
      <c r="A1041" s="21" t="inlineStr">
        <is>
          <t>Покупка</t>
        </is>
      </c>
      <c r="B1041" s="21" t="inlineStr">
        <is>
          <t>Участок</t>
        </is>
      </c>
      <c r="C1041" s="21" t="inlineStr">
        <is>
          <t>Грозный</t>
        </is>
      </c>
      <c r="D1041" s="22" t="n">
        <v>44</v>
      </c>
    </row>
    <row r="1042">
      <c r="A1042" s="21" t="inlineStr">
        <is>
          <t>Покупка</t>
        </is>
      </c>
      <c r="B1042" s="21" t="inlineStr">
        <is>
          <t>Участок</t>
        </is>
      </c>
      <c r="C1042" s="21" t="inlineStr">
        <is>
          <t>Иркутск</t>
        </is>
      </c>
      <c r="D1042" s="22" t="n">
        <v>251</v>
      </c>
    </row>
    <row r="1043">
      <c r="A1043" s="21" t="inlineStr">
        <is>
          <t>Покупка</t>
        </is>
      </c>
      <c r="B1043" s="21" t="inlineStr">
        <is>
          <t>Участок</t>
        </is>
      </c>
      <c r="C1043" s="21" t="inlineStr">
        <is>
          <t>Иваново</t>
        </is>
      </c>
      <c r="D1043" s="22" t="n">
        <v>119</v>
      </c>
    </row>
    <row r="1044">
      <c r="A1044" s="21" t="inlineStr">
        <is>
          <t>Покупка</t>
        </is>
      </c>
      <c r="B1044" s="21" t="inlineStr">
        <is>
          <t>Участок</t>
        </is>
      </c>
      <c r="C1044" s="21" t="inlineStr">
        <is>
          <t>Ижевск</t>
        </is>
      </c>
      <c r="D1044" s="22" t="n">
        <v>233</v>
      </c>
    </row>
    <row r="1045">
      <c r="A1045" s="21" t="inlineStr">
        <is>
          <t>Покупка</t>
        </is>
      </c>
      <c r="B1045" s="21" t="inlineStr">
        <is>
          <t>Участок</t>
        </is>
      </c>
      <c r="C1045" s="21" t="inlineStr">
        <is>
          <t>Йошкар-Ола</t>
        </is>
      </c>
      <c r="D1045" s="22" t="n">
        <v>124</v>
      </c>
    </row>
    <row r="1046">
      <c r="A1046" s="21" t="inlineStr">
        <is>
          <t>Покупка</t>
        </is>
      </c>
      <c r="B1046" s="21" t="inlineStr">
        <is>
          <t>Участок</t>
        </is>
      </c>
      <c r="C1046" s="21" t="inlineStr">
        <is>
          <t>Калининград</t>
        </is>
      </c>
      <c r="D1046" s="22" t="n">
        <v>764</v>
      </c>
    </row>
    <row r="1047">
      <c r="A1047" s="21" t="inlineStr">
        <is>
          <t>Покупка</t>
        </is>
      </c>
      <c r="B1047" s="21" t="inlineStr">
        <is>
          <t>Участок</t>
        </is>
      </c>
      <c r="C1047" s="21" t="inlineStr">
        <is>
          <t>Калуга</t>
        </is>
      </c>
      <c r="D1047" s="22" t="n">
        <v>508</v>
      </c>
    </row>
    <row r="1048">
      <c r="A1048" s="21" t="inlineStr">
        <is>
          <t>Покупка</t>
        </is>
      </c>
      <c r="B1048" s="21" t="inlineStr">
        <is>
          <t>Участок</t>
        </is>
      </c>
      <c r="C1048" s="21" t="inlineStr">
        <is>
          <t>Казань</t>
        </is>
      </c>
      <c r="D1048" s="22" t="n">
        <v>855</v>
      </c>
    </row>
    <row r="1049">
      <c r="A1049" s="21" t="inlineStr">
        <is>
          <t>Покупка</t>
        </is>
      </c>
      <c r="B1049" s="21" t="inlineStr">
        <is>
          <t>Участок</t>
        </is>
      </c>
      <c r="C1049" s="21" t="inlineStr">
        <is>
          <t>Кемерово</t>
        </is>
      </c>
      <c r="D1049" s="22" t="n">
        <v>325</v>
      </c>
    </row>
    <row r="1050">
      <c r="A1050" s="21" t="inlineStr">
        <is>
          <t>Покупка</t>
        </is>
      </c>
      <c r="B1050" s="21" t="inlineStr">
        <is>
          <t>Участок</t>
        </is>
      </c>
      <c r="C1050" s="21" t="inlineStr">
        <is>
          <t>Киров</t>
        </is>
      </c>
      <c r="D1050" s="22" t="n">
        <v>122</v>
      </c>
    </row>
    <row r="1051">
      <c r="A1051" s="21" t="inlineStr">
        <is>
          <t>Покупка</t>
        </is>
      </c>
      <c r="B1051" s="21" t="inlineStr">
        <is>
          <t>Участок</t>
        </is>
      </c>
      <c r="C1051" s="21" t="inlineStr">
        <is>
          <t>Коломна</t>
        </is>
      </c>
      <c r="D1051" s="22" t="n">
        <v>33</v>
      </c>
    </row>
    <row r="1052">
      <c r="A1052" s="21" t="inlineStr">
        <is>
          <t>Покупка</t>
        </is>
      </c>
      <c r="B1052" s="21" t="inlineStr">
        <is>
          <t>Участок</t>
        </is>
      </c>
      <c r="C1052" s="21" t="inlineStr">
        <is>
          <t>Комсомольск-на-Амуре</t>
        </is>
      </c>
      <c r="D1052" s="22" t="n">
        <v>123</v>
      </c>
    </row>
    <row r="1053">
      <c r="A1053" s="21" t="inlineStr">
        <is>
          <t>Покупка</t>
        </is>
      </c>
      <c r="B1053" s="21" t="inlineStr">
        <is>
          <t>Участок</t>
        </is>
      </c>
      <c r="C1053" s="21" t="inlineStr">
        <is>
          <t>Королёв</t>
        </is>
      </c>
      <c r="D1053" s="22" t="n">
        <v>49</v>
      </c>
    </row>
    <row r="1054">
      <c r="A1054" s="21" t="inlineStr">
        <is>
          <t>Покупка</t>
        </is>
      </c>
      <c r="B1054" s="21" t="inlineStr">
        <is>
          <t>Участок</t>
        </is>
      </c>
      <c r="C1054" s="21" t="inlineStr">
        <is>
          <t>Кострома</t>
        </is>
      </c>
      <c r="D1054" s="22" t="n">
        <v>588</v>
      </c>
    </row>
    <row r="1055">
      <c r="A1055" s="21" t="inlineStr">
        <is>
          <t>Покупка</t>
        </is>
      </c>
      <c r="B1055" s="21" t="inlineStr">
        <is>
          <t>Участок</t>
        </is>
      </c>
      <c r="C1055" s="21" t="inlineStr">
        <is>
          <t>Краснодар</t>
        </is>
      </c>
      <c r="D1055" s="22" t="n">
        <v>2218</v>
      </c>
    </row>
    <row r="1056">
      <c r="A1056" s="21" t="inlineStr">
        <is>
          <t>Покупка</t>
        </is>
      </c>
      <c r="B1056" s="21" t="inlineStr">
        <is>
          <t>Участок</t>
        </is>
      </c>
      <c r="C1056" s="21" t="inlineStr">
        <is>
          <t>Красногорск</t>
        </is>
      </c>
      <c r="D1056" s="22" t="n">
        <v>22</v>
      </c>
    </row>
    <row r="1057">
      <c r="A1057" s="21" t="inlineStr">
        <is>
          <t>Покупка</t>
        </is>
      </c>
      <c r="B1057" s="21" t="inlineStr">
        <is>
          <t>Участок</t>
        </is>
      </c>
      <c r="C1057" s="21" t="inlineStr">
        <is>
          <t>Красноярск</t>
        </is>
      </c>
      <c r="D1057" s="22" t="n">
        <v>577</v>
      </c>
    </row>
    <row r="1058">
      <c r="A1058" s="21" t="inlineStr">
        <is>
          <t>Покупка</t>
        </is>
      </c>
      <c r="B1058" s="21" t="inlineStr">
        <is>
          <t>Участок</t>
        </is>
      </c>
      <c r="C1058" s="21" t="inlineStr">
        <is>
          <t>Курган</t>
        </is>
      </c>
      <c r="D1058" s="22" t="n">
        <v>334</v>
      </c>
    </row>
    <row r="1059">
      <c r="A1059" s="21" t="inlineStr">
        <is>
          <t>Покупка</t>
        </is>
      </c>
      <c r="B1059" s="21" t="inlineStr">
        <is>
          <t>Участок</t>
        </is>
      </c>
      <c r="C1059" s="21" t="inlineStr">
        <is>
          <t>Курск</t>
        </is>
      </c>
      <c r="D1059" s="22" t="n">
        <v>146</v>
      </c>
    </row>
    <row r="1060">
      <c r="A1060" s="21" t="inlineStr">
        <is>
          <t>Покупка</t>
        </is>
      </c>
      <c r="B1060" s="21" t="inlineStr">
        <is>
          <t>Участок</t>
        </is>
      </c>
      <c r="C1060" s="21" t="inlineStr">
        <is>
          <t>Кызыл</t>
        </is>
      </c>
      <c r="D1060" s="22" t="n">
        <v>791</v>
      </c>
    </row>
    <row r="1061">
      <c r="A1061" s="21" t="inlineStr">
        <is>
          <t>Покупка</t>
        </is>
      </c>
      <c r="B1061" s="21" t="inlineStr">
        <is>
          <t>Участок</t>
        </is>
      </c>
      <c r="C1061" s="21" t="inlineStr">
        <is>
          <t>Липецк</t>
        </is>
      </c>
      <c r="D1061" s="22" t="n">
        <v>202</v>
      </c>
    </row>
    <row r="1062">
      <c r="A1062" s="21" t="inlineStr">
        <is>
          <t>Покупка</t>
        </is>
      </c>
      <c r="B1062" s="21" t="inlineStr">
        <is>
          <t>Участок</t>
        </is>
      </c>
      <c r="C1062" s="21" t="inlineStr">
        <is>
          <t>Люберцы</t>
        </is>
      </c>
      <c r="D1062" s="22" t="n">
        <v>21</v>
      </c>
    </row>
    <row r="1063">
      <c r="A1063" s="21" t="inlineStr">
        <is>
          <t>Покупка</t>
        </is>
      </c>
      <c r="B1063" s="21" t="inlineStr">
        <is>
          <t>Участок</t>
        </is>
      </c>
      <c r="C1063" s="21" t="inlineStr">
        <is>
          <t>Магадан</t>
        </is>
      </c>
      <c r="D1063" s="22" t="n">
        <v>38</v>
      </c>
    </row>
    <row r="1064">
      <c r="A1064" s="21" t="inlineStr">
        <is>
          <t>Покупка</t>
        </is>
      </c>
      <c r="B1064" s="21" t="inlineStr">
        <is>
          <t>Участок</t>
        </is>
      </c>
      <c r="C1064" s="21" t="inlineStr">
        <is>
          <t>Магнитогорск</t>
        </is>
      </c>
      <c r="D1064" s="22" t="n">
        <v>133</v>
      </c>
    </row>
    <row r="1065">
      <c r="A1065" s="21" t="inlineStr">
        <is>
          <t>Покупка</t>
        </is>
      </c>
      <c r="B1065" s="21" t="inlineStr">
        <is>
          <t>Участок</t>
        </is>
      </c>
      <c r="C1065" s="21" t="inlineStr">
        <is>
          <t>Майкоп</t>
        </is>
      </c>
      <c r="D1065" s="22" t="n">
        <v>385</v>
      </c>
    </row>
    <row r="1066">
      <c r="A1066" s="21" t="inlineStr">
        <is>
          <t>Покупка</t>
        </is>
      </c>
      <c r="B1066" s="21" t="inlineStr">
        <is>
          <t>Участок</t>
        </is>
      </c>
      <c r="C1066" s="21" t="inlineStr">
        <is>
          <t>Махачкала</t>
        </is>
      </c>
      <c r="D1066" s="22" t="n">
        <v>231</v>
      </c>
    </row>
    <row r="1067">
      <c r="A1067" s="21" t="inlineStr">
        <is>
          <t>Покупка</t>
        </is>
      </c>
      <c r="B1067" s="21" t="inlineStr">
        <is>
          <t>Участок</t>
        </is>
      </c>
      <c r="C1067" s="21" t="inlineStr">
        <is>
          <t>Москва</t>
        </is>
      </c>
      <c r="D1067" s="22" t="n">
        <v>799</v>
      </c>
    </row>
    <row r="1068">
      <c r="A1068" s="21" t="inlineStr">
        <is>
          <t>Покупка</t>
        </is>
      </c>
      <c r="B1068" s="21" t="inlineStr">
        <is>
          <t>Участок</t>
        </is>
      </c>
      <c r="C1068" s="21" t="inlineStr">
        <is>
          <t>Мурманск</t>
        </is>
      </c>
      <c r="D1068" s="22" t="n">
        <v>17</v>
      </c>
    </row>
    <row r="1069">
      <c r="A1069" s="21" t="inlineStr">
        <is>
          <t>Покупка</t>
        </is>
      </c>
      <c r="B1069" s="21" t="inlineStr">
        <is>
          <t>Участок</t>
        </is>
      </c>
      <c r="C1069" s="21" t="inlineStr">
        <is>
          <t>Мытищи</t>
        </is>
      </c>
      <c r="D1069" s="22" t="n">
        <v>24</v>
      </c>
    </row>
    <row r="1070">
      <c r="A1070" s="21" t="inlineStr">
        <is>
          <t>Покупка</t>
        </is>
      </c>
      <c r="B1070" s="21" t="inlineStr">
        <is>
          <t>Участок</t>
        </is>
      </c>
      <c r="C1070" s="21" t="inlineStr">
        <is>
          <t>Набережные Челны</t>
        </is>
      </c>
      <c r="D1070" s="22" t="n">
        <v>90</v>
      </c>
    </row>
    <row r="1071">
      <c r="A1071" s="21" t="inlineStr">
        <is>
          <t>Покупка</t>
        </is>
      </c>
      <c r="B1071" s="21" t="inlineStr">
        <is>
          <t>Участок</t>
        </is>
      </c>
      <c r="C1071" s="21" t="inlineStr">
        <is>
          <t>Нальчик</t>
        </is>
      </c>
      <c r="D1071" s="22" t="n">
        <v>113</v>
      </c>
    </row>
    <row r="1072">
      <c r="A1072" s="21" t="inlineStr">
        <is>
          <t>Покупка</t>
        </is>
      </c>
      <c r="B1072" s="21" t="inlineStr">
        <is>
          <t>Участок</t>
        </is>
      </c>
      <c r="C1072" s="21" t="inlineStr">
        <is>
          <t>Назрань</t>
        </is>
      </c>
      <c r="D1072" s="22" t="n">
        <v>89</v>
      </c>
    </row>
    <row r="1073">
      <c r="A1073" s="21" t="inlineStr">
        <is>
          <t>Покупка</t>
        </is>
      </c>
      <c r="B1073" s="21" t="inlineStr">
        <is>
          <t>Участок</t>
        </is>
      </c>
      <c r="C1073" s="21" t="inlineStr">
        <is>
          <t>Нефтеюганск</t>
        </is>
      </c>
      <c r="D1073" s="22" t="n">
        <v>52</v>
      </c>
    </row>
    <row r="1074">
      <c r="A1074" s="21" t="inlineStr">
        <is>
          <t>Покупка</t>
        </is>
      </c>
      <c r="B1074" s="21" t="inlineStr">
        <is>
          <t>Участок</t>
        </is>
      </c>
      <c r="C1074" s="21" t="inlineStr">
        <is>
          <t>Нижневартовск</t>
        </is>
      </c>
      <c r="D1074" s="22" t="n">
        <v>214</v>
      </c>
    </row>
    <row r="1075">
      <c r="A1075" s="21" t="inlineStr">
        <is>
          <t>Покупка</t>
        </is>
      </c>
      <c r="B1075" s="21" t="inlineStr">
        <is>
          <t>Участок</t>
        </is>
      </c>
      <c r="C1075" s="21" t="inlineStr">
        <is>
          <t>Нижний Тагил</t>
        </is>
      </c>
      <c r="D1075" s="22" t="n">
        <v>428</v>
      </c>
    </row>
    <row r="1076">
      <c r="A1076" s="21" t="inlineStr">
        <is>
          <t>Покупка</t>
        </is>
      </c>
      <c r="B1076" s="21" t="inlineStr">
        <is>
          <t>Участок</t>
        </is>
      </c>
      <c r="C1076" s="21" t="inlineStr">
        <is>
          <t>Нижний Новгород</t>
        </is>
      </c>
      <c r="D1076" s="22" t="n">
        <v>403</v>
      </c>
    </row>
    <row r="1077">
      <c r="A1077" s="21" t="inlineStr">
        <is>
          <t>Покупка</t>
        </is>
      </c>
      <c r="B1077" s="21" t="inlineStr">
        <is>
          <t>Участок</t>
        </is>
      </c>
      <c r="C1077" s="21" t="inlineStr">
        <is>
          <t>Ногинск</t>
        </is>
      </c>
      <c r="D1077" s="22" t="n">
        <v>38</v>
      </c>
    </row>
    <row r="1078">
      <c r="A1078" s="21" t="inlineStr">
        <is>
          <t>Покупка</t>
        </is>
      </c>
      <c r="B1078" s="21" t="inlineStr">
        <is>
          <t>Участок</t>
        </is>
      </c>
      <c r="C1078" s="21" t="inlineStr">
        <is>
          <t>Новокузнецк</t>
        </is>
      </c>
      <c r="D1078" s="22" t="n">
        <v>96</v>
      </c>
    </row>
    <row r="1079">
      <c r="A1079" s="21" t="inlineStr">
        <is>
          <t>Покупка</t>
        </is>
      </c>
      <c r="B1079" s="21" t="inlineStr">
        <is>
          <t>Участок</t>
        </is>
      </c>
      <c r="C1079" s="21" t="inlineStr">
        <is>
          <t>Новороссийск</t>
        </is>
      </c>
      <c r="D1079" s="22" t="n">
        <v>658</v>
      </c>
    </row>
    <row r="1080">
      <c r="A1080" s="21" t="inlineStr">
        <is>
          <t>Покупка</t>
        </is>
      </c>
      <c r="B1080" s="21" t="inlineStr">
        <is>
          <t>Участок</t>
        </is>
      </c>
      <c r="C1080" s="21" t="inlineStr">
        <is>
          <t>Новосибирск</t>
        </is>
      </c>
      <c r="D1080" s="22" t="n">
        <v>773</v>
      </c>
    </row>
    <row r="1081">
      <c r="A1081" s="21" t="inlineStr">
        <is>
          <t>Покупка</t>
        </is>
      </c>
      <c r="B1081" s="21" t="inlineStr">
        <is>
          <t>Участок</t>
        </is>
      </c>
      <c r="C1081" s="21" t="inlineStr">
        <is>
          <t>Новый Уренгой</t>
        </is>
      </c>
      <c r="D1081" s="22" t="n">
        <v>108</v>
      </c>
    </row>
    <row r="1082">
      <c r="A1082" s="21" t="inlineStr">
        <is>
          <t>Покупка</t>
        </is>
      </c>
      <c r="B1082" s="21" t="inlineStr">
        <is>
          <t>Участок</t>
        </is>
      </c>
      <c r="C1082" s="21" t="inlineStr">
        <is>
          <t>Обнинск</t>
        </is>
      </c>
      <c r="D1082" s="22" t="n">
        <v>69</v>
      </c>
    </row>
    <row r="1083">
      <c r="A1083" s="21" t="inlineStr">
        <is>
          <t>Покупка</t>
        </is>
      </c>
      <c r="B1083" s="21" t="inlineStr">
        <is>
          <t>Участок</t>
        </is>
      </c>
      <c r="C1083" s="21" t="inlineStr">
        <is>
          <t>Одинцово</t>
        </is>
      </c>
      <c r="D1083" s="22" t="n">
        <v>16</v>
      </c>
    </row>
    <row r="1084">
      <c r="A1084" s="21" t="inlineStr">
        <is>
          <t>Покупка</t>
        </is>
      </c>
      <c r="B1084" s="21" t="inlineStr">
        <is>
          <t>Участок</t>
        </is>
      </c>
      <c r="C1084" s="21" t="inlineStr">
        <is>
          <t>Омск</t>
        </is>
      </c>
      <c r="D1084" s="22" t="n">
        <v>494</v>
      </c>
    </row>
    <row r="1085">
      <c r="A1085" s="21" t="inlineStr">
        <is>
          <t>Покупка</t>
        </is>
      </c>
      <c r="B1085" s="21" t="inlineStr">
        <is>
          <t>Участок</t>
        </is>
      </c>
      <c r="C1085" s="21" t="inlineStr">
        <is>
          <t>Оренбург</t>
        </is>
      </c>
      <c r="D1085" s="22" t="n">
        <v>632</v>
      </c>
    </row>
    <row r="1086">
      <c r="A1086" s="21" t="inlineStr">
        <is>
          <t>Покупка</t>
        </is>
      </c>
      <c r="B1086" s="21" t="inlineStr">
        <is>
          <t>Участок</t>
        </is>
      </c>
      <c r="C1086" s="21" t="inlineStr">
        <is>
          <t>Орёл</t>
        </is>
      </c>
      <c r="D1086" s="22" t="n">
        <v>55</v>
      </c>
    </row>
    <row r="1087">
      <c r="A1087" s="21" t="inlineStr">
        <is>
          <t>Покупка</t>
        </is>
      </c>
      <c r="B1087" s="21" t="inlineStr">
        <is>
          <t>Участок</t>
        </is>
      </c>
      <c r="C1087" s="21" t="inlineStr">
        <is>
          <t>Пенза</t>
        </is>
      </c>
      <c r="D1087" s="22" t="n">
        <v>259</v>
      </c>
    </row>
    <row r="1088">
      <c r="A1088" s="21" t="inlineStr">
        <is>
          <t>Покупка</t>
        </is>
      </c>
      <c r="B1088" s="21" t="inlineStr">
        <is>
          <t>Участок</t>
        </is>
      </c>
      <c r="C1088" s="21" t="inlineStr">
        <is>
          <t>Пермь</t>
        </is>
      </c>
      <c r="D1088" s="22" t="n">
        <v>285</v>
      </c>
    </row>
    <row r="1089">
      <c r="A1089" s="21" t="inlineStr">
        <is>
          <t>Покупка</t>
        </is>
      </c>
      <c r="B1089" s="21" t="inlineStr">
        <is>
          <t>Участок</t>
        </is>
      </c>
      <c r="C1089" s="21" t="inlineStr">
        <is>
          <t>Петропавловск-Камчатский</t>
        </is>
      </c>
      <c r="D1089" s="22" t="n">
        <v>61</v>
      </c>
    </row>
    <row r="1090">
      <c r="A1090" s="21" t="inlineStr">
        <is>
          <t>Покупка</t>
        </is>
      </c>
      <c r="B1090" s="21" t="inlineStr">
        <is>
          <t>Участок</t>
        </is>
      </c>
      <c r="C1090" s="21" t="inlineStr">
        <is>
          <t>Петрозаводск</t>
        </is>
      </c>
      <c r="D1090" s="22" t="n">
        <v>94</v>
      </c>
    </row>
    <row r="1091">
      <c r="A1091" s="21" t="inlineStr">
        <is>
          <t>Покупка</t>
        </is>
      </c>
      <c r="B1091" s="21" t="inlineStr">
        <is>
          <t>Участок</t>
        </is>
      </c>
      <c r="C1091" s="21" t="inlineStr">
        <is>
          <t>Подольск</t>
        </is>
      </c>
      <c r="D1091" s="22" t="n">
        <v>39</v>
      </c>
    </row>
    <row r="1092">
      <c r="A1092" s="21" t="inlineStr">
        <is>
          <t>Покупка</t>
        </is>
      </c>
      <c r="B1092" s="21" t="inlineStr">
        <is>
          <t>Участок</t>
        </is>
      </c>
      <c r="C1092" s="21" t="inlineStr">
        <is>
          <t>Прокопьевск</t>
        </is>
      </c>
      <c r="D1092" s="22" t="n">
        <v>25</v>
      </c>
    </row>
    <row r="1093">
      <c r="A1093" s="21" t="inlineStr">
        <is>
          <t>Покупка</t>
        </is>
      </c>
      <c r="B1093" s="21" t="inlineStr">
        <is>
          <t>Участок</t>
        </is>
      </c>
      <c r="C1093" s="21" t="inlineStr">
        <is>
          <t>Псков</t>
        </is>
      </c>
      <c r="D1093" s="22" t="n">
        <v>49</v>
      </c>
    </row>
    <row r="1094">
      <c r="A1094" s="21" t="inlineStr">
        <is>
          <t>Покупка</t>
        </is>
      </c>
      <c r="B1094" s="21" t="inlineStr">
        <is>
          <t>Участок</t>
        </is>
      </c>
      <c r="C1094" s="21" t="inlineStr">
        <is>
          <t>Пушкино</t>
        </is>
      </c>
      <c r="D1094" s="22" t="n">
        <v>166</v>
      </c>
    </row>
    <row r="1095">
      <c r="A1095" s="21" t="inlineStr">
        <is>
          <t>Покупка</t>
        </is>
      </c>
      <c r="B1095" s="21" t="inlineStr">
        <is>
          <t>Участок</t>
        </is>
      </c>
      <c r="C1095" s="21" t="inlineStr">
        <is>
          <t>Раменское</t>
        </is>
      </c>
      <c r="D1095" s="22" t="n">
        <v>58</v>
      </c>
    </row>
    <row r="1096">
      <c r="A1096" s="21" t="inlineStr">
        <is>
          <t>Покупка</t>
        </is>
      </c>
      <c r="B1096" s="21" t="inlineStr">
        <is>
          <t>Участок</t>
        </is>
      </c>
      <c r="C1096" s="21" t="inlineStr">
        <is>
          <t>Ростов-на-Дону</t>
        </is>
      </c>
      <c r="D1096" s="22" t="n">
        <v>1716</v>
      </c>
    </row>
    <row r="1097">
      <c r="A1097" s="21" t="inlineStr">
        <is>
          <t>Покупка</t>
        </is>
      </c>
      <c r="B1097" s="21" t="inlineStr">
        <is>
          <t>Участок</t>
        </is>
      </c>
      <c r="C1097" s="21" t="inlineStr">
        <is>
          <t>Рязань</t>
        </is>
      </c>
      <c r="D1097" s="22" t="n">
        <v>154</v>
      </c>
    </row>
    <row r="1098">
      <c r="A1098" s="21" t="inlineStr">
        <is>
          <t>Покупка</t>
        </is>
      </c>
      <c r="B1098" s="21" t="inlineStr">
        <is>
          <t>Участок</t>
        </is>
      </c>
      <c r="C1098" s="21" t="inlineStr">
        <is>
          <t>Салехард</t>
        </is>
      </c>
      <c r="D1098" s="22" t="n">
        <v>44</v>
      </c>
    </row>
    <row r="1099">
      <c r="A1099" s="21" t="inlineStr">
        <is>
          <t>Покупка</t>
        </is>
      </c>
      <c r="B1099" s="21" t="inlineStr">
        <is>
          <t>Участок</t>
        </is>
      </c>
      <c r="C1099" s="21" t="inlineStr">
        <is>
          <t>Самара</t>
        </is>
      </c>
      <c r="D1099" s="22" t="n">
        <v>382</v>
      </c>
    </row>
    <row r="1100">
      <c r="A1100" s="21" t="inlineStr">
        <is>
          <t>Покупка</t>
        </is>
      </c>
      <c r="B1100" s="21" t="inlineStr">
        <is>
          <t>Участок</t>
        </is>
      </c>
      <c r="C1100" s="21" t="inlineStr">
        <is>
          <t>Саранск</t>
        </is>
      </c>
      <c r="D1100" s="22" t="n">
        <v>87</v>
      </c>
    </row>
    <row r="1101">
      <c r="A1101" s="21" t="inlineStr">
        <is>
          <t>Покупка</t>
        </is>
      </c>
      <c r="B1101" s="21" t="inlineStr">
        <is>
          <t>Участок</t>
        </is>
      </c>
      <c r="C1101" s="21" t="inlineStr">
        <is>
          <t>Саратов</t>
        </is>
      </c>
      <c r="D1101" s="22" t="n">
        <v>658</v>
      </c>
    </row>
    <row r="1102">
      <c r="A1102" s="21" t="inlineStr">
        <is>
          <t>Покупка</t>
        </is>
      </c>
      <c r="B1102" s="21" t="inlineStr">
        <is>
          <t>Участок</t>
        </is>
      </c>
      <c r="C1102" s="21" t="inlineStr">
        <is>
          <t>Сергиев Посад</t>
        </is>
      </c>
      <c r="D1102" s="22" t="n">
        <v>75</v>
      </c>
    </row>
    <row r="1103">
      <c r="A1103" s="21" t="inlineStr">
        <is>
          <t>Покупка</t>
        </is>
      </c>
      <c r="B1103" s="21" t="inlineStr">
        <is>
          <t>Участок</t>
        </is>
      </c>
      <c r="C1103" s="21" t="inlineStr">
        <is>
          <t>Серпухов</t>
        </is>
      </c>
      <c r="D1103" s="22" t="n">
        <v>8</v>
      </c>
    </row>
    <row r="1104">
      <c r="A1104" s="21" t="inlineStr">
        <is>
          <t>Покупка</t>
        </is>
      </c>
      <c r="B1104" s="21" t="inlineStr">
        <is>
          <t>Участок</t>
        </is>
      </c>
      <c r="C1104" s="21" t="inlineStr">
        <is>
          <t>Севастополь</t>
        </is>
      </c>
      <c r="D1104" s="22" t="n">
        <v>4791</v>
      </c>
    </row>
    <row r="1105">
      <c r="A1105" s="21" t="inlineStr">
        <is>
          <t>Покупка</t>
        </is>
      </c>
      <c r="B1105" s="21" t="inlineStr">
        <is>
          <t>Участок</t>
        </is>
      </c>
      <c r="C1105" s="21" t="inlineStr">
        <is>
          <t>Северодвинск</t>
        </is>
      </c>
      <c r="D1105" s="22" t="n">
        <v>33</v>
      </c>
    </row>
    <row r="1106">
      <c r="A1106" s="21" t="inlineStr">
        <is>
          <t>Покупка</t>
        </is>
      </c>
      <c r="B1106" s="21" t="inlineStr">
        <is>
          <t>Участок</t>
        </is>
      </c>
      <c r="C1106" s="21" t="inlineStr">
        <is>
          <t>Симферополь</t>
        </is>
      </c>
      <c r="D1106" s="22" t="n">
        <v>654</v>
      </c>
    </row>
    <row r="1107">
      <c r="A1107" s="21" t="inlineStr">
        <is>
          <t>Покупка</t>
        </is>
      </c>
      <c r="B1107" s="21" t="inlineStr">
        <is>
          <t>Участок</t>
        </is>
      </c>
      <c r="C1107" s="21" t="inlineStr">
        <is>
          <t>Смоленск</t>
        </is>
      </c>
      <c r="D1107" s="22" t="n">
        <v>209</v>
      </c>
    </row>
    <row r="1108">
      <c r="A1108" s="21" t="inlineStr">
        <is>
          <t>Покупка</t>
        </is>
      </c>
      <c r="B1108" s="21" t="inlineStr">
        <is>
          <t>Участок</t>
        </is>
      </c>
      <c r="C1108" s="21" t="inlineStr">
        <is>
          <t>Сочи</t>
        </is>
      </c>
      <c r="D1108" s="22" t="n">
        <v>576</v>
      </c>
    </row>
    <row r="1109">
      <c r="A1109" s="21" t="inlineStr">
        <is>
          <t>Покупка</t>
        </is>
      </c>
      <c r="B1109" s="21" t="inlineStr">
        <is>
          <t>Участок</t>
        </is>
      </c>
      <c r="C1109" s="21" t="inlineStr">
        <is>
          <t>Санкт-Петербург</t>
        </is>
      </c>
      <c r="D1109" s="22" t="n">
        <v>854</v>
      </c>
    </row>
    <row r="1110">
      <c r="A1110" s="21" t="inlineStr">
        <is>
          <t>Покупка</t>
        </is>
      </c>
      <c r="B1110" s="21" t="inlineStr">
        <is>
          <t>Участок</t>
        </is>
      </c>
      <c r="C1110" s="21" t="inlineStr">
        <is>
          <t>Старый Оскол</t>
        </is>
      </c>
      <c r="D1110" s="22" t="n">
        <v>268</v>
      </c>
    </row>
    <row r="1111">
      <c r="A1111" s="21" t="inlineStr">
        <is>
          <t>Покупка</t>
        </is>
      </c>
      <c r="B1111" s="21" t="inlineStr">
        <is>
          <t>Участок</t>
        </is>
      </c>
      <c r="C1111" s="21" t="inlineStr">
        <is>
          <t>Ставрополь</t>
        </is>
      </c>
      <c r="D1111" s="22" t="n">
        <v>848</v>
      </c>
    </row>
    <row r="1112">
      <c r="A1112" s="21" t="inlineStr">
        <is>
          <t>Покупка</t>
        </is>
      </c>
      <c r="B1112" s="21" t="inlineStr">
        <is>
          <t>Участок</t>
        </is>
      </c>
      <c r="C1112" s="21" t="inlineStr">
        <is>
          <t>Стерлитамак</t>
        </is>
      </c>
      <c r="D1112" s="22" t="n">
        <v>822</v>
      </c>
    </row>
    <row r="1113">
      <c r="A1113" s="21" t="inlineStr">
        <is>
          <t>Покупка</t>
        </is>
      </c>
      <c r="B1113" s="21" t="inlineStr">
        <is>
          <t>Участок</t>
        </is>
      </c>
      <c r="C1113" s="21" t="inlineStr">
        <is>
          <t>Сургут</t>
        </is>
      </c>
      <c r="D1113" s="22" t="n">
        <v>714</v>
      </c>
    </row>
    <row r="1114">
      <c r="A1114" s="21" t="inlineStr">
        <is>
          <t>Покупка</t>
        </is>
      </c>
      <c r="B1114" s="21" t="inlineStr">
        <is>
          <t>Участок</t>
        </is>
      </c>
      <c r="C1114" s="21" t="inlineStr">
        <is>
          <t>Сыктывкар</t>
        </is>
      </c>
      <c r="D1114" s="22" t="n">
        <v>158</v>
      </c>
    </row>
    <row r="1115">
      <c r="A1115" s="21" t="inlineStr">
        <is>
          <t>Покупка</t>
        </is>
      </c>
      <c r="B1115" s="21" t="inlineStr">
        <is>
          <t>Участок</t>
        </is>
      </c>
      <c r="C1115" s="21" t="inlineStr">
        <is>
          <t>Тамбов</t>
        </is>
      </c>
      <c r="D1115" s="22" t="n">
        <v>147</v>
      </c>
    </row>
    <row r="1116">
      <c r="A1116" s="21" t="inlineStr">
        <is>
          <t>Покупка</t>
        </is>
      </c>
      <c r="B1116" s="21" t="inlineStr">
        <is>
          <t>Участок</t>
        </is>
      </c>
      <c r="C1116" s="21" t="inlineStr">
        <is>
          <t>Тольятти</t>
        </is>
      </c>
      <c r="D1116" s="22" t="n">
        <v>85</v>
      </c>
    </row>
    <row r="1117">
      <c r="A1117" s="21" t="inlineStr">
        <is>
          <t>Покупка</t>
        </is>
      </c>
      <c r="B1117" s="21" t="inlineStr">
        <is>
          <t>Участок</t>
        </is>
      </c>
      <c r="C1117" s="21" t="inlineStr">
        <is>
          <t>Томск</t>
        </is>
      </c>
      <c r="D1117" s="22" t="n">
        <v>336</v>
      </c>
    </row>
    <row r="1118">
      <c r="A1118" s="21" t="inlineStr">
        <is>
          <t>Покупка</t>
        </is>
      </c>
      <c r="B1118" s="21" t="inlineStr">
        <is>
          <t>Участок</t>
        </is>
      </c>
      <c r="C1118" s="21" t="inlineStr">
        <is>
          <t>Тула</t>
        </is>
      </c>
      <c r="D1118" s="22" t="n">
        <v>360</v>
      </c>
    </row>
    <row r="1119">
      <c r="A1119" s="21" t="inlineStr">
        <is>
          <t>Покупка</t>
        </is>
      </c>
      <c r="B1119" s="21" t="inlineStr">
        <is>
          <t>Участок</t>
        </is>
      </c>
      <c r="C1119" s="21" t="inlineStr">
        <is>
          <t>Тверь</t>
        </is>
      </c>
      <c r="D1119" s="22" t="n">
        <v>69</v>
      </c>
    </row>
    <row r="1120">
      <c r="A1120" s="21" t="inlineStr">
        <is>
          <t>Покупка</t>
        </is>
      </c>
      <c r="B1120" s="21" t="inlineStr">
        <is>
          <t>Участок</t>
        </is>
      </c>
      <c r="C1120" s="21" t="inlineStr">
        <is>
          <t>Тюмень</t>
        </is>
      </c>
      <c r="D1120" s="22" t="n">
        <v>7412</v>
      </c>
    </row>
    <row r="1121">
      <c r="A1121" s="21" t="inlineStr">
        <is>
          <t>Покупка</t>
        </is>
      </c>
      <c r="B1121" s="21" t="inlineStr">
        <is>
          <t>Участок</t>
        </is>
      </c>
      <c r="C1121" s="21" t="inlineStr">
        <is>
          <t>Уфа</t>
        </is>
      </c>
      <c r="D1121" s="22" t="n">
        <v>1031</v>
      </c>
    </row>
    <row r="1122">
      <c r="A1122" s="21" t="inlineStr">
        <is>
          <t>Покупка</t>
        </is>
      </c>
      <c r="B1122" s="21" t="inlineStr">
        <is>
          <t>Участок</t>
        </is>
      </c>
      <c r="C1122" s="21" t="inlineStr">
        <is>
          <t>Улан-Удэ</t>
        </is>
      </c>
      <c r="D1122" s="22" t="n">
        <v>732</v>
      </c>
    </row>
    <row r="1123">
      <c r="A1123" s="21" t="inlineStr">
        <is>
          <t>Покупка</t>
        </is>
      </c>
      <c r="B1123" s="21" t="inlineStr">
        <is>
          <t>Участок</t>
        </is>
      </c>
      <c r="C1123" s="21" t="inlineStr">
        <is>
          <t>Ульяновск</t>
        </is>
      </c>
      <c r="D1123" s="22" t="n">
        <v>499</v>
      </c>
    </row>
    <row r="1124">
      <c r="A1124" s="21" t="inlineStr">
        <is>
          <t>Покупка</t>
        </is>
      </c>
      <c r="B1124" s="21" t="inlineStr">
        <is>
          <t>Участок</t>
        </is>
      </c>
      <c r="C1124" s="21" t="inlineStr">
        <is>
          <t>Великий Новгород</t>
        </is>
      </c>
      <c r="D1124" s="22" t="n">
        <v>54</v>
      </c>
    </row>
    <row r="1125">
      <c r="A1125" s="21" t="inlineStr">
        <is>
          <t>Покупка</t>
        </is>
      </c>
      <c r="B1125" s="21" t="inlineStr">
        <is>
          <t>Участок</t>
        </is>
      </c>
      <c r="C1125" s="21" t="inlineStr">
        <is>
          <t>Владикавказ</t>
        </is>
      </c>
      <c r="D1125" s="22" t="n">
        <v>347</v>
      </c>
    </row>
    <row r="1126">
      <c r="A1126" s="21" t="inlineStr">
        <is>
          <t>Покупка</t>
        </is>
      </c>
      <c r="B1126" s="21" t="inlineStr">
        <is>
          <t>Участок</t>
        </is>
      </c>
      <c r="C1126" s="21" t="inlineStr">
        <is>
          <t>Владимир</t>
        </is>
      </c>
      <c r="D1126" s="22" t="n">
        <v>274</v>
      </c>
    </row>
    <row r="1127">
      <c r="A1127" s="21" t="inlineStr">
        <is>
          <t>Покупка</t>
        </is>
      </c>
      <c r="B1127" s="21" t="inlineStr">
        <is>
          <t>Участок</t>
        </is>
      </c>
      <c r="C1127" s="21" t="inlineStr">
        <is>
          <t>Владивосток</t>
        </is>
      </c>
      <c r="D1127" s="22" t="n">
        <v>358</v>
      </c>
    </row>
    <row r="1128">
      <c r="A1128" s="21" t="inlineStr">
        <is>
          <t>Покупка</t>
        </is>
      </c>
      <c r="B1128" s="21" t="inlineStr">
        <is>
          <t>Участок</t>
        </is>
      </c>
      <c r="C1128" s="21" t="inlineStr">
        <is>
          <t>Волгоград</t>
        </is>
      </c>
      <c r="D1128" s="22" t="n">
        <v>1149</v>
      </c>
    </row>
    <row r="1129">
      <c r="A1129" s="21" t="inlineStr">
        <is>
          <t>Покупка</t>
        </is>
      </c>
      <c r="B1129" s="21" t="inlineStr">
        <is>
          <t>Участок</t>
        </is>
      </c>
      <c r="C1129" s="21" t="inlineStr">
        <is>
          <t>Вологда</t>
        </is>
      </c>
      <c r="D1129" s="22" t="n">
        <v>239</v>
      </c>
    </row>
    <row r="1130">
      <c r="A1130" s="21" t="inlineStr">
        <is>
          <t>Покупка</t>
        </is>
      </c>
      <c r="B1130" s="21" t="inlineStr">
        <is>
          <t>Участок</t>
        </is>
      </c>
      <c r="C1130" s="21" t="inlineStr">
        <is>
          <t>Волжский</t>
        </is>
      </c>
      <c r="D1130" s="22" t="n">
        <v>137</v>
      </c>
    </row>
    <row r="1131">
      <c r="A1131" s="21" t="inlineStr">
        <is>
          <t>Покупка</t>
        </is>
      </c>
      <c r="B1131" s="21" t="inlineStr">
        <is>
          <t>Участок</t>
        </is>
      </c>
      <c r="C1131" s="21" t="inlineStr">
        <is>
          <t>Воронеж</t>
        </is>
      </c>
      <c r="D1131" s="22" t="n">
        <v>821</v>
      </c>
    </row>
    <row r="1132">
      <c r="A1132" s="21" t="inlineStr">
        <is>
          <t>Покупка</t>
        </is>
      </c>
      <c r="B1132" s="21" t="inlineStr">
        <is>
          <t>Участок</t>
        </is>
      </c>
      <c r="C1132" s="21" t="inlineStr">
        <is>
          <t>Хабаровск</t>
        </is>
      </c>
      <c r="D1132" s="22" t="n">
        <v>515</v>
      </c>
    </row>
    <row r="1133">
      <c r="A1133" s="21" t="inlineStr">
        <is>
          <t>Покупка</t>
        </is>
      </c>
      <c r="B1133" s="21" t="inlineStr">
        <is>
          <t>Участок</t>
        </is>
      </c>
      <c r="C1133" s="21" t="inlineStr">
        <is>
          <t>Ханты-Мансийск</t>
        </is>
      </c>
      <c r="D1133" s="22" t="n">
        <v>389</v>
      </c>
    </row>
    <row r="1134">
      <c r="A1134" s="21" t="inlineStr">
        <is>
          <t>Покупка</t>
        </is>
      </c>
      <c r="B1134" s="21" t="inlineStr">
        <is>
          <t>Участок</t>
        </is>
      </c>
      <c r="C1134" s="21" t="inlineStr">
        <is>
          <t>Химки</t>
        </is>
      </c>
      <c r="D1134" s="22" t="n">
        <v>44</v>
      </c>
    </row>
    <row r="1135">
      <c r="A1135" s="21" t="inlineStr">
        <is>
          <t>Покупка</t>
        </is>
      </c>
      <c r="B1135" s="21" t="inlineStr">
        <is>
          <t>Участок</t>
        </is>
      </c>
      <c r="C1135" s="21" t="inlineStr">
        <is>
          <t>Якутск</t>
        </is>
      </c>
      <c r="D1135" s="22" t="n">
        <v>1624</v>
      </c>
    </row>
    <row r="1136">
      <c r="A1136" s="21" t="inlineStr">
        <is>
          <t>Покупка</t>
        </is>
      </c>
      <c r="B1136" s="21" t="inlineStr">
        <is>
          <t>Участок</t>
        </is>
      </c>
      <c r="C1136" s="21" t="inlineStr">
        <is>
          <t>Ярославль</t>
        </is>
      </c>
      <c r="D1136" s="22" t="n">
        <v>264</v>
      </c>
    </row>
    <row r="1137">
      <c r="A1137" s="21" t="inlineStr">
        <is>
          <t>Покупка</t>
        </is>
      </c>
      <c r="B1137" s="21" t="inlineStr">
        <is>
          <t>Участок</t>
        </is>
      </c>
      <c r="C1137" s="21" t="inlineStr">
        <is>
          <t>Южно-Сахалинск</t>
        </is>
      </c>
      <c r="D1137" s="22" t="n">
        <v>1391</v>
      </c>
    </row>
    <row r="1138">
      <c r="A1138" s="21" t="inlineStr">
        <is>
          <t>Покупка</t>
        </is>
      </c>
      <c r="B1138" s="21" t="inlineStr">
        <is>
          <t>Участок</t>
        </is>
      </c>
      <c r="C1138" s="21" t="inlineStr">
        <is>
          <t>Жуковский</t>
        </is>
      </c>
      <c r="D1138" s="22" t="n">
        <v>165</v>
      </c>
    </row>
    <row r="1139">
      <c r="A1139" s="27" t="inlineStr">
        <is>
          <t>Покупка</t>
        </is>
      </c>
      <c r="B1139" s="17" t="inlineStr">
        <is>
          <t>Апартаменты</t>
        </is>
      </c>
      <c r="C1139" s="28" t="inlineStr">
        <is>
          <t>Балашиха</t>
        </is>
      </c>
      <c r="D1139" s="19" t="n">
        <v>18</v>
      </c>
    </row>
    <row r="1140">
      <c r="A1140" s="21" t="inlineStr">
        <is>
          <t>Покупка</t>
        </is>
      </c>
      <c r="B1140" s="21" t="inlineStr">
        <is>
          <t>Апартаменты</t>
        </is>
      </c>
      <c r="C1140" s="21" t="inlineStr">
        <is>
          <t>Барнаул</t>
        </is>
      </c>
      <c r="D1140" s="22" t="n">
        <v>20</v>
      </c>
    </row>
    <row r="1141">
      <c r="A1141" s="21" t="inlineStr">
        <is>
          <t>Покупка</t>
        </is>
      </c>
      <c r="B1141" s="21" t="inlineStr">
        <is>
          <t>Апартаменты</t>
        </is>
      </c>
      <c r="C1141" s="21" t="inlineStr">
        <is>
          <t>Челябинск</t>
        </is>
      </c>
      <c r="D1141" s="22" t="n">
        <v>20</v>
      </c>
    </row>
    <row r="1142">
      <c r="A1142" s="21" t="inlineStr">
        <is>
          <t>Покупка</t>
        </is>
      </c>
      <c r="B1142" s="21" t="inlineStr">
        <is>
          <t>Апартаменты</t>
        </is>
      </c>
      <c r="C1142" s="21" t="inlineStr">
        <is>
          <t>Екатеринбург</t>
        </is>
      </c>
      <c r="D1142" s="22" t="n">
        <v>78</v>
      </c>
    </row>
    <row r="1143">
      <c r="A1143" s="21" t="inlineStr">
        <is>
          <t>Покупка</t>
        </is>
      </c>
      <c r="B1143" s="21" t="inlineStr">
        <is>
          <t>Апартаменты</t>
        </is>
      </c>
      <c r="C1143" s="21" t="inlineStr">
        <is>
          <t>Электросталь</t>
        </is>
      </c>
      <c r="D1143" s="22" t="n">
        <v>7</v>
      </c>
    </row>
    <row r="1144">
      <c r="A1144" s="21" t="inlineStr">
        <is>
          <t>Покупка</t>
        </is>
      </c>
      <c r="B1144" s="21" t="inlineStr">
        <is>
          <t>Апартаменты</t>
        </is>
      </c>
      <c r="C1144" s="21" t="inlineStr">
        <is>
          <t>Иркутск</t>
        </is>
      </c>
      <c r="D1144" s="22" t="n">
        <v>49</v>
      </c>
    </row>
    <row r="1145">
      <c r="A1145" s="21" t="inlineStr">
        <is>
          <t>Покупка</t>
        </is>
      </c>
      <c r="B1145" s="21" t="inlineStr">
        <is>
          <t>Апартаменты</t>
        </is>
      </c>
      <c r="C1145" s="21" t="inlineStr">
        <is>
          <t>Иваново</t>
        </is>
      </c>
      <c r="D1145" s="22" t="n">
        <v>9</v>
      </c>
    </row>
    <row r="1146">
      <c r="A1146" s="21" t="inlineStr">
        <is>
          <t>Покупка</t>
        </is>
      </c>
      <c r="B1146" s="21" t="inlineStr">
        <is>
          <t>Апартаменты</t>
        </is>
      </c>
      <c r="C1146" s="21" t="inlineStr">
        <is>
          <t>Калининград</t>
        </is>
      </c>
      <c r="D1146" s="22" t="n">
        <v>9</v>
      </c>
    </row>
    <row r="1147">
      <c r="A1147" s="21" t="inlineStr">
        <is>
          <t>Покупка</t>
        </is>
      </c>
      <c r="B1147" s="21" t="inlineStr">
        <is>
          <t>Апартаменты</t>
        </is>
      </c>
      <c r="C1147" s="21" t="inlineStr">
        <is>
          <t>Казань</t>
        </is>
      </c>
      <c r="D1147" s="22" t="n">
        <v>13</v>
      </c>
    </row>
    <row r="1148">
      <c r="A1148" s="21" t="inlineStr">
        <is>
          <t>Покупка</t>
        </is>
      </c>
      <c r="B1148" s="21" t="inlineStr">
        <is>
          <t>Апартаменты</t>
        </is>
      </c>
      <c r="C1148" s="21" t="inlineStr">
        <is>
          <t>Королёв</t>
        </is>
      </c>
      <c r="D1148" s="22" t="n">
        <v>7</v>
      </c>
    </row>
    <row r="1149">
      <c r="A1149" s="21" t="inlineStr">
        <is>
          <t>Покупка</t>
        </is>
      </c>
      <c r="B1149" s="21" t="inlineStr">
        <is>
          <t>Апартаменты</t>
        </is>
      </c>
      <c r="C1149" s="21" t="inlineStr">
        <is>
          <t>Краснодар</t>
        </is>
      </c>
      <c r="D1149" s="22" t="n">
        <v>72</v>
      </c>
    </row>
    <row r="1150">
      <c r="A1150" s="21" t="inlineStr">
        <is>
          <t>Покупка</t>
        </is>
      </c>
      <c r="B1150" s="21" t="inlineStr">
        <is>
          <t>Апартаменты</t>
        </is>
      </c>
      <c r="C1150" s="21" t="inlineStr">
        <is>
          <t>Красногорск</t>
        </is>
      </c>
      <c r="D1150" s="22" t="n">
        <v>258</v>
      </c>
    </row>
    <row r="1151">
      <c r="A1151" s="21" t="inlineStr">
        <is>
          <t>Покупка</t>
        </is>
      </c>
      <c r="B1151" s="21" t="inlineStr">
        <is>
          <t>Апартаменты</t>
        </is>
      </c>
      <c r="C1151" s="21" t="inlineStr">
        <is>
          <t>Красноярск</t>
        </is>
      </c>
      <c r="D1151" s="22" t="n">
        <v>23</v>
      </c>
    </row>
    <row r="1152">
      <c r="A1152" s="21" t="inlineStr">
        <is>
          <t>Покупка</t>
        </is>
      </c>
      <c r="B1152" s="21" t="inlineStr">
        <is>
          <t>Апартаменты</t>
        </is>
      </c>
      <c r="C1152" s="21" t="inlineStr">
        <is>
          <t>Люберцы</t>
        </is>
      </c>
      <c r="D1152" s="22" t="n">
        <v>462</v>
      </c>
    </row>
    <row r="1153">
      <c r="A1153" s="21" t="inlineStr">
        <is>
          <t>Покупка</t>
        </is>
      </c>
      <c r="B1153" s="21" t="inlineStr">
        <is>
          <t>Апартаменты</t>
        </is>
      </c>
      <c r="C1153" s="21" t="inlineStr">
        <is>
          <t>Москва</t>
        </is>
      </c>
      <c r="D1153" s="22" t="n">
        <v>4617</v>
      </c>
    </row>
    <row r="1154">
      <c r="A1154" s="21" t="inlineStr">
        <is>
          <t>Покупка</t>
        </is>
      </c>
      <c r="B1154" s="21" t="inlineStr">
        <is>
          <t>Апартаменты</t>
        </is>
      </c>
      <c r="C1154" s="21" t="inlineStr">
        <is>
          <t>Мытищи</t>
        </is>
      </c>
      <c r="D1154" s="22" t="n">
        <v>85</v>
      </c>
    </row>
    <row r="1155">
      <c r="A1155" s="21" t="inlineStr">
        <is>
          <t>Покупка</t>
        </is>
      </c>
      <c r="B1155" s="21" t="inlineStr">
        <is>
          <t>Апартаменты</t>
        </is>
      </c>
      <c r="C1155" s="21" t="inlineStr">
        <is>
          <t>Нижний Новгород</t>
        </is>
      </c>
      <c r="D1155" s="22" t="n">
        <v>32</v>
      </c>
    </row>
    <row r="1156">
      <c r="A1156" s="21" t="inlineStr">
        <is>
          <t>Покупка</t>
        </is>
      </c>
      <c r="B1156" s="21" t="inlineStr">
        <is>
          <t>Апартаменты</t>
        </is>
      </c>
      <c r="C1156" s="21" t="inlineStr">
        <is>
          <t>Новороссийск</t>
        </is>
      </c>
      <c r="D1156" s="22" t="n">
        <v>18</v>
      </c>
    </row>
    <row r="1157">
      <c r="A1157" s="21" t="inlineStr">
        <is>
          <t>Покупка</t>
        </is>
      </c>
      <c r="B1157" s="21" t="inlineStr">
        <is>
          <t>Апартаменты</t>
        </is>
      </c>
      <c r="C1157" s="21" t="inlineStr">
        <is>
          <t>Новосибирск</t>
        </is>
      </c>
      <c r="D1157" s="22" t="n">
        <v>1074</v>
      </c>
    </row>
    <row r="1158">
      <c r="A1158" s="21" t="inlineStr">
        <is>
          <t>Покупка</t>
        </is>
      </c>
      <c r="B1158" s="21" t="inlineStr">
        <is>
          <t>Апартаменты</t>
        </is>
      </c>
      <c r="C1158" s="21" t="inlineStr">
        <is>
          <t>Одинцово</t>
        </is>
      </c>
      <c r="D1158" s="22" t="n">
        <v>31</v>
      </c>
    </row>
    <row r="1159">
      <c r="A1159" s="21" t="inlineStr">
        <is>
          <t>Покупка</t>
        </is>
      </c>
      <c r="B1159" s="21" t="inlineStr">
        <is>
          <t>Апартаменты</t>
        </is>
      </c>
      <c r="C1159" s="21" t="inlineStr">
        <is>
          <t>Омск</t>
        </is>
      </c>
      <c r="D1159" s="22" t="n">
        <v>15</v>
      </c>
    </row>
    <row r="1160">
      <c r="A1160" s="21" t="inlineStr">
        <is>
          <t>Покупка</t>
        </is>
      </c>
      <c r="B1160" s="21" t="inlineStr">
        <is>
          <t>Апартаменты</t>
        </is>
      </c>
      <c r="C1160" s="21" t="inlineStr">
        <is>
          <t>Оренбург</t>
        </is>
      </c>
      <c r="D1160" s="22" t="n">
        <v>10</v>
      </c>
    </row>
    <row r="1161">
      <c r="A1161" s="21" t="inlineStr">
        <is>
          <t>Покупка</t>
        </is>
      </c>
      <c r="B1161" s="21" t="inlineStr">
        <is>
          <t>Апартаменты</t>
        </is>
      </c>
      <c r="C1161" s="21" t="inlineStr">
        <is>
          <t>Пенза</t>
        </is>
      </c>
      <c r="D1161" s="22" t="n">
        <v>9</v>
      </c>
    </row>
    <row r="1162">
      <c r="A1162" s="21" t="inlineStr">
        <is>
          <t>Покупка</t>
        </is>
      </c>
      <c r="B1162" s="21" t="inlineStr">
        <is>
          <t>Апартаменты</t>
        </is>
      </c>
      <c r="C1162" s="21" t="inlineStr">
        <is>
          <t>Пермь</t>
        </is>
      </c>
      <c r="D1162" s="22" t="n">
        <v>13</v>
      </c>
    </row>
    <row r="1163">
      <c r="A1163" s="21" t="inlineStr">
        <is>
          <t>Покупка</t>
        </is>
      </c>
      <c r="B1163" s="21" t="inlineStr">
        <is>
          <t>Апартаменты</t>
        </is>
      </c>
      <c r="C1163" s="21" t="inlineStr">
        <is>
          <t>Ростов-на-Дону</t>
        </is>
      </c>
      <c r="D1163" s="22" t="n">
        <v>13</v>
      </c>
    </row>
    <row r="1164">
      <c r="A1164" s="21" t="inlineStr">
        <is>
          <t>Покупка</t>
        </is>
      </c>
      <c r="B1164" s="21" t="inlineStr">
        <is>
          <t>Апартаменты</t>
        </is>
      </c>
      <c r="C1164" s="21" t="inlineStr">
        <is>
          <t>Рязань</t>
        </is>
      </c>
      <c r="D1164" s="22" t="n">
        <v>16</v>
      </c>
    </row>
    <row r="1165">
      <c r="A1165" s="21" t="inlineStr">
        <is>
          <t>Покупка</t>
        </is>
      </c>
      <c r="B1165" s="21" t="inlineStr">
        <is>
          <t>Апартаменты</t>
        </is>
      </c>
      <c r="C1165" s="21" t="inlineStr">
        <is>
          <t>Самара</t>
        </is>
      </c>
      <c r="D1165" s="22" t="n">
        <v>10</v>
      </c>
    </row>
    <row r="1166">
      <c r="A1166" s="21" t="inlineStr">
        <is>
          <t>Покупка</t>
        </is>
      </c>
      <c r="B1166" s="21" t="inlineStr">
        <is>
          <t>Апартаменты</t>
        </is>
      </c>
      <c r="C1166" s="21" t="inlineStr">
        <is>
          <t>Севастополь</t>
        </is>
      </c>
      <c r="D1166" s="22" t="n">
        <v>919</v>
      </c>
    </row>
    <row r="1167">
      <c r="A1167" s="21" t="inlineStr">
        <is>
          <t>Покупка</t>
        </is>
      </c>
      <c r="B1167" s="21" t="inlineStr">
        <is>
          <t>Апартаменты</t>
        </is>
      </c>
      <c r="C1167" s="21" t="inlineStr">
        <is>
          <t>Симферополь</t>
        </is>
      </c>
      <c r="D1167" s="22" t="n">
        <v>23</v>
      </c>
    </row>
    <row r="1168">
      <c r="A1168" s="21" t="inlineStr">
        <is>
          <t>Покупка</t>
        </is>
      </c>
      <c r="B1168" s="21" t="inlineStr">
        <is>
          <t>Апартаменты</t>
        </is>
      </c>
      <c r="C1168" s="21" t="inlineStr">
        <is>
          <t>Смоленск</t>
        </is>
      </c>
      <c r="D1168" s="22" t="n">
        <v>39</v>
      </c>
    </row>
    <row r="1169">
      <c r="A1169" s="21" t="inlineStr">
        <is>
          <t>Покупка</t>
        </is>
      </c>
      <c r="B1169" s="21" t="inlineStr">
        <is>
          <t>Апартаменты</t>
        </is>
      </c>
      <c r="C1169" s="21" t="inlineStr">
        <is>
          <t>Сочи</t>
        </is>
      </c>
      <c r="D1169" s="22" t="n">
        <v>1660</v>
      </c>
    </row>
    <row r="1170">
      <c r="A1170" s="21" t="inlineStr">
        <is>
          <t>Покупка</t>
        </is>
      </c>
      <c r="B1170" s="21" t="inlineStr">
        <is>
          <t>Апартаменты</t>
        </is>
      </c>
      <c r="C1170" s="21" t="inlineStr">
        <is>
          <t>Санкт-Петербург</t>
        </is>
      </c>
      <c r="D1170" s="22" t="n">
        <v>3189</v>
      </c>
    </row>
    <row r="1171">
      <c r="A1171" s="21" t="inlineStr">
        <is>
          <t>Покупка</t>
        </is>
      </c>
      <c r="B1171" s="21" t="inlineStr">
        <is>
          <t>Апартаменты</t>
        </is>
      </c>
      <c r="C1171" s="21" t="inlineStr">
        <is>
          <t>Старый Оскол</t>
        </is>
      </c>
      <c r="D1171" s="22" t="n">
        <v>5</v>
      </c>
    </row>
    <row r="1172">
      <c r="A1172" s="21" t="inlineStr">
        <is>
          <t>Покупка</t>
        </is>
      </c>
      <c r="B1172" s="21" t="inlineStr">
        <is>
          <t>Апартаменты</t>
        </is>
      </c>
      <c r="C1172" s="21" t="inlineStr">
        <is>
          <t>Ставрополь</t>
        </is>
      </c>
      <c r="D1172" s="22" t="n">
        <v>6</v>
      </c>
    </row>
    <row r="1173">
      <c r="A1173" s="21" t="inlineStr">
        <is>
          <t>Покупка</t>
        </is>
      </c>
      <c r="B1173" s="21" t="inlineStr">
        <is>
          <t>Апартаменты</t>
        </is>
      </c>
      <c r="C1173" s="21" t="inlineStr">
        <is>
          <t>Тольятти</t>
        </is>
      </c>
      <c r="D1173" s="22" t="n">
        <v>6</v>
      </c>
    </row>
    <row r="1174">
      <c r="A1174" s="21" t="inlineStr">
        <is>
          <t>Покупка</t>
        </is>
      </c>
      <c r="B1174" s="21" t="inlineStr">
        <is>
          <t>Апартаменты</t>
        </is>
      </c>
      <c r="C1174" s="21" t="inlineStr">
        <is>
          <t>Томск</t>
        </is>
      </c>
      <c r="D1174" s="22" t="n">
        <v>79</v>
      </c>
    </row>
    <row r="1175">
      <c r="A1175" s="21" t="inlineStr">
        <is>
          <t>Покупка</t>
        </is>
      </c>
      <c r="B1175" s="21" t="inlineStr">
        <is>
          <t>Апартаменты</t>
        </is>
      </c>
      <c r="C1175" s="21" t="inlineStr">
        <is>
          <t>Тверь</t>
        </is>
      </c>
      <c r="D1175" s="22" t="n">
        <v>6</v>
      </c>
    </row>
    <row r="1176">
      <c r="A1176" s="21" t="inlineStr">
        <is>
          <t>Покупка</t>
        </is>
      </c>
      <c r="B1176" s="21" t="inlineStr">
        <is>
          <t>Апартаменты</t>
        </is>
      </c>
      <c r="C1176" s="21" t="inlineStr">
        <is>
          <t>Тюмень</t>
        </is>
      </c>
      <c r="D1176" s="22" t="n">
        <v>116</v>
      </c>
    </row>
    <row r="1177">
      <c r="A1177" s="21" t="inlineStr">
        <is>
          <t>Покупка</t>
        </is>
      </c>
      <c r="B1177" s="21" t="inlineStr">
        <is>
          <t>Апартаменты</t>
        </is>
      </c>
      <c r="C1177" s="21" t="inlineStr">
        <is>
          <t>Уфа</t>
        </is>
      </c>
      <c r="D1177" s="22" t="n">
        <v>1059</v>
      </c>
    </row>
    <row r="1178">
      <c r="A1178" s="21" t="inlineStr">
        <is>
          <t>Покупка</t>
        </is>
      </c>
      <c r="B1178" s="21" t="inlineStr">
        <is>
          <t>Апартаменты</t>
        </is>
      </c>
      <c r="C1178" s="21" t="inlineStr">
        <is>
          <t>Улан-Удэ</t>
        </is>
      </c>
      <c r="D1178" s="22" t="n">
        <v>5</v>
      </c>
    </row>
    <row r="1179">
      <c r="A1179" s="21" t="inlineStr">
        <is>
          <t>Покупка</t>
        </is>
      </c>
      <c r="B1179" s="21" t="inlineStr">
        <is>
          <t>Апартаменты</t>
        </is>
      </c>
      <c r="C1179" s="21" t="inlineStr">
        <is>
          <t>Владимир</t>
        </is>
      </c>
      <c r="D1179" s="22" t="n">
        <v>7</v>
      </c>
    </row>
    <row r="1180">
      <c r="A1180" s="21" t="inlineStr">
        <is>
          <t>Покупка</t>
        </is>
      </c>
      <c r="B1180" s="21" t="inlineStr">
        <is>
          <t>Апартаменты</t>
        </is>
      </c>
      <c r="C1180" s="21" t="inlineStr">
        <is>
          <t>Владивосток</t>
        </is>
      </c>
      <c r="D1180" s="22" t="n">
        <v>13</v>
      </c>
    </row>
    <row r="1181">
      <c r="A1181" s="21" t="inlineStr">
        <is>
          <t>Покупка</t>
        </is>
      </c>
      <c r="B1181" s="21" t="inlineStr">
        <is>
          <t>Апартаменты</t>
        </is>
      </c>
      <c r="C1181" s="21" t="inlineStr">
        <is>
          <t>Волгоград</t>
        </is>
      </c>
      <c r="D1181" s="22" t="n">
        <v>10</v>
      </c>
    </row>
    <row r="1182">
      <c r="A1182" s="21" t="inlineStr">
        <is>
          <t>Покупка</t>
        </is>
      </c>
      <c r="B1182" s="21" t="inlineStr">
        <is>
          <t>Апартаменты</t>
        </is>
      </c>
      <c r="C1182" s="21" t="inlineStr">
        <is>
          <t>Воронеж</t>
        </is>
      </c>
      <c r="D1182" s="22" t="n">
        <v>15</v>
      </c>
    </row>
    <row r="1183">
      <c r="A1183" s="21" t="inlineStr">
        <is>
          <t>Покупка</t>
        </is>
      </c>
      <c r="B1183" s="21" t="inlineStr">
        <is>
          <t>Апартаменты</t>
        </is>
      </c>
      <c r="C1183" s="21" t="inlineStr">
        <is>
          <t>Ханты-Мансийск</t>
        </is>
      </c>
      <c r="D1183" s="22" t="n">
        <v>6</v>
      </c>
    </row>
    <row r="1184">
      <c r="A1184" s="21" t="inlineStr">
        <is>
          <t>Покупка</t>
        </is>
      </c>
      <c r="B1184" s="21" t="inlineStr">
        <is>
          <t>Апартаменты</t>
        </is>
      </c>
      <c r="C1184" s="21" t="inlineStr">
        <is>
          <t>Химки</t>
        </is>
      </c>
      <c r="D1184" s="22" t="n">
        <v>10</v>
      </c>
    </row>
    <row r="1185">
      <c r="A1185" s="21" t="inlineStr">
        <is>
          <t>Покупка</t>
        </is>
      </c>
      <c r="B1185" s="21" t="inlineStr">
        <is>
          <t>Апартаменты</t>
        </is>
      </c>
      <c r="C1185" s="21" t="inlineStr">
        <is>
          <t>Якутск</t>
        </is>
      </c>
      <c r="D1185" s="22" t="n">
        <v>8</v>
      </c>
    </row>
    <row r="1186">
      <c r="A1186" s="21" t="inlineStr">
        <is>
          <t>Покупка</t>
        </is>
      </c>
      <c r="B1186" s="21" t="inlineStr">
        <is>
          <t>Апартаменты</t>
        </is>
      </c>
      <c r="C1186" s="21" t="inlineStr">
        <is>
          <t>Жуковский</t>
        </is>
      </c>
      <c r="D1186" s="22" t="n">
        <v>11</v>
      </c>
    </row>
    <row r="1187">
      <c r="A1187" s="27" t="inlineStr">
        <is>
          <t>Покупка</t>
        </is>
      </c>
      <c r="B1187" s="17" t="inlineStr">
        <is>
          <t>Загородная</t>
        </is>
      </c>
      <c r="C1187" s="28" t="inlineStr">
        <is>
          <t>Абакан</t>
        </is>
      </c>
      <c r="D1187" s="19" t="n">
        <v>1319</v>
      </c>
    </row>
    <row r="1188">
      <c r="A1188" s="21" t="inlineStr">
        <is>
          <t>Покупка</t>
        </is>
      </c>
      <c r="B1188" s="21" t="inlineStr">
        <is>
          <t>Загородная</t>
        </is>
      </c>
      <c r="C1188" s="21" t="inlineStr">
        <is>
          <t>Анадырь</t>
        </is>
      </c>
      <c r="D1188" s="22" t="n">
        <v>6</v>
      </c>
    </row>
    <row r="1189">
      <c r="A1189" s="21" t="inlineStr">
        <is>
          <t>Покупка</t>
        </is>
      </c>
      <c r="B1189" s="21" t="inlineStr">
        <is>
          <t>Загородная</t>
        </is>
      </c>
      <c r="C1189" s="21" t="inlineStr">
        <is>
          <t>Архангельск</t>
        </is>
      </c>
      <c r="D1189" s="22" t="n">
        <v>246</v>
      </c>
    </row>
    <row r="1190">
      <c r="A1190" s="21" t="inlineStr">
        <is>
          <t>Покупка</t>
        </is>
      </c>
      <c r="B1190" s="21" t="inlineStr">
        <is>
          <t>Загородная</t>
        </is>
      </c>
      <c r="C1190" s="21" t="inlineStr">
        <is>
          <t>Астрахань</t>
        </is>
      </c>
      <c r="D1190" s="22" t="n">
        <v>1447</v>
      </c>
    </row>
    <row r="1191">
      <c r="A1191" s="21" t="inlineStr">
        <is>
          <t>Покупка</t>
        </is>
      </c>
      <c r="B1191" s="21" t="inlineStr">
        <is>
          <t>Загородная</t>
        </is>
      </c>
      <c r="C1191" s="21" t="inlineStr">
        <is>
          <t>Балашиха</t>
        </is>
      </c>
      <c r="D1191" s="22" t="n">
        <v>214</v>
      </c>
    </row>
    <row r="1192">
      <c r="A1192" s="21" t="inlineStr">
        <is>
          <t>Покупка</t>
        </is>
      </c>
      <c r="B1192" s="21" t="inlineStr">
        <is>
          <t>Загородная</t>
        </is>
      </c>
      <c r="C1192" s="21" t="inlineStr">
        <is>
          <t>Барнаул</t>
        </is>
      </c>
      <c r="D1192" s="22" t="n">
        <v>909</v>
      </c>
    </row>
    <row r="1193">
      <c r="A1193" s="21" t="inlineStr">
        <is>
          <t>Покупка</t>
        </is>
      </c>
      <c r="B1193" s="21" t="inlineStr">
        <is>
          <t>Загородная</t>
        </is>
      </c>
      <c r="C1193" s="21" t="inlineStr">
        <is>
          <t>Белгород</t>
        </is>
      </c>
      <c r="D1193" s="22" t="n">
        <v>1102</v>
      </c>
    </row>
    <row r="1194">
      <c r="A1194" s="21" t="inlineStr">
        <is>
          <t>Покупка</t>
        </is>
      </c>
      <c r="B1194" s="21" t="inlineStr">
        <is>
          <t>Загородная</t>
        </is>
      </c>
      <c r="C1194" s="21" t="inlineStr">
        <is>
          <t>Биробиджан</t>
        </is>
      </c>
      <c r="D1194" s="22" t="n">
        <v>41</v>
      </c>
    </row>
    <row r="1195">
      <c r="A1195" s="21" t="inlineStr">
        <is>
          <t>Покупка</t>
        </is>
      </c>
      <c r="B1195" s="21" t="inlineStr">
        <is>
          <t>Загородная</t>
        </is>
      </c>
      <c r="C1195" s="21" t="inlineStr">
        <is>
          <t>Благовещенск</t>
        </is>
      </c>
      <c r="D1195" s="22" t="n">
        <v>794</v>
      </c>
    </row>
    <row r="1196">
      <c r="A1196" s="21" t="inlineStr">
        <is>
          <t>Покупка</t>
        </is>
      </c>
      <c r="B1196" s="21" t="inlineStr">
        <is>
          <t>Загородная</t>
        </is>
      </c>
      <c r="C1196" s="21" t="inlineStr">
        <is>
          <t>Братск</t>
        </is>
      </c>
      <c r="D1196" s="22" t="n">
        <v>133</v>
      </c>
    </row>
    <row r="1197">
      <c r="A1197" s="21" t="inlineStr">
        <is>
          <t>Покупка</t>
        </is>
      </c>
      <c r="B1197" s="21" t="inlineStr">
        <is>
          <t>Загородная</t>
        </is>
      </c>
      <c r="C1197" s="21" t="inlineStr">
        <is>
          <t>Брянск</t>
        </is>
      </c>
      <c r="D1197" s="22" t="n">
        <v>870</v>
      </c>
    </row>
    <row r="1198">
      <c r="A1198" s="21" t="inlineStr">
        <is>
          <t>Покупка</t>
        </is>
      </c>
      <c r="B1198" s="21" t="inlineStr">
        <is>
          <t>Загородная</t>
        </is>
      </c>
      <c r="C1198" s="21" t="inlineStr">
        <is>
          <t>Чебоксары</t>
        </is>
      </c>
      <c r="D1198" s="22" t="n">
        <v>435</v>
      </c>
    </row>
    <row r="1199">
      <c r="A1199" s="21" t="inlineStr">
        <is>
          <t>Покупка</t>
        </is>
      </c>
      <c r="B1199" s="21" t="inlineStr">
        <is>
          <t>Загородная</t>
        </is>
      </c>
      <c r="C1199" s="21" t="inlineStr">
        <is>
          <t>Челябинск</t>
        </is>
      </c>
      <c r="D1199" s="22" t="n">
        <v>1185</v>
      </c>
    </row>
    <row r="1200">
      <c r="A1200" s="21" t="inlineStr">
        <is>
          <t>Покупка</t>
        </is>
      </c>
      <c r="B1200" s="21" t="inlineStr">
        <is>
          <t>Загородная</t>
        </is>
      </c>
      <c r="C1200" s="21" t="inlineStr">
        <is>
          <t>Череповец</t>
        </is>
      </c>
      <c r="D1200" s="22" t="n">
        <v>192</v>
      </c>
    </row>
    <row r="1201">
      <c r="A1201" s="21" t="inlineStr">
        <is>
          <t>Покупка</t>
        </is>
      </c>
      <c r="B1201" s="21" t="inlineStr">
        <is>
          <t>Загородная</t>
        </is>
      </c>
      <c r="C1201" s="21" t="inlineStr">
        <is>
          <t>Черкесск</t>
        </is>
      </c>
      <c r="D1201" s="22" t="n">
        <v>302</v>
      </c>
    </row>
    <row r="1202">
      <c r="A1202" s="21" t="inlineStr">
        <is>
          <t>Покупка</t>
        </is>
      </c>
      <c r="B1202" s="21" t="inlineStr">
        <is>
          <t>Загородная</t>
        </is>
      </c>
      <c r="C1202" s="21" t="inlineStr">
        <is>
          <t>Чита</t>
        </is>
      </c>
      <c r="D1202" s="22" t="n">
        <v>1307</v>
      </c>
    </row>
    <row r="1203">
      <c r="A1203" s="21" t="inlineStr">
        <is>
          <t>Покупка</t>
        </is>
      </c>
      <c r="B1203" s="21" t="inlineStr">
        <is>
          <t>Загородная</t>
        </is>
      </c>
      <c r="C1203" s="21" t="inlineStr">
        <is>
          <t>Долгопрудный</t>
        </is>
      </c>
      <c r="D1203" s="22" t="n">
        <v>62</v>
      </c>
    </row>
    <row r="1204">
      <c r="A1204" s="21" t="inlineStr">
        <is>
          <t>Покупка</t>
        </is>
      </c>
      <c r="B1204" s="21" t="inlineStr">
        <is>
          <t>Загородная</t>
        </is>
      </c>
      <c r="C1204" s="21" t="inlineStr">
        <is>
          <t>Домодедово</t>
        </is>
      </c>
      <c r="D1204" s="22" t="n">
        <v>761</v>
      </c>
    </row>
    <row r="1205">
      <c r="A1205" s="21" t="inlineStr">
        <is>
          <t>Покупка</t>
        </is>
      </c>
      <c r="B1205" s="21" t="inlineStr">
        <is>
          <t>Загородная</t>
        </is>
      </c>
      <c r="C1205" s="21" t="inlineStr">
        <is>
          <t>Дзержинск</t>
        </is>
      </c>
      <c r="D1205" s="22" t="n">
        <v>86</v>
      </c>
    </row>
    <row r="1206">
      <c r="A1206" s="21" t="inlineStr">
        <is>
          <t>Покупка</t>
        </is>
      </c>
      <c r="B1206" s="21" t="inlineStr">
        <is>
          <t>Загородная</t>
        </is>
      </c>
      <c r="C1206" s="21" t="inlineStr">
        <is>
          <t>Екатеринбург</t>
        </is>
      </c>
      <c r="D1206" s="22" t="n">
        <v>2403</v>
      </c>
    </row>
    <row r="1207">
      <c r="A1207" s="21" t="inlineStr">
        <is>
          <t>Покупка</t>
        </is>
      </c>
      <c r="B1207" s="21" t="inlineStr">
        <is>
          <t>Загородная</t>
        </is>
      </c>
      <c r="C1207" s="21" t="inlineStr">
        <is>
          <t>Электросталь</t>
        </is>
      </c>
      <c r="D1207" s="22" t="n">
        <v>33</v>
      </c>
    </row>
    <row r="1208">
      <c r="A1208" s="21" t="inlineStr">
        <is>
          <t>Покупка</t>
        </is>
      </c>
      <c r="B1208" s="21" t="inlineStr">
        <is>
          <t>Загородная</t>
        </is>
      </c>
      <c r="C1208" s="21" t="inlineStr">
        <is>
          <t>Элиста</t>
        </is>
      </c>
      <c r="D1208" s="22" t="n">
        <v>1150</v>
      </c>
    </row>
    <row r="1209">
      <c r="A1209" s="21" t="inlineStr">
        <is>
          <t>Покупка</t>
        </is>
      </c>
      <c r="B1209" s="21" t="inlineStr">
        <is>
          <t>Загородная</t>
        </is>
      </c>
      <c r="C1209" s="21" t="inlineStr">
        <is>
          <t>Энгельс</t>
        </is>
      </c>
      <c r="D1209" s="22" t="n">
        <v>670</v>
      </c>
    </row>
    <row r="1210">
      <c r="A1210" s="21" t="inlineStr">
        <is>
          <t>Покупка</t>
        </is>
      </c>
      <c r="B1210" s="21" t="inlineStr">
        <is>
          <t>Загородная</t>
        </is>
      </c>
      <c r="C1210" s="21" t="inlineStr">
        <is>
          <t>Горно-Алтайск</t>
        </is>
      </c>
      <c r="D1210" s="22" t="n">
        <v>1193</v>
      </c>
    </row>
    <row r="1211">
      <c r="A1211" s="21" t="inlineStr">
        <is>
          <t>Покупка</t>
        </is>
      </c>
      <c r="B1211" s="21" t="inlineStr">
        <is>
          <t>Загородная</t>
        </is>
      </c>
      <c r="C1211" s="21" t="inlineStr">
        <is>
          <t>Грозный</t>
        </is>
      </c>
      <c r="D1211" s="22" t="n">
        <v>93</v>
      </c>
    </row>
    <row r="1212">
      <c r="A1212" s="21" t="inlineStr">
        <is>
          <t>Покупка</t>
        </is>
      </c>
      <c r="B1212" s="21" t="inlineStr">
        <is>
          <t>Загородная</t>
        </is>
      </c>
      <c r="C1212" s="21" t="inlineStr">
        <is>
          <t>Иркутск</t>
        </is>
      </c>
      <c r="D1212" s="22" t="n">
        <v>842</v>
      </c>
    </row>
    <row r="1213">
      <c r="A1213" s="21" t="inlineStr">
        <is>
          <t>Покупка</t>
        </is>
      </c>
      <c r="B1213" s="21" t="inlineStr">
        <is>
          <t>Загородная</t>
        </is>
      </c>
      <c r="C1213" s="21" t="inlineStr">
        <is>
          <t>Иваново</t>
        </is>
      </c>
      <c r="D1213" s="22" t="n">
        <v>503</v>
      </c>
    </row>
    <row r="1214">
      <c r="A1214" s="21" t="inlineStr">
        <is>
          <t>Покупка</t>
        </is>
      </c>
      <c r="B1214" s="21" t="inlineStr">
        <is>
          <t>Загородная</t>
        </is>
      </c>
      <c r="C1214" s="21" t="inlineStr">
        <is>
          <t>Ижевск</t>
        </is>
      </c>
      <c r="D1214" s="22" t="n">
        <v>910</v>
      </c>
    </row>
    <row r="1215">
      <c r="A1215" s="21" t="inlineStr">
        <is>
          <t>Покупка</t>
        </is>
      </c>
      <c r="B1215" s="21" t="inlineStr">
        <is>
          <t>Загородная</t>
        </is>
      </c>
      <c r="C1215" s="21" t="inlineStr">
        <is>
          <t>Йошкар-Ола</t>
        </is>
      </c>
      <c r="D1215" s="22" t="n">
        <v>294</v>
      </c>
    </row>
    <row r="1216">
      <c r="A1216" s="21" t="inlineStr">
        <is>
          <t>Покупка</t>
        </is>
      </c>
      <c r="B1216" s="21" t="inlineStr">
        <is>
          <t>Загородная</t>
        </is>
      </c>
      <c r="C1216" s="21" t="inlineStr">
        <is>
          <t>Калининград</t>
        </is>
      </c>
      <c r="D1216" s="22" t="n">
        <v>2089</v>
      </c>
    </row>
    <row r="1217">
      <c r="A1217" s="21" t="inlineStr">
        <is>
          <t>Покупка</t>
        </is>
      </c>
      <c r="B1217" s="21" t="inlineStr">
        <is>
          <t>Загородная</t>
        </is>
      </c>
      <c r="C1217" s="21" t="inlineStr">
        <is>
          <t>Калуга</t>
        </is>
      </c>
      <c r="D1217" s="22" t="n">
        <v>1791</v>
      </c>
    </row>
    <row r="1218">
      <c r="A1218" s="21" t="inlineStr">
        <is>
          <t>Покупка</t>
        </is>
      </c>
      <c r="B1218" s="21" t="inlineStr">
        <is>
          <t>Загородная</t>
        </is>
      </c>
      <c r="C1218" s="21" t="inlineStr">
        <is>
          <t>Казань</t>
        </is>
      </c>
      <c r="D1218" s="22" t="n">
        <v>2719</v>
      </c>
    </row>
    <row r="1219">
      <c r="A1219" s="21" t="inlineStr">
        <is>
          <t>Покупка</t>
        </is>
      </c>
      <c r="B1219" s="21" t="inlineStr">
        <is>
          <t>Загородная</t>
        </is>
      </c>
      <c r="C1219" s="21" t="inlineStr">
        <is>
          <t>Кемерово</t>
        </is>
      </c>
      <c r="D1219" s="22" t="n">
        <v>1795</v>
      </c>
    </row>
    <row r="1220">
      <c r="A1220" s="21" t="inlineStr">
        <is>
          <t>Покупка</t>
        </is>
      </c>
      <c r="B1220" s="21" t="inlineStr">
        <is>
          <t>Загородная</t>
        </is>
      </c>
      <c r="C1220" s="21" t="inlineStr">
        <is>
          <t>Киров</t>
        </is>
      </c>
      <c r="D1220" s="22" t="n">
        <v>371</v>
      </c>
    </row>
    <row r="1221">
      <c r="A1221" s="21" t="inlineStr">
        <is>
          <t>Покупка</t>
        </is>
      </c>
      <c r="B1221" s="21" t="inlineStr">
        <is>
          <t>Загородная</t>
        </is>
      </c>
      <c r="C1221" s="21" t="inlineStr">
        <is>
          <t>Коломна</t>
        </is>
      </c>
      <c r="D1221" s="22" t="n">
        <v>96</v>
      </c>
    </row>
    <row r="1222">
      <c r="A1222" s="21" t="inlineStr">
        <is>
          <t>Покупка</t>
        </is>
      </c>
      <c r="B1222" s="21" t="inlineStr">
        <is>
          <t>Загородная</t>
        </is>
      </c>
      <c r="C1222" s="21" t="inlineStr">
        <is>
          <t>Комсомольск-на-Амуре</t>
        </is>
      </c>
      <c r="D1222" s="22" t="n">
        <v>317</v>
      </c>
    </row>
    <row r="1223">
      <c r="A1223" s="21" t="inlineStr">
        <is>
          <t>Покупка</t>
        </is>
      </c>
      <c r="B1223" s="21" t="inlineStr">
        <is>
          <t>Загородная</t>
        </is>
      </c>
      <c r="C1223" s="21" t="inlineStr">
        <is>
          <t>Королёв</t>
        </is>
      </c>
      <c r="D1223" s="22" t="n">
        <v>112</v>
      </c>
    </row>
    <row r="1224">
      <c r="A1224" s="21" t="inlineStr">
        <is>
          <t>Покупка</t>
        </is>
      </c>
      <c r="B1224" s="21" t="inlineStr">
        <is>
          <t>Загородная</t>
        </is>
      </c>
      <c r="C1224" s="21" t="inlineStr">
        <is>
          <t>Кострома</t>
        </is>
      </c>
      <c r="D1224" s="22" t="n">
        <v>1334</v>
      </c>
    </row>
    <row r="1225">
      <c r="A1225" s="21" t="inlineStr">
        <is>
          <t>Покупка</t>
        </is>
      </c>
      <c r="B1225" s="21" t="inlineStr">
        <is>
          <t>Загородная</t>
        </is>
      </c>
      <c r="C1225" s="21" t="inlineStr">
        <is>
          <t>Краснодар</t>
        </is>
      </c>
      <c r="D1225" s="22" t="n">
        <v>17885</v>
      </c>
    </row>
    <row r="1226">
      <c r="A1226" s="21" t="inlineStr">
        <is>
          <t>Покупка</t>
        </is>
      </c>
      <c r="B1226" s="21" t="inlineStr">
        <is>
          <t>Загородная</t>
        </is>
      </c>
      <c r="C1226" s="21" t="inlineStr">
        <is>
          <t>Красногорск</t>
        </is>
      </c>
      <c r="D1226" s="22" t="n">
        <v>97</v>
      </c>
    </row>
    <row r="1227">
      <c r="A1227" s="21" t="inlineStr">
        <is>
          <t>Покупка</t>
        </is>
      </c>
      <c r="B1227" s="21" t="inlineStr">
        <is>
          <t>Загородная</t>
        </is>
      </c>
      <c r="C1227" s="21" t="inlineStr">
        <is>
          <t>Красноярск</t>
        </is>
      </c>
      <c r="D1227" s="22" t="n">
        <v>1939</v>
      </c>
    </row>
    <row r="1228">
      <c r="A1228" s="21" t="inlineStr">
        <is>
          <t>Покупка</t>
        </is>
      </c>
      <c r="B1228" s="21" t="inlineStr">
        <is>
          <t>Загородная</t>
        </is>
      </c>
      <c r="C1228" s="21" t="inlineStr">
        <is>
          <t>Курган</t>
        </is>
      </c>
      <c r="D1228" s="22" t="n">
        <v>1252</v>
      </c>
    </row>
    <row r="1229">
      <c r="A1229" s="21" t="inlineStr">
        <is>
          <t>Покупка</t>
        </is>
      </c>
      <c r="B1229" s="21" t="inlineStr">
        <is>
          <t>Загородная</t>
        </is>
      </c>
      <c r="C1229" s="21" t="inlineStr">
        <is>
          <t>Курск</t>
        </is>
      </c>
      <c r="D1229" s="22" t="n">
        <v>677</v>
      </c>
    </row>
    <row r="1230">
      <c r="A1230" s="21" t="inlineStr">
        <is>
          <t>Покупка</t>
        </is>
      </c>
      <c r="B1230" s="21" t="inlineStr">
        <is>
          <t>Загородная</t>
        </is>
      </c>
      <c r="C1230" s="21" t="inlineStr">
        <is>
          <t>Кызыл</t>
        </is>
      </c>
      <c r="D1230" s="22" t="n">
        <v>2841</v>
      </c>
    </row>
    <row r="1231">
      <c r="A1231" s="21" t="inlineStr">
        <is>
          <t>Покупка</t>
        </is>
      </c>
      <c r="B1231" s="21" t="inlineStr">
        <is>
          <t>Загородная</t>
        </is>
      </c>
      <c r="C1231" s="21" t="inlineStr">
        <is>
          <t>Липецк</t>
        </is>
      </c>
      <c r="D1231" s="22" t="n">
        <v>792</v>
      </c>
    </row>
    <row r="1232">
      <c r="A1232" s="21" t="inlineStr">
        <is>
          <t>Покупка</t>
        </is>
      </c>
      <c r="B1232" s="21" t="inlineStr">
        <is>
          <t>Загородная</t>
        </is>
      </c>
      <c r="C1232" s="21" t="inlineStr">
        <is>
          <t>Люберцы</t>
        </is>
      </c>
      <c r="D1232" s="22" t="n">
        <v>47</v>
      </c>
    </row>
    <row r="1233">
      <c r="A1233" s="21" t="inlineStr">
        <is>
          <t>Покупка</t>
        </is>
      </c>
      <c r="B1233" s="21" t="inlineStr">
        <is>
          <t>Загородная</t>
        </is>
      </c>
      <c r="C1233" s="21" t="inlineStr">
        <is>
          <t>Магадан</t>
        </is>
      </c>
      <c r="D1233" s="22" t="n">
        <v>95</v>
      </c>
    </row>
    <row r="1234">
      <c r="A1234" s="21" t="inlineStr">
        <is>
          <t>Покупка</t>
        </is>
      </c>
      <c r="B1234" s="21" t="inlineStr">
        <is>
          <t>Загородная</t>
        </is>
      </c>
      <c r="C1234" s="21" t="inlineStr">
        <is>
          <t>Магнитогорск</t>
        </is>
      </c>
      <c r="D1234" s="22" t="n">
        <v>1654</v>
      </c>
    </row>
    <row r="1235">
      <c r="A1235" s="21" t="inlineStr">
        <is>
          <t>Покупка</t>
        </is>
      </c>
      <c r="B1235" s="21" t="inlineStr">
        <is>
          <t>Загородная</t>
        </is>
      </c>
      <c r="C1235" s="21" t="inlineStr">
        <is>
          <t>Майкоп</t>
        </is>
      </c>
      <c r="D1235" s="22" t="n">
        <v>1018</v>
      </c>
    </row>
    <row r="1236">
      <c r="A1236" s="21" t="inlineStr">
        <is>
          <t>Покупка</t>
        </is>
      </c>
      <c r="B1236" s="21" t="inlineStr">
        <is>
          <t>Загородная</t>
        </is>
      </c>
      <c r="C1236" s="21" t="inlineStr">
        <is>
          <t>Махачкала</t>
        </is>
      </c>
      <c r="D1236" s="22" t="n">
        <v>575</v>
      </c>
    </row>
    <row r="1237">
      <c r="A1237" s="21" t="inlineStr">
        <is>
          <t>Покупка</t>
        </is>
      </c>
      <c r="B1237" s="21" t="inlineStr">
        <is>
          <t>Загородная</t>
        </is>
      </c>
      <c r="C1237" s="21" t="inlineStr">
        <is>
          <t>Москва</t>
        </is>
      </c>
      <c r="D1237" s="22" t="n">
        <v>2928</v>
      </c>
    </row>
    <row r="1238">
      <c r="A1238" s="21" t="inlineStr">
        <is>
          <t>Покупка</t>
        </is>
      </c>
      <c r="B1238" s="21" t="inlineStr">
        <is>
          <t>Загородная</t>
        </is>
      </c>
      <c r="C1238" s="21" t="inlineStr">
        <is>
          <t>Мурманск</t>
        </is>
      </c>
      <c r="D1238" s="22" t="n">
        <v>51</v>
      </c>
    </row>
    <row r="1239">
      <c r="A1239" s="21" t="inlineStr">
        <is>
          <t>Покупка</t>
        </is>
      </c>
      <c r="B1239" s="21" t="inlineStr">
        <is>
          <t>Загородная</t>
        </is>
      </c>
      <c r="C1239" s="21" t="inlineStr">
        <is>
          <t>Мытищи</t>
        </is>
      </c>
      <c r="D1239" s="22" t="n">
        <v>69</v>
      </c>
    </row>
    <row r="1240">
      <c r="A1240" s="21" t="inlineStr">
        <is>
          <t>Покупка</t>
        </is>
      </c>
      <c r="B1240" s="21" t="inlineStr">
        <is>
          <t>Загородная</t>
        </is>
      </c>
      <c r="C1240" s="21" t="inlineStr">
        <is>
          <t>Набережные Челны</t>
        </is>
      </c>
      <c r="D1240" s="22" t="n">
        <v>319</v>
      </c>
    </row>
    <row r="1241">
      <c r="A1241" s="21" t="inlineStr">
        <is>
          <t>Покупка</t>
        </is>
      </c>
      <c r="B1241" s="21" t="inlineStr">
        <is>
          <t>Загородная</t>
        </is>
      </c>
      <c r="C1241" s="21" t="inlineStr">
        <is>
          <t>Нальчик</t>
        </is>
      </c>
      <c r="D1241" s="22" t="n">
        <v>304</v>
      </c>
    </row>
    <row r="1242">
      <c r="A1242" s="21" t="inlineStr">
        <is>
          <t>Покупка</t>
        </is>
      </c>
      <c r="B1242" s="21" t="inlineStr">
        <is>
          <t>Загородная</t>
        </is>
      </c>
      <c r="C1242" s="21" t="inlineStr">
        <is>
          <t>Нарьян-Мар</t>
        </is>
      </c>
      <c r="D1242" s="22" t="n">
        <v>18</v>
      </c>
    </row>
    <row r="1243">
      <c r="A1243" s="21" t="inlineStr">
        <is>
          <t>Покупка</t>
        </is>
      </c>
      <c r="B1243" s="21" t="inlineStr">
        <is>
          <t>Загородная</t>
        </is>
      </c>
      <c r="C1243" s="21" t="inlineStr">
        <is>
          <t>Назрань</t>
        </is>
      </c>
      <c r="D1243" s="22" t="n">
        <v>169</v>
      </c>
    </row>
    <row r="1244">
      <c r="A1244" s="21" t="inlineStr">
        <is>
          <t>Покупка</t>
        </is>
      </c>
      <c r="B1244" s="21" t="inlineStr">
        <is>
          <t>Загородная</t>
        </is>
      </c>
      <c r="C1244" s="21" t="inlineStr">
        <is>
          <t>Нефтеюганск</t>
        </is>
      </c>
      <c r="D1244" s="22" t="n">
        <v>180</v>
      </c>
    </row>
    <row r="1245">
      <c r="A1245" s="21" t="inlineStr">
        <is>
          <t>Покупка</t>
        </is>
      </c>
      <c r="B1245" s="21" t="inlineStr">
        <is>
          <t>Загородная</t>
        </is>
      </c>
      <c r="C1245" s="21" t="inlineStr">
        <is>
          <t>Нижневартовск</t>
        </is>
      </c>
      <c r="D1245" s="22" t="n">
        <v>718</v>
      </c>
    </row>
    <row r="1246">
      <c r="A1246" s="21" t="inlineStr">
        <is>
          <t>Покупка</t>
        </is>
      </c>
      <c r="B1246" s="21" t="inlineStr">
        <is>
          <t>Загородная</t>
        </is>
      </c>
      <c r="C1246" s="21" t="inlineStr">
        <is>
          <t>Нижний Тагил</t>
        </is>
      </c>
      <c r="D1246" s="22" t="n">
        <v>1155</v>
      </c>
    </row>
    <row r="1247">
      <c r="A1247" s="21" t="inlineStr">
        <is>
          <t>Покупка</t>
        </is>
      </c>
      <c r="B1247" s="21" t="inlineStr">
        <is>
          <t>Загородная</t>
        </is>
      </c>
      <c r="C1247" s="21" t="inlineStr">
        <is>
          <t>Нижний Новгород</t>
        </is>
      </c>
      <c r="D1247" s="22" t="n">
        <v>1389</v>
      </c>
    </row>
    <row r="1248">
      <c r="A1248" s="21" t="inlineStr">
        <is>
          <t>Покупка</t>
        </is>
      </c>
      <c r="B1248" s="21" t="inlineStr">
        <is>
          <t>Загородная</t>
        </is>
      </c>
      <c r="C1248" s="21" t="inlineStr">
        <is>
          <t>Ногинск</t>
        </is>
      </c>
      <c r="D1248" s="22" t="n">
        <v>118</v>
      </c>
    </row>
    <row r="1249">
      <c r="A1249" s="21" t="inlineStr">
        <is>
          <t>Покупка</t>
        </is>
      </c>
      <c r="B1249" s="21" t="inlineStr">
        <is>
          <t>Загородная</t>
        </is>
      </c>
      <c r="C1249" s="21" t="inlineStr">
        <is>
          <t>Норильск</t>
        </is>
      </c>
      <c r="D1249" s="22" t="n">
        <v>8</v>
      </c>
    </row>
    <row r="1250">
      <c r="A1250" s="21" t="inlineStr">
        <is>
          <t>Покупка</t>
        </is>
      </c>
      <c r="B1250" s="21" t="inlineStr">
        <is>
          <t>Загородная</t>
        </is>
      </c>
      <c r="C1250" s="21" t="inlineStr">
        <is>
          <t>Новокузнецк</t>
        </is>
      </c>
      <c r="D1250" s="22" t="n">
        <v>695</v>
      </c>
    </row>
    <row r="1251">
      <c r="A1251" s="21" t="inlineStr">
        <is>
          <t>Покупка</t>
        </is>
      </c>
      <c r="B1251" s="21" t="inlineStr">
        <is>
          <t>Загородная</t>
        </is>
      </c>
      <c r="C1251" s="21" t="inlineStr">
        <is>
          <t>Новороссийск</t>
        </is>
      </c>
      <c r="D1251" s="22" t="n">
        <v>1739</v>
      </c>
    </row>
    <row r="1252">
      <c r="A1252" s="21" t="inlineStr">
        <is>
          <t>Покупка</t>
        </is>
      </c>
      <c r="B1252" s="21" t="inlineStr">
        <is>
          <t>Загородная</t>
        </is>
      </c>
      <c r="C1252" s="21" t="inlineStr">
        <is>
          <t>Новосибирск</t>
        </is>
      </c>
      <c r="D1252" s="22" t="n">
        <v>3260</v>
      </c>
    </row>
    <row r="1253">
      <c r="A1253" s="21" t="inlineStr">
        <is>
          <t>Покупка</t>
        </is>
      </c>
      <c r="B1253" s="21" t="inlineStr">
        <is>
          <t>Загородная</t>
        </is>
      </c>
      <c r="C1253" s="21" t="inlineStr">
        <is>
          <t>Новый Уренгой</t>
        </is>
      </c>
      <c r="D1253" s="22" t="n">
        <v>279</v>
      </c>
    </row>
    <row r="1254">
      <c r="A1254" s="21" t="inlineStr">
        <is>
          <t>Покупка</t>
        </is>
      </c>
      <c r="B1254" s="21" t="inlineStr">
        <is>
          <t>Загородная</t>
        </is>
      </c>
      <c r="C1254" s="21" t="inlineStr">
        <is>
          <t>Обнинск</t>
        </is>
      </c>
      <c r="D1254" s="22" t="n">
        <v>256</v>
      </c>
    </row>
    <row r="1255">
      <c r="A1255" s="21" t="inlineStr">
        <is>
          <t>Покупка</t>
        </is>
      </c>
      <c r="B1255" s="21" t="inlineStr">
        <is>
          <t>Загородная</t>
        </is>
      </c>
      <c r="C1255" s="21" t="inlineStr">
        <is>
          <t>Одинцово</t>
        </is>
      </c>
      <c r="D1255" s="22" t="n">
        <v>70</v>
      </c>
    </row>
    <row r="1256">
      <c r="A1256" s="21" t="inlineStr">
        <is>
          <t>Покупка</t>
        </is>
      </c>
      <c r="B1256" s="21" t="inlineStr">
        <is>
          <t>Загородная</t>
        </is>
      </c>
      <c r="C1256" s="21" t="inlineStr">
        <is>
          <t>Омск</t>
        </is>
      </c>
      <c r="D1256" s="22" t="n">
        <v>2807</v>
      </c>
    </row>
    <row r="1257">
      <c r="A1257" s="21" t="inlineStr">
        <is>
          <t>Покупка</t>
        </is>
      </c>
      <c r="B1257" s="21" t="inlineStr">
        <is>
          <t>Загородная</t>
        </is>
      </c>
      <c r="C1257" s="21" t="inlineStr">
        <is>
          <t>Оренбург</t>
        </is>
      </c>
      <c r="D1257" s="22" t="n">
        <v>2520</v>
      </c>
    </row>
    <row r="1258">
      <c r="A1258" s="21" t="inlineStr">
        <is>
          <t>Покупка</t>
        </is>
      </c>
      <c r="B1258" s="21" t="inlineStr">
        <is>
          <t>Загородная</t>
        </is>
      </c>
      <c r="C1258" s="21" t="inlineStr">
        <is>
          <t>Орехово-Зуево</t>
        </is>
      </c>
      <c r="D1258" s="22" t="n">
        <v>32</v>
      </c>
    </row>
    <row r="1259">
      <c r="A1259" s="21" t="inlineStr">
        <is>
          <t>Покупка</t>
        </is>
      </c>
      <c r="B1259" s="21" t="inlineStr">
        <is>
          <t>Загородная</t>
        </is>
      </c>
      <c r="C1259" s="21" t="inlineStr">
        <is>
          <t>Орёл</t>
        </is>
      </c>
      <c r="D1259" s="22" t="n">
        <v>376</v>
      </c>
    </row>
    <row r="1260">
      <c r="A1260" s="21" t="inlineStr">
        <is>
          <t>Покупка</t>
        </is>
      </c>
      <c r="B1260" s="21" t="inlineStr">
        <is>
          <t>Загородная</t>
        </is>
      </c>
      <c r="C1260" s="21" t="inlineStr">
        <is>
          <t>Пенза</t>
        </is>
      </c>
      <c r="D1260" s="22" t="n">
        <v>906</v>
      </c>
    </row>
    <row r="1261">
      <c r="A1261" s="21" t="inlineStr">
        <is>
          <t>Покупка</t>
        </is>
      </c>
      <c r="B1261" s="21" t="inlineStr">
        <is>
          <t>Загородная</t>
        </is>
      </c>
      <c r="C1261" s="21" t="inlineStr">
        <is>
          <t>Пермь</t>
        </is>
      </c>
      <c r="D1261" s="22" t="n">
        <v>869</v>
      </c>
    </row>
    <row r="1262">
      <c r="A1262" s="21" t="inlineStr">
        <is>
          <t>Покупка</t>
        </is>
      </c>
      <c r="B1262" s="21" t="inlineStr">
        <is>
          <t>Загородная</t>
        </is>
      </c>
      <c r="C1262" s="21" t="inlineStr">
        <is>
          <t>Петропавловск-Камчатский</t>
        </is>
      </c>
      <c r="D1262" s="22" t="n">
        <v>139</v>
      </c>
    </row>
    <row r="1263">
      <c r="A1263" s="21" t="inlineStr">
        <is>
          <t>Покупка</t>
        </is>
      </c>
      <c r="B1263" s="21" t="inlineStr">
        <is>
          <t>Загородная</t>
        </is>
      </c>
      <c r="C1263" s="21" t="inlineStr">
        <is>
          <t>Петрозаводск</t>
        </is>
      </c>
      <c r="D1263" s="22" t="n">
        <v>257</v>
      </c>
    </row>
    <row r="1264">
      <c r="A1264" s="21" t="inlineStr">
        <is>
          <t>Покупка</t>
        </is>
      </c>
      <c r="B1264" s="21" t="inlineStr">
        <is>
          <t>Загородная</t>
        </is>
      </c>
      <c r="C1264" s="21" t="inlineStr">
        <is>
          <t>Подольск</t>
        </is>
      </c>
      <c r="D1264" s="22" t="n">
        <v>150</v>
      </c>
    </row>
    <row r="1265">
      <c r="A1265" s="21" t="inlineStr">
        <is>
          <t>Покупка</t>
        </is>
      </c>
      <c r="B1265" s="21" t="inlineStr">
        <is>
          <t>Загородная</t>
        </is>
      </c>
      <c r="C1265" s="21" t="inlineStr">
        <is>
          <t>Прокопьевск</t>
        </is>
      </c>
      <c r="D1265" s="22" t="n">
        <v>508</v>
      </c>
    </row>
    <row r="1266">
      <c r="A1266" s="21" t="inlineStr">
        <is>
          <t>Покупка</t>
        </is>
      </c>
      <c r="B1266" s="21" t="inlineStr">
        <is>
          <t>Загородная</t>
        </is>
      </c>
      <c r="C1266" s="21" t="inlineStr">
        <is>
          <t>Псков</t>
        </is>
      </c>
      <c r="D1266" s="22" t="n">
        <v>186</v>
      </c>
    </row>
    <row r="1267">
      <c r="A1267" s="21" t="inlineStr">
        <is>
          <t>Покупка</t>
        </is>
      </c>
      <c r="B1267" s="21" t="inlineStr">
        <is>
          <t>Загородная</t>
        </is>
      </c>
      <c r="C1267" s="21" t="inlineStr">
        <is>
          <t>Пушкино</t>
        </is>
      </c>
      <c r="D1267" s="22" t="n">
        <v>260</v>
      </c>
    </row>
    <row r="1268">
      <c r="A1268" s="21" t="inlineStr">
        <is>
          <t>Покупка</t>
        </is>
      </c>
      <c r="B1268" s="21" t="inlineStr">
        <is>
          <t>Загородная</t>
        </is>
      </c>
      <c r="C1268" s="21" t="inlineStr">
        <is>
          <t>Раменское</t>
        </is>
      </c>
      <c r="D1268" s="22" t="n">
        <v>223</v>
      </c>
    </row>
    <row r="1269">
      <c r="A1269" s="21" t="inlineStr">
        <is>
          <t>Покупка</t>
        </is>
      </c>
      <c r="B1269" s="21" t="inlineStr">
        <is>
          <t>Загородная</t>
        </is>
      </c>
      <c r="C1269" s="21" t="inlineStr">
        <is>
          <t>Ростов-на-Дону</t>
        </is>
      </c>
      <c r="D1269" s="22" t="n">
        <v>8163</v>
      </c>
    </row>
    <row r="1270">
      <c r="A1270" s="21" t="inlineStr">
        <is>
          <t>Покупка</t>
        </is>
      </c>
      <c r="B1270" s="21" t="inlineStr">
        <is>
          <t>Загородная</t>
        </is>
      </c>
      <c r="C1270" s="21" t="inlineStr">
        <is>
          <t>Рязань</t>
        </is>
      </c>
      <c r="D1270" s="22" t="n">
        <v>472</v>
      </c>
    </row>
    <row r="1271">
      <c r="A1271" s="21" t="inlineStr">
        <is>
          <t>Покупка</t>
        </is>
      </c>
      <c r="B1271" s="21" t="inlineStr">
        <is>
          <t>Загородная</t>
        </is>
      </c>
      <c r="C1271" s="21" t="inlineStr">
        <is>
          <t>Салехард</t>
        </is>
      </c>
      <c r="D1271" s="22" t="n">
        <v>191</v>
      </c>
    </row>
    <row r="1272">
      <c r="A1272" s="21" t="inlineStr">
        <is>
          <t>Покупка</t>
        </is>
      </c>
      <c r="B1272" s="21" t="inlineStr">
        <is>
          <t>Загородная</t>
        </is>
      </c>
      <c r="C1272" s="21" t="inlineStr">
        <is>
          <t>Самара</t>
        </is>
      </c>
      <c r="D1272" s="22" t="n">
        <v>1313</v>
      </c>
    </row>
    <row r="1273">
      <c r="A1273" s="21" t="inlineStr">
        <is>
          <t>Покупка</t>
        </is>
      </c>
      <c r="B1273" s="21" t="inlineStr">
        <is>
          <t>Загородная</t>
        </is>
      </c>
      <c r="C1273" s="21" t="inlineStr">
        <is>
          <t>Саранск</t>
        </is>
      </c>
      <c r="D1273" s="22" t="n">
        <v>201</v>
      </c>
    </row>
    <row r="1274">
      <c r="A1274" s="21" t="inlineStr">
        <is>
          <t>Покупка</t>
        </is>
      </c>
      <c r="B1274" s="21" t="inlineStr">
        <is>
          <t>Загородная</t>
        </is>
      </c>
      <c r="C1274" s="21" t="inlineStr">
        <is>
          <t>Саратов</t>
        </is>
      </c>
      <c r="D1274" s="22" t="n">
        <v>1989</v>
      </c>
    </row>
    <row r="1275">
      <c r="A1275" s="21" t="inlineStr">
        <is>
          <t>Покупка</t>
        </is>
      </c>
      <c r="B1275" s="21" t="inlineStr">
        <is>
          <t>Загородная</t>
        </is>
      </c>
      <c r="C1275" s="21" t="inlineStr">
        <is>
          <t>Сергиев Посад</t>
        </is>
      </c>
      <c r="D1275" s="22" t="n">
        <v>199</v>
      </c>
    </row>
    <row r="1276">
      <c r="A1276" s="21" t="inlineStr">
        <is>
          <t>Покупка</t>
        </is>
      </c>
      <c r="B1276" s="21" t="inlineStr">
        <is>
          <t>Загородная</t>
        </is>
      </c>
      <c r="C1276" s="21" t="inlineStr">
        <is>
          <t>Серпухов</t>
        </is>
      </c>
      <c r="D1276" s="22" t="n">
        <v>27</v>
      </c>
    </row>
    <row r="1277">
      <c r="A1277" s="21" t="inlineStr">
        <is>
          <t>Покупка</t>
        </is>
      </c>
      <c r="B1277" s="21" t="inlineStr">
        <is>
          <t>Загородная</t>
        </is>
      </c>
      <c r="C1277" s="21" t="inlineStr">
        <is>
          <t>Севастополь</t>
        </is>
      </c>
      <c r="D1277" s="22" t="n">
        <v>9425</v>
      </c>
    </row>
    <row r="1278">
      <c r="A1278" s="21" t="inlineStr">
        <is>
          <t>Покупка</t>
        </is>
      </c>
      <c r="B1278" s="21" t="inlineStr">
        <is>
          <t>Загородная</t>
        </is>
      </c>
      <c r="C1278" s="21" t="inlineStr">
        <is>
          <t>Северодвинск</t>
        </is>
      </c>
      <c r="D1278" s="22" t="n">
        <v>118</v>
      </c>
    </row>
    <row r="1279">
      <c r="A1279" s="21" t="inlineStr">
        <is>
          <t>Покупка</t>
        </is>
      </c>
      <c r="B1279" s="21" t="inlineStr">
        <is>
          <t>Загородная</t>
        </is>
      </c>
      <c r="C1279" s="21" t="inlineStr">
        <is>
          <t>Симферополь</t>
        </is>
      </c>
      <c r="D1279" s="22" t="n">
        <v>1640</v>
      </c>
    </row>
    <row r="1280">
      <c r="A1280" s="21" t="inlineStr">
        <is>
          <t>Покупка</t>
        </is>
      </c>
      <c r="B1280" s="21" t="inlineStr">
        <is>
          <t>Загородная</t>
        </is>
      </c>
      <c r="C1280" s="21" t="inlineStr">
        <is>
          <t>Смоленск</t>
        </is>
      </c>
      <c r="D1280" s="22" t="n">
        <v>611</v>
      </c>
    </row>
    <row r="1281">
      <c r="A1281" s="21" t="inlineStr">
        <is>
          <t>Покупка</t>
        </is>
      </c>
      <c r="B1281" s="21" t="inlineStr">
        <is>
          <t>Загородная</t>
        </is>
      </c>
      <c r="C1281" s="21" t="inlineStr">
        <is>
          <t>Сочи</t>
        </is>
      </c>
      <c r="D1281" s="22" t="n">
        <v>2106</v>
      </c>
    </row>
    <row r="1282">
      <c r="A1282" s="21" t="inlineStr">
        <is>
          <t>Покупка</t>
        </is>
      </c>
      <c r="B1282" s="21" t="inlineStr">
        <is>
          <t>Загородная</t>
        </is>
      </c>
      <c r="C1282" s="21" t="inlineStr">
        <is>
          <t>Санкт-Петербург</t>
        </is>
      </c>
      <c r="D1282" s="22" t="n">
        <v>1959</v>
      </c>
    </row>
    <row r="1283">
      <c r="A1283" s="21" t="inlineStr">
        <is>
          <t>Покупка</t>
        </is>
      </c>
      <c r="B1283" s="21" t="inlineStr">
        <is>
          <t>Загородная</t>
        </is>
      </c>
      <c r="C1283" s="21" t="inlineStr">
        <is>
          <t>Старый Оскол</t>
        </is>
      </c>
      <c r="D1283" s="22" t="n">
        <v>2176</v>
      </c>
    </row>
    <row r="1284">
      <c r="A1284" s="21" t="inlineStr">
        <is>
          <t>Покупка</t>
        </is>
      </c>
      <c r="B1284" s="21" t="inlineStr">
        <is>
          <t>Загородная</t>
        </is>
      </c>
      <c r="C1284" s="21" t="inlineStr">
        <is>
          <t>Ставрополь</t>
        </is>
      </c>
      <c r="D1284" s="22" t="n">
        <v>2969</v>
      </c>
    </row>
    <row r="1285">
      <c r="A1285" s="21" t="inlineStr">
        <is>
          <t>Покупка</t>
        </is>
      </c>
      <c r="B1285" s="21" t="inlineStr">
        <is>
          <t>Загородная</t>
        </is>
      </c>
      <c r="C1285" s="21" t="inlineStr">
        <is>
          <t>Стерлитамак</t>
        </is>
      </c>
      <c r="D1285" s="22" t="n">
        <v>1448</v>
      </c>
    </row>
    <row r="1286">
      <c r="A1286" s="21" t="inlineStr">
        <is>
          <t>Покупка</t>
        </is>
      </c>
      <c r="B1286" s="21" t="inlineStr">
        <is>
          <t>Загородная</t>
        </is>
      </c>
      <c r="C1286" s="21" t="inlineStr">
        <is>
          <t>Сургут</t>
        </is>
      </c>
      <c r="D1286" s="22" t="n">
        <v>2226</v>
      </c>
    </row>
    <row r="1287">
      <c r="A1287" s="21" t="inlineStr">
        <is>
          <t>Покупка</t>
        </is>
      </c>
      <c r="B1287" s="21" t="inlineStr">
        <is>
          <t>Загородная</t>
        </is>
      </c>
      <c r="C1287" s="21" t="inlineStr">
        <is>
          <t>Сыктывкар</t>
        </is>
      </c>
      <c r="D1287" s="22" t="n">
        <v>509</v>
      </c>
    </row>
    <row r="1288">
      <c r="A1288" s="21" t="inlineStr">
        <is>
          <t>Покупка</t>
        </is>
      </c>
      <c r="B1288" s="21" t="inlineStr">
        <is>
          <t>Загородная</t>
        </is>
      </c>
      <c r="C1288" s="21" t="inlineStr">
        <is>
          <t>Тамбов</t>
        </is>
      </c>
      <c r="D1288" s="22" t="n">
        <v>609</v>
      </c>
    </row>
    <row r="1289">
      <c r="A1289" s="21" t="inlineStr">
        <is>
          <t>Покупка</t>
        </is>
      </c>
      <c r="B1289" s="21" t="inlineStr">
        <is>
          <t>Загородная</t>
        </is>
      </c>
      <c r="C1289" s="21" t="inlineStr">
        <is>
          <t>Тольятти</t>
        </is>
      </c>
      <c r="D1289" s="22" t="n">
        <v>431</v>
      </c>
    </row>
    <row r="1290">
      <c r="A1290" s="21" t="inlineStr">
        <is>
          <t>Покупка</t>
        </is>
      </c>
      <c r="B1290" s="21" t="inlineStr">
        <is>
          <t>Загородная</t>
        </is>
      </c>
      <c r="C1290" s="21" t="inlineStr">
        <is>
          <t>Томск</t>
        </is>
      </c>
      <c r="D1290" s="22" t="n">
        <v>1186</v>
      </c>
    </row>
    <row r="1291">
      <c r="A1291" s="21" t="inlineStr">
        <is>
          <t>Покупка</t>
        </is>
      </c>
      <c r="B1291" s="21" t="inlineStr">
        <is>
          <t>Загородная</t>
        </is>
      </c>
      <c r="C1291" s="21" t="inlineStr">
        <is>
          <t>Тула</t>
        </is>
      </c>
      <c r="D1291" s="22" t="n">
        <v>1250</v>
      </c>
    </row>
    <row r="1292">
      <c r="A1292" s="21" t="inlineStr">
        <is>
          <t>Покупка</t>
        </is>
      </c>
      <c r="B1292" s="21" t="inlineStr">
        <is>
          <t>Загородная</t>
        </is>
      </c>
      <c r="C1292" s="21" t="inlineStr">
        <is>
          <t>Тверь</t>
        </is>
      </c>
      <c r="D1292" s="22" t="n">
        <v>379</v>
      </c>
    </row>
    <row r="1293">
      <c r="A1293" s="21" t="inlineStr">
        <is>
          <t>Покупка</t>
        </is>
      </c>
      <c r="B1293" s="21" t="inlineStr">
        <is>
          <t>Загородная</t>
        </is>
      </c>
      <c r="C1293" s="21" t="inlineStr">
        <is>
          <t>Тюмень</t>
        </is>
      </c>
      <c r="D1293" s="22" t="n">
        <v>17303</v>
      </c>
    </row>
    <row r="1294">
      <c r="A1294" s="21" t="inlineStr">
        <is>
          <t>Покупка</t>
        </is>
      </c>
      <c r="B1294" s="21" t="inlineStr">
        <is>
          <t>Загородная</t>
        </is>
      </c>
      <c r="C1294" s="21" t="inlineStr">
        <is>
          <t>Уфа</t>
        </is>
      </c>
      <c r="D1294" s="22" t="n">
        <v>4689</v>
      </c>
    </row>
    <row r="1295">
      <c r="A1295" s="21" t="inlineStr">
        <is>
          <t>Покупка</t>
        </is>
      </c>
      <c r="B1295" s="21" t="inlineStr">
        <is>
          <t>Загородная</t>
        </is>
      </c>
      <c r="C1295" s="21" t="inlineStr">
        <is>
          <t>Улан-Удэ</t>
        </is>
      </c>
      <c r="D1295" s="22" t="n">
        <v>3118</v>
      </c>
    </row>
    <row r="1296">
      <c r="A1296" s="21" t="inlineStr">
        <is>
          <t>Покупка</t>
        </is>
      </c>
      <c r="B1296" s="21" t="inlineStr">
        <is>
          <t>Загородная</t>
        </is>
      </c>
      <c r="C1296" s="21" t="inlineStr">
        <is>
          <t>Ульяновск</t>
        </is>
      </c>
      <c r="D1296" s="22" t="n">
        <v>1309</v>
      </c>
    </row>
    <row r="1297">
      <c r="A1297" s="21" t="inlineStr">
        <is>
          <t>Покупка</t>
        </is>
      </c>
      <c r="B1297" s="21" t="inlineStr">
        <is>
          <t>Загородная</t>
        </is>
      </c>
      <c r="C1297" s="21" t="inlineStr">
        <is>
          <t>Великий Новгород</t>
        </is>
      </c>
      <c r="D1297" s="22" t="n">
        <v>128</v>
      </c>
    </row>
    <row r="1298">
      <c r="A1298" s="21" t="inlineStr">
        <is>
          <t>Покупка</t>
        </is>
      </c>
      <c r="B1298" s="21" t="inlineStr">
        <is>
          <t>Загородная</t>
        </is>
      </c>
      <c r="C1298" s="21" t="inlineStr">
        <is>
          <t>Владикавказ</t>
        </is>
      </c>
      <c r="D1298" s="22" t="n">
        <v>854</v>
      </c>
    </row>
    <row r="1299">
      <c r="A1299" s="21" t="inlineStr">
        <is>
          <t>Покупка</t>
        </is>
      </c>
      <c r="B1299" s="21" t="inlineStr">
        <is>
          <t>Загородная</t>
        </is>
      </c>
      <c r="C1299" s="21" t="inlineStr">
        <is>
          <t>Владимир</t>
        </is>
      </c>
      <c r="D1299" s="22" t="n">
        <v>786</v>
      </c>
    </row>
    <row r="1300">
      <c r="A1300" s="21" t="inlineStr">
        <is>
          <t>Покупка</t>
        </is>
      </c>
      <c r="B1300" s="21" t="inlineStr">
        <is>
          <t>Загородная</t>
        </is>
      </c>
      <c r="C1300" s="21" t="inlineStr">
        <is>
          <t>Владивосток</t>
        </is>
      </c>
      <c r="D1300" s="22" t="n">
        <v>679</v>
      </c>
    </row>
    <row r="1301">
      <c r="A1301" s="21" t="inlineStr">
        <is>
          <t>Покупка</t>
        </is>
      </c>
      <c r="B1301" s="21" t="inlineStr">
        <is>
          <t>Загородная</t>
        </is>
      </c>
      <c r="C1301" s="21" t="inlineStr">
        <is>
          <t>Волгоград</t>
        </is>
      </c>
      <c r="D1301" s="22" t="n">
        <v>2899</v>
      </c>
    </row>
    <row r="1302">
      <c r="A1302" s="21" t="inlineStr">
        <is>
          <t>Покупка</t>
        </is>
      </c>
      <c r="B1302" s="21" t="inlineStr">
        <is>
          <t>Загородная</t>
        </is>
      </c>
      <c r="C1302" s="21" t="inlineStr">
        <is>
          <t>Вологда</t>
        </is>
      </c>
      <c r="D1302" s="22" t="n">
        <v>465</v>
      </c>
    </row>
    <row r="1303">
      <c r="A1303" s="21" t="inlineStr">
        <is>
          <t>Покупка</t>
        </is>
      </c>
      <c r="B1303" s="21" t="inlineStr">
        <is>
          <t>Загородная</t>
        </is>
      </c>
      <c r="C1303" s="21" t="inlineStr">
        <is>
          <t>Волжский</t>
        </is>
      </c>
      <c r="D1303" s="22" t="n">
        <v>538</v>
      </c>
    </row>
    <row r="1304">
      <c r="A1304" s="21" t="inlineStr">
        <is>
          <t>Покупка</t>
        </is>
      </c>
      <c r="B1304" s="21" t="inlineStr">
        <is>
          <t>Загородная</t>
        </is>
      </c>
      <c r="C1304" s="21" t="inlineStr">
        <is>
          <t>Воронеж</t>
        </is>
      </c>
      <c r="D1304" s="22" t="n">
        <v>1789</v>
      </c>
    </row>
    <row r="1305">
      <c r="A1305" s="21" t="inlineStr">
        <is>
          <t>Покупка</t>
        </is>
      </c>
      <c r="B1305" s="21" t="inlineStr">
        <is>
          <t>Загородная</t>
        </is>
      </c>
      <c r="C1305" s="21" t="inlineStr">
        <is>
          <t>Хабаровск</t>
        </is>
      </c>
      <c r="D1305" s="22" t="n">
        <v>1368</v>
      </c>
    </row>
    <row r="1306">
      <c r="A1306" s="21" t="inlineStr">
        <is>
          <t>Покупка</t>
        </is>
      </c>
      <c r="B1306" s="21" t="inlineStr">
        <is>
          <t>Загородная</t>
        </is>
      </c>
      <c r="C1306" s="21" t="inlineStr">
        <is>
          <t>Ханты-Мансийск</t>
        </is>
      </c>
      <c r="D1306" s="22" t="n">
        <v>834</v>
      </c>
    </row>
    <row r="1307">
      <c r="A1307" s="21" t="inlineStr">
        <is>
          <t>Покупка</t>
        </is>
      </c>
      <c r="B1307" s="21" t="inlineStr">
        <is>
          <t>Загородная</t>
        </is>
      </c>
      <c r="C1307" s="21" t="inlineStr">
        <is>
          <t>Химки</t>
        </is>
      </c>
      <c r="D1307" s="22" t="n">
        <v>196</v>
      </c>
    </row>
    <row r="1308">
      <c r="A1308" s="21" t="inlineStr">
        <is>
          <t>Покупка</t>
        </is>
      </c>
      <c r="B1308" s="21" t="inlineStr">
        <is>
          <t>Загородная</t>
        </is>
      </c>
      <c r="C1308" s="21" t="inlineStr">
        <is>
          <t>Якутск</t>
        </is>
      </c>
      <c r="D1308" s="22" t="n">
        <v>3081</v>
      </c>
    </row>
    <row r="1309">
      <c r="A1309" s="21" t="inlineStr">
        <is>
          <t>Покупка</t>
        </is>
      </c>
      <c r="B1309" s="21" t="inlineStr">
        <is>
          <t>Загородная</t>
        </is>
      </c>
      <c r="C1309" s="21" t="inlineStr">
        <is>
          <t>Ярославль</t>
        </is>
      </c>
      <c r="D1309" s="22" t="n">
        <v>724</v>
      </c>
    </row>
    <row r="1310">
      <c r="A1310" s="21" t="inlineStr">
        <is>
          <t>Покупка</t>
        </is>
      </c>
      <c r="B1310" s="21" t="inlineStr">
        <is>
          <t>Загородная</t>
        </is>
      </c>
      <c r="C1310" s="21" t="inlineStr">
        <is>
          <t>Южно-Сахалинск</t>
        </is>
      </c>
      <c r="D1310" s="22" t="n">
        <v>2244</v>
      </c>
    </row>
    <row r="1311">
      <c r="A1311" s="21" t="inlineStr">
        <is>
          <t>Покупка</t>
        </is>
      </c>
      <c r="B1311" s="21" t="inlineStr">
        <is>
          <t>Загородная</t>
        </is>
      </c>
      <c r="C1311" s="21" t="inlineStr">
        <is>
          <t>Жуковский</t>
        </is>
      </c>
      <c r="D1311" s="22" t="n">
        <v>191</v>
      </c>
    </row>
    <row r="1312">
      <c r="A1312" s="27" t="inlineStr">
        <is>
          <t>Покупка</t>
        </is>
      </c>
      <c r="B1312" s="17" t="inlineStr">
        <is>
          <t>Элитная</t>
        </is>
      </c>
      <c r="C1312" s="28" t="inlineStr">
        <is>
          <t>Абакан</t>
        </is>
      </c>
      <c r="D1312" s="19" t="n">
        <v>1784</v>
      </c>
    </row>
    <row r="1313">
      <c r="A1313" s="21" t="inlineStr">
        <is>
          <t>Покупка</t>
        </is>
      </c>
      <c r="B1313" s="21" t="inlineStr">
        <is>
          <t>Элитная</t>
        </is>
      </c>
      <c r="C1313" s="21" t="inlineStr">
        <is>
          <t>Анадырь</t>
        </is>
      </c>
      <c r="D1313" s="22" t="n">
        <v>18</v>
      </c>
    </row>
    <row r="1314">
      <c r="A1314" s="21" t="inlineStr">
        <is>
          <t>Покупка</t>
        </is>
      </c>
      <c r="B1314" s="21" t="inlineStr">
        <is>
          <t>Элитная</t>
        </is>
      </c>
      <c r="C1314" s="21" t="inlineStr">
        <is>
          <t>Архангельск</t>
        </is>
      </c>
      <c r="D1314" s="22" t="n">
        <v>1976</v>
      </c>
    </row>
    <row r="1315">
      <c r="A1315" s="21" t="inlineStr">
        <is>
          <t>Покупка</t>
        </is>
      </c>
      <c r="B1315" s="21" t="inlineStr">
        <is>
          <t>Элитная</t>
        </is>
      </c>
      <c r="C1315" s="21" t="inlineStr">
        <is>
          <t>Астрахань</t>
        </is>
      </c>
      <c r="D1315" s="22" t="n">
        <v>4516</v>
      </c>
    </row>
    <row r="1316">
      <c r="A1316" s="21" t="inlineStr">
        <is>
          <t>Покупка</t>
        </is>
      </c>
      <c r="B1316" s="21" t="inlineStr">
        <is>
          <t>Элитная</t>
        </is>
      </c>
      <c r="C1316" s="21" t="inlineStr">
        <is>
          <t>Балашиха</t>
        </is>
      </c>
      <c r="D1316" s="22" t="n">
        <v>918</v>
      </c>
    </row>
    <row r="1317">
      <c r="A1317" s="21" t="inlineStr">
        <is>
          <t>Покупка</t>
        </is>
      </c>
      <c r="B1317" s="21" t="inlineStr">
        <is>
          <t>Элитная</t>
        </is>
      </c>
      <c r="C1317" s="21" t="inlineStr">
        <is>
          <t>Барнаул</t>
        </is>
      </c>
      <c r="D1317" s="22" t="n">
        <v>1243</v>
      </c>
    </row>
    <row r="1318">
      <c r="A1318" s="21" t="inlineStr">
        <is>
          <t>Покупка</t>
        </is>
      </c>
      <c r="B1318" s="21" t="inlineStr">
        <is>
          <t>Элитная</t>
        </is>
      </c>
      <c r="C1318" s="21" t="inlineStr">
        <is>
          <t>Белгород</t>
        </is>
      </c>
      <c r="D1318" s="22" t="n">
        <v>915</v>
      </c>
    </row>
    <row r="1319">
      <c r="A1319" s="21" t="inlineStr">
        <is>
          <t>Покупка</t>
        </is>
      </c>
      <c r="B1319" s="21" t="inlineStr">
        <is>
          <t>Элитная</t>
        </is>
      </c>
      <c r="C1319" s="21" t="inlineStr">
        <is>
          <t>Биробиджан</t>
        </is>
      </c>
      <c r="D1319" s="22" t="n">
        <v>59</v>
      </c>
    </row>
    <row r="1320">
      <c r="A1320" s="21" t="inlineStr">
        <is>
          <t>Покупка</t>
        </is>
      </c>
      <c r="B1320" s="21" t="inlineStr">
        <is>
          <t>Элитная</t>
        </is>
      </c>
      <c r="C1320" s="21" t="inlineStr">
        <is>
          <t>Благовещенск</t>
        </is>
      </c>
      <c r="D1320" s="22" t="n">
        <v>635</v>
      </c>
    </row>
    <row r="1321">
      <c r="A1321" s="21" t="inlineStr">
        <is>
          <t>Покупка</t>
        </is>
      </c>
      <c r="B1321" s="21" t="inlineStr">
        <is>
          <t>Элитная</t>
        </is>
      </c>
      <c r="C1321" s="21" t="inlineStr">
        <is>
          <t>Братск</t>
        </is>
      </c>
      <c r="D1321" s="22" t="n">
        <v>202</v>
      </c>
    </row>
    <row r="1322">
      <c r="A1322" s="21" t="inlineStr">
        <is>
          <t>Покупка</t>
        </is>
      </c>
      <c r="B1322" s="21" t="inlineStr">
        <is>
          <t>Элитная</t>
        </is>
      </c>
      <c r="C1322" s="21" t="inlineStr">
        <is>
          <t>Брянск</t>
        </is>
      </c>
      <c r="D1322" s="22" t="n">
        <v>1606</v>
      </c>
    </row>
    <row r="1323">
      <c r="A1323" s="21" t="inlineStr">
        <is>
          <t>Покупка</t>
        </is>
      </c>
      <c r="B1323" s="21" t="inlineStr">
        <is>
          <t>Элитная</t>
        </is>
      </c>
      <c r="C1323" s="21" t="inlineStr">
        <is>
          <t>Чебоксары</t>
        </is>
      </c>
      <c r="D1323" s="22" t="n">
        <v>1062</v>
      </c>
    </row>
    <row r="1324">
      <c r="A1324" s="21" t="inlineStr">
        <is>
          <t>Покупка</t>
        </is>
      </c>
      <c r="B1324" s="21" t="inlineStr">
        <is>
          <t>Элитная</t>
        </is>
      </c>
      <c r="C1324" s="21" t="inlineStr">
        <is>
          <t>Челябинск</t>
        </is>
      </c>
      <c r="D1324" s="22" t="n">
        <v>4045</v>
      </c>
    </row>
    <row r="1325">
      <c r="A1325" s="21" t="inlineStr">
        <is>
          <t>Покупка</t>
        </is>
      </c>
      <c r="B1325" s="21" t="inlineStr">
        <is>
          <t>Элитная</t>
        </is>
      </c>
      <c r="C1325" s="21" t="inlineStr">
        <is>
          <t>Череповец</t>
        </is>
      </c>
      <c r="D1325" s="22" t="n">
        <v>878</v>
      </c>
    </row>
    <row r="1326">
      <c r="A1326" s="21" t="inlineStr">
        <is>
          <t>Покупка</t>
        </is>
      </c>
      <c r="B1326" s="21" t="inlineStr">
        <is>
          <t>Элитная</t>
        </is>
      </c>
      <c r="C1326" s="21" t="inlineStr">
        <is>
          <t>Черкесск</t>
        </is>
      </c>
      <c r="D1326" s="22" t="n">
        <v>227</v>
      </c>
    </row>
    <row r="1327">
      <c r="A1327" s="21" t="inlineStr">
        <is>
          <t>Покупка</t>
        </is>
      </c>
      <c r="B1327" s="21" t="inlineStr">
        <is>
          <t>Элитная</t>
        </is>
      </c>
      <c r="C1327" s="21" t="inlineStr">
        <is>
          <t>Чита</t>
        </is>
      </c>
      <c r="D1327" s="22" t="n">
        <v>1830</v>
      </c>
    </row>
    <row r="1328">
      <c r="A1328" s="21" t="inlineStr">
        <is>
          <t>Покупка</t>
        </is>
      </c>
      <c r="B1328" s="21" t="inlineStr">
        <is>
          <t>Элитная</t>
        </is>
      </c>
      <c r="C1328" s="21" t="inlineStr">
        <is>
          <t>Долгопрудный</t>
        </is>
      </c>
      <c r="D1328" s="22" t="n">
        <v>70</v>
      </c>
    </row>
    <row r="1329">
      <c r="A1329" s="21" t="inlineStr">
        <is>
          <t>Покупка</t>
        </is>
      </c>
      <c r="B1329" s="21" t="inlineStr">
        <is>
          <t>Элитная</t>
        </is>
      </c>
      <c r="C1329" s="21" t="inlineStr">
        <is>
          <t>Домодедово</t>
        </is>
      </c>
      <c r="D1329" s="22" t="n">
        <v>699</v>
      </c>
    </row>
    <row r="1330">
      <c r="A1330" s="21" t="inlineStr">
        <is>
          <t>Покупка</t>
        </is>
      </c>
      <c r="B1330" s="21" t="inlineStr">
        <is>
          <t>Элитная</t>
        </is>
      </c>
      <c r="C1330" s="21" t="inlineStr">
        <is>
          <t>Дзержинск</t>
        </is>
      </c>
      <c r="D1330" s="22" t="n">
        <v>209</v>
      </c>
    </row>
    <row r="1331">
      <c r="A1331" s="21" t="inlineStr">
        <is>
          <t>Покупка</t>
        </is>
      </c>
      <c r="B1331" s="21" t="inlineStr">
        <is>
          <t>Элитная</t>
        </is>
      </c>
      <c r="C1331" s="21" t="inlineStr">
        <is>
          <t>Екатеринбург</t>
        </is>
      </c>
      <c r="D1331" s="22" t="n">
        <v>13048</v>
      </c>
    </row>
    <row r="1332">
      <c r="A1332" s="21" t="inlineStr">
        <is>
          <t>Покупка</t>
        </is>
      </c>
      <c r="B1332" s="21" t="inlineStr">
        <is>
          <t>Элитная</t>
        </is>
      </c>
      <c r="C1332" s="21" t="inlineStr">
        <is>
          <t>Электросталь</t>
        </is>
      </c>
      <c r="D1332" s="22" t="n">
        <v>159</v>
      </c>
    </row>
    <row r="1333">
      <c r="A1333" s="21" t="inlineStr">
        <is>
          <t>Покупка</t>
        </is>
      </c>
      <c r="B1333" s="21" t="inlineStr">
        <is>
          <t>Элитная</t>
        </is>
      </c>
      <c r="C1333" s="21" t="inlineStr">
        <is>
          <t>Элиста</t>
        </is>
      </c>
      <c r="D1333" s="22" t="n">
        <v>78</v>
      </c>
    </row>
    <row r="1334">
      <c r="A1334" s="21" t="inlineStr">
        <is>
          <t>Покупка</t>
        </is>
      </c>
      <c r="B1334" s="21" t="inlineStr">
        <is>
          <t>Элитная</t>
        </is>
      </c>
      <c r="C1334" s="21" t="inlineStr">
        <is>
          <t>Энгельс</t>
        </is>
      </c>
      <c r="D1334" s="22" t="n">
        <v>1152</v>
      </c>
    </row>
    <row r="1335">
      <c r="A1335" s="21" t="inlineStr">
        <is>
          <t>Покупка</t>
        </is>
      </c>
      <c r="B1335" s="21" t="inlineStr">
        <is>
          <t>Элитная</t>
        </is>
      </c>
      <c r="C1335" s="21" t="inlineStr">
        <is>
          <t>Горно-Алтайск</t>
        </is>
      </c>
      <c r="D1335" s="22" t="n">
        <v>293</v>
      </c>
    </row>
    <row r="1336">
      <c r="A1336" s="21" t="inlineStr">
        <is>
          <t>Покупка</t>
        </is>
      </c>
      <c r="B1336" s="21" t="inlineStr">
        <is>
          <t>Элитная</t>
        </is>
      </c>
      <c r="C1336" s="21" t="inlineStr">
        <is>
          <t>Грозный</t>
        </is>
      </c>
      <c r="D1336" s="22" t="n">
        <v>170</v>
      </c>
    </row>
    <row r="1337">
      <c r="A1337" s="21" t="inlineStr">
        <is>
          <t>Покупка</t>
        </is>
      </c>
      <c r="B1337" s="21" t="inlineStr">
        <is>
          <t>Элитная</t>
        </is>
      </c>
      <c r="C1337" s="21" t="inlineStr">
        <is>
          <t>Иркутск</t>
        </is>
      </c>
      <c r="D1337" s="22" t="n">
        <v>2491</v>
      </c>
    </row>
    <row r="1338">
      <c r="A1338" s="21" t="inlineStr">
        <is>
          <t>Покупка</t>
        </is>
      </c>
      <c r="B1338" s="21" t="inlineStr">
        <is>
          <t>Элитная</t>
        </is>
      </c>
      <c r="C1338" s="21" t="inlineStr">
        <is>
          <t>Иваново</t>
        </is>
      </c>
      <c r="D1338" s="22" t="n">
        <v>1364</v>
      </c>
    </row>
    <row r="1339">
      <c r="A1339" s="21" t="inlineStr">
        <is>
          <t>Покупка</t>
        </is>
      </c>
      <c r="B1339" s="21" t="inlineStr">
        <is>
          <t>Элитная</t>
        </is>
      </c>
      <c r="C1339" s="21" t="inlineStr">
        <is>
          <t>Ижевск</t>
        </is>
      </c>
      <c r="D1339" s="22" t="n">
        <v>2850</v>
      </c>
    </row>
    <row r="1340">
      <c r="A1340" s="21" t="inlineStr">
        <is>
          <t>Покупка</t>
        </is>
      </c>
      <c r="B1340" s="21" t="inlineStr">
        <is>
          <t>Элитная</t>
        </is>
      </c>
      <c r="C1340" s="21" t="inlineStr">
        <is>
          <t>Йошкар-Ола</t>
        </is>
      </c>
      <c r="D1340" s="22" t="n">
        <v>892</v>
      </c>
    </row>
    <row r="1341">
      <c r="A1341" s="21" t="inlineStr">
        <is>
          <t>Покупка</t>
        </is>
      </c>
      <c r="B1341" s="21" t="inlineStr">
        <is>
          <t>Элитная</t>
        </is>
      </c>
      <c r="C1341" s="21" t="inlineStr">
        <is>
          <t>Калининград</t>
        </is>
      </c>
      <c r="D1341" s="22" t="n">
        <v>2256</v>
      </c>
    </row>
    <row r="1342">
      <c r="A1342" s="21" t="inlineStr">
        <is>
          <t>Покупка</t>
        </is>
      </c>
      <c r="B1342" s="21" t="inlineStr">
        <is>
          <t>Элитная</t>
        </is>
      </c>
      <c r="C1342" s="21" t="inlineStr">
        <is>
          <t>Калуга</t>
        </is>
      </c>
      <c r="D1342" s="22" t="n">
        <v>1829</v>
      </c>
    </row>
    <row r="1343">
      <c r="A1343" s="21" t="inlineStr">
        <is>
          <t>Покупка</t>
        </is>
      </c>
      <c r="B1343" s="21" t="inlineStr">
        <is>
          <t>Элитная</t>
        </is>
      </c>
      <c r="C1343" s="21" t="inlineStr">
        <is>
          <t>Казань</t>
        </is>
      </c>
      <c r="D1343" s="22" t="n">
        <v>5333</v>
      </c>
    </row>
    <row r="1344">
      <c r="A1344" s="21" t="inlineStr">
        <is>
          <t>Покупка</t>
        </is>
      </c>
      <c r="B1344" s="21" t="inlineStr">
        <is>
          <t>Элитная</t>
        </is>
      </c>
      <c r="C1344" s="21" t="inlineStr">
        <is>
          <t>Кемерово</t>
        </is>
      </c>
      <c r="D1344" s="22" t="n">
        <v>2902</v>
      </c>
    </row>
    <row r="1345">
      <c r="A1345" s="21" t="inlineStr">
        <is>
          <t>Покупка</t>
        </is>
      </c>
      <c r="B1345" s="21" t="inlineStr">
        <is>
          <t>Элитная</t>
        </is>
      </c>
      <c r="C1345" s="21" t="inlineStr">
        <is>
          <t>Киров</t>
        </is>
      </c>
      <c r="D1345" s="22" t="n">
        <v>1645</v>
      </c>
    </row>
    <row r="1346">
      <c r="A1346" s="21" t="inlineStr">
        <is>
          <t>Покупка</t>
        </is>
      </c>
      <c r="B1346" s="21" t="inlineStr">
        <is>
          <t>Элитная</t>
        </is>
      </c>
      <c r="C1346" s="21" t="inlineStr">
        <is>
          <t>Коломна</t>
        </is>
      </c>
      <c r="D1346" s="22" t="n">
        <v>79</v>
      </c>
    </row>
    <row r="1347">
      <c r="A1347" s="21" t="inlineStr">
        <is>
          <t>Покупка</t>
        </is>
      </c>
      <c r="B1347" s="21" t="inlineStr">
        <is>
          <t>Элитная</t>
        </is>
      </c>
      <c r="C1347" s="21" t="inlineStr">
        <is>
          <t>Комсомольск-на-Амуре</t>
        </is>
      </c>
      <c r="D1347" s="22" t="n">
        <v>314</v>
      </c>
    </row>
    <row r="1348">
      <c r="A1348" s="21" t="inlineStr">
        <is>
          <t>Покупка</t>
        </is>
      </c>
      <c r="B1348" s="21" t="inlineStr">
        <is>
          <t>Элитная</t>
        </is>
      </c>
      <c r="C1348" s="21" t="inlineStr">
        <is>
          <t>Королёв</t>
        </is>
      </c>
      <c r="D1348" s="22" t="n">
        <v>385</v>
      </c>
    </row>
    <row r="1349">
      <c r="A1349" s="21" t="inlineStr">
        <is>
          <t>Покупка</t>
        </is>
      </c>
      <c r="B1349" s="21" t="inlineStr">
        <is>
          <t>Элитная</t>
        </is>
      </c>
      <c r="C1349" s="21" t="inlineStr">
        <is>
          <t>Кострома</t>
        </is>
      </c>
      <c r="D1349" s="22" t="n">
        <v>719</v>
      </c>
    </row>
    <row r="1350">
      <c r="A1350" s="21" t="inlineStr">
        <is>
          <t>Покупка</t>
        </is>
      </c>
      <c r="B1350" s="21" t="inlineStr">
        <is>
          <t>Элитная</t>
        </is>
      </c>
      <c r="C1350" s="21" t="inlineStr">
        <is>
          <t>Краснодар</t>
        </is>
      </c>
      <c r="D1350" s="22" t="n">
        <v>13758</v>
      </c>
    </row>
    <row r="1351">
      <c r="A1351" s="21" t="inlineStr">
        <is>
          <t>Покупка</t>
        </is>
      </c>
      <c r="B1351" s="21" t="inlineStr">
        <is>
          <t>Элитная</t>
        </is>
      </c>
      <c r="C1351" s="21" t="inlineStr">
        <is>
          <t>Красногорск</t>
        </is>
      </c>
      <c r="D1351" s="22" t="n">
        <v>707</v>
      </c>
    </row>
    <row r="1352">
      <c r="A1352" s="21" t="inlineStr">
        <is>
          <t>Покупка</t>
        </is>
      </c>
      <c r="B1352" s="21" t="inlineStr">
        <is>
          <t>Элитная</t>
        </is>
      </c>
      <c r="C1352" s="21" t="inlineStr">
        <is>
          <t>Красноярск</t>
        </is>
      </c>
      <c r="D1352" s="22" t="n">
        <v>5865</v>
      </c>
    </row>
    <row r="1353">
      <c r="A1353" s="21" t="inlineStr">
        <is>
          <t>Покупка</t>
        </is>
      </c>
      <c r="B1353" s="21" t="inlineStr">
        <is>
          <t>Элитная</t>
        </is>
      </c>
      <c r="C1353" s="21" t="inlineStr">
        <is>
          <t>Курган</t>
        </is>
      </c>
      <c r="D1353" s="22" t="n">
        <v>1918</v>
      </c>
    </row>
    <row r="1354">
      <c r="A1354" s="21" t="inlineStr">
        <is>
          <t>Покупка</t>
        </is>
      </c>
      <c r="B1354" s="21" t="inlineStr">
        <is>
          <t>Элитная</t>
        </is>
      </c>
      <c r="C1354" s="21" t="inlineStr">
        <is>
          <t>Курск</t>
        </is>
      </c>
      <c r="D1354" s="22" t="n">
        <v>1606</v>
      </c>
    </row>
    <row r="1355">
      <c r="A1355" s="21" t="inlineStr">
        <is>
          <t>Покупка</t>
        </is>
      </c>
      <c r="B1355" s="21" t="inlineStr">
        <is>
          <t>Элитная</t>
        </is>
      </c>
      <c r="C1355" s="21" t="inlineStr">
        <is>
          <t>Кызыл</t>
        </is>
      </c>
      <c r="D1355" s="22" t="n">
        <v>907</v>
      </c>
    </row>
    <row r="1356">
      <c r="A1356" s="21" t="inlineStr">
        <is>
          <t>Покупка</t>
        </is>
      </c>
      <c r="B1356" s="21" t="inlineStr">
        <is>
          <t>Элитная</t>
        </is>
      </c>
      <c r="C1356" s="21" t="inlineStr">
        <is>
          <t>Липецк</t>
        </is>
      </c>
      <c r="D1356" s="22" t="n">
        <v>2090</v>
      </c>
    </row>
    <row r="1357">
      <c r="A1357" s="21" t="inlineStr">
        <is>
          <t>Покупка</t>
        </is>
      </c>
      <c r="B1357" s="21" t="inlineStr">
        <is>
          <t>Элитная</t>
        </is>
      </c>
      <c r="C1357" s="21" t="inlineStr">
        <is>
          <t>Люберцы</t>
        </is>
      </c>
      <c r="D1357" s="22" t="n">
        <v>345</v>
      </c>
    </row>
    <row r="1358">
      <c r="A1358" s="21" t="inlineStr">
        <is>
          <t>Покупка</t>
        </is>
      </c>
      <c r="B1358" s="21" t="inlineStr">
        <is>
          <t>Элитная</t>
        </is>
      </c>
      <c r="C1358" s="21" t="inlineStr">
        <is>
          <t>Магадан</t>
        </is>
      </c>
      <c r="D1358" s="22" t="n">
        <v>119</v>
      </c>
    </row>
    <row r="1359">
      <c r="A1359" s="21" t="inlineStr">
        <is>
          <t>Покупка</t>
        </is>
      </c>
      <c r="B1359" s="21" t="inlineStr">
        <is>
          <t>Элитная</t>
        </is>
      </c>
      <c r="C1359" s="21" t="inlineStr">
        <is>
          <t>Магнитогорск</t>
        </is>
      </c>
      <c r="D1359" s="22" t="n">
        <v>171</v>
      </c>
    </row>
    <row r="1360">
      <c r="A1360" s="21" t="inlineStr">
        <is>
          <t>Покупка</t>
        </is>
      </c>
      <c r="B1360" s="21" t="inlineStr">
        <is>
          <t>Элитная</t>
        </is>
      </c>
      <c r="C1360" s="21" t="inlineStr">
        <is>
          <t>Майкоп</t>
        </is>
      </c>
      <c r="D1360" s="22" t="n">
        <v>2374</v>
      </c>
    </row>
    <row r="1361">
      <c r="A1361" s="21" t="inlineStr">
        <is>
          <t>Покупка</t>
        </is>
      </c>
      <c r="B1361" s="21" t="inlineStr">
        <is>
          <t>Элитная</t>
        </is>
      </c>
      <c r="C1361" s="21" t="inlineStr">
        <is>
          <t>Махачкала</t>
        </is>
      </c>
      <c r="D1361" s="22" t="n">
        <v>580</v>
      </c>
    </row>
    <row r="1362">
      <c r="A1362" s="21" t="inlineStr">
        <is>
          <t>Покупка</t>
        </is>
      </c>
      <c r="B1362" s="21" t="inlineStr">
        <is>
          <t>Элитная</t>
        </is>
      </c>
      <c r="C1362" s="21" t="inlineStr">
        <is>
          <t>Москва</t>
        </is>
      </c>
      <c r="D1362" s="22" t="n">
        <v>18996</v>
      </c>
    </row>
    <row r="1363">
      <c r="A1363" s="21" t="inlineStr">
        <is>
          <t>Покупка</t>
        </is>
      </c>
      <c r="B1363" s="21" t="inlineStr">
        <is>
          <t>Элитная</t>
        </is>
      </c>
      <c r="C1363" s="21" t="inlineStr">
        <is>
          <t>Мурманск</t>
        </is>
      </c>
      <c r="D1363" s="22" t="n">
        <v>479</v>
      </c>
    </row>
    <row r="1364">
      <c r="A1364" s="21" t="inlineStr">
        <is>
          <t>Покупка</t>
        </is>
      </c>
      <c r="B1364" s="21" t="inlineStr">
        <is>
          <t>Элитная</t>
        </is>
      </c>
      <c r="C1364" s="21" t="inlineStr">
        <is>
          <t>Мытищи</t>
        </is>
      </c>
      <c r="D1364" s="22" t="n">
        <v>1173</v>
      </c>
    </row>
    <row r="1365">
      <c r="A1365" s="21" t="inlineStr">
        <is>
          <t>Покупка</t>
        </is>
      </c>
      <c r="B1365" s="21" t="inlineStr">
        <is>
          <t>Элитная</t>
        </is>
      </c>
      <c r="C1365" s="21" t="inlineStr">
        <is>
          <t>Набережные Челны</t>
        </is>
      </c>
      <c r="D1365" s="22" t="n">
        <v>1138</v>
      </c>
    </row>
    <row r="1366">
      <c r="A1366" s="21" t="inlineStr">
        <is>
          <t>Покупка</t>
        </is>
      </c>
      <c r="B1366" s="21" t="inlineStr">
        <is>
          <t>Элитная</t>
        </is>
      </c>
      <c r="C1366" s="21" t="inlineStr">
        <is>
          <t>Нальчик</t>
        </is>
      </c>
      <c r="D1366" s="22" t="n">
        <v>37</v>
      </c>
    </row>
    <row r="1367">
      <c r="A1367" s="21" t="inlineStr">
        <is>
          <t>Покупка</t>
        </is>
      </c>
      <c r="B1367" s="21" t="inlineStr">
        <is>
          <t>Элитная</t>
        </is>
      </c>
      <c r="C1367" s="21" t="inlineStr">
        <is>
          <t>Нарьян-Мар</t>
        </is>
      </c>
      <c r="D1367" s="22" t="n">
        <v>7</v>
      </c>
    </row>
    <row r="1368">
      <c r="A1368" s="21" t="inlineStr">
        <is>
          <t>Покупка</t>
        </is>
      </c>
      <c r="B1368" s="21" t="inlineStr">
        <is>
          <t>Элитная</t>
        </is>
      </c>
      <c r="C1368" s="21" t="inlineStr">
        <is>
          <t>Нефтеюганск</t>
        </is>
      </c>
      <c r="D1368" s="22" t="n">
        <v>1322</v>
      </c>
    </row>
    <row r="1369">
      <c r="A1369" s="21" t="inlineStr">
        <is>
          <t>Покупка</t>
        </is>
      </c>
      <c r="B1369" s="21" t="inlineStr">
        <is>
          <t>Элитная</t>
        </is>
      </c>
      <c r="C1369" s="21" t="inlineStr">
        <is>
          <t>Нижневартовск</t>
        </is>
      </c>
      <c r="D1369" s="22" t="n">
        <v>725</v>
      </c>
    </row>
    <row r="1370">
      <c r="A1370" s="21" t="inlineStr">
        <is>
          <t>Покупка</t>
        </is>
      </c>
      <c r="B1370" s="21" t="inlineStr">
        <is>
          <t>Элитная</t>
        </is>
      </c>
      <c r="C1370" s="21" t="inlineStr">
        <is>
          <t>Нижний Тагил</t>
        </is>
      </c>
      <c r="D1370" s="22" t="n">
        <v>884</v>
      </c>
    </row>
    <row r="1371">
      <c r="A1371" s="21" t="inlineStr">
        <is>
          <t>Покупка</t>
        </is>
      </c>
      <c r="B1371" s="21" t="inlineStr">
        <is>
          <t>Элитная</t>
        </is>
      </c>
      <c r="C1371" s="21" t="inlineStr">
        <is>
          <t>Нижний Новгород</t>
        </is>
      </c>
      <c r="D1371" s="22" t="n">
        <v>3183</v>
      </c>
    </row>
    <row r="1372">
      <c r="A1372" s="21" t="inlineStr">
        <is>
          <t>Покупка</t>
        </is>
      </c>
      <c r="B1372" s="21" t="inlineStr">
        <is>
          <t>Элитная</t>
        </is>
      </c>
      <c r="C1372" s="21" t="inlineStr">
        <is>
          <t>Ногинск</t>
        </is>
      </c>
      <c r="D1372" s="22" t="n">
        <v>127</v>
      </c>
    </row>
    <row r="1373">
      <c r="A1373" s="21" t="inlineStr">
        <is>
          <t>Покупка</t>
        </is>
      </c>
      <c r="B1373" s="21" t="inlineStr">
        <is>
          <t>Элитная</t>
        </is>
      </c>
      <c r="C1373" s="21" t="inlineStr">
        <is>
          <t>Норильск</t>
        </is>
      </c>
      <c r="D1373" s="22" t="n">
        <v>668</v>
      </c>
    </row>
    <row r="1374">
      <c r="A1374" s="21" t="inlineStr">
        <is>
          <t>Покупка</t>
        </is>
      </c>
      <c r="B1374" s="21" t="inlineStr">
        <is>
          <t>Элитная</t>
        </is>
      </c>
      <c r="C1374" s="21" t="inlineStr">
        <is>
          <t>Новокузнецк</t>
        </is>
      </c>
      <c r="D1374" s="22" t="n">
        <v>1206</v>
      </c>
    </row>
    <row r="1375">
      <c r="A1375" s="21" t="inlineStr">
        <is>
          <t>Покупка</t>
        </is>
      </c>
      <c r="B1375" s="21" t="inlineStr">
        <is>
          <t>Элитная</t>
        </is>
      </c>
      <c r="C1375" s="21" t="inlineStr">
        <is>
          <t>Новороссийск</t>
        </is>
      </c>
      <c r="D1375" s="22" t="n">
        <v>2632</v>
      </c>
    </row>
    <row r="1376">
      <c r="A1376" s="21" t="inlineStr">
        <is>
          <t>Покупка</t>
        </is>
      </c>
      <c r="B1376" s="21" t="inlineStr">
        <is>
          <t>Элитная</t>
        </is>
      </c>
      <c r="C1376" s="21" t="inlineStr">
        <is>
          <t>Новосибирск</t>
        </is>
      </c>
      <c r="D1376" s="22" t="n">
        <v>8424</v>
      </c>
    </row>
    <row r="1377">
      <c r="A1377" s="21" t="inlineStr">
        <is>
          <t>Покупка</t>
        </is>
      </c>
      <c r="B1377" s="21" t="inlineStr">
        <is>
          <t>Элитная</t>
        </is>
      </c>
      <c r="C1377" s="21" t="inlineStr">
        <is>
          <t>Новый Уренгой</t>
        </is>
      </c>
      <c r="D1377" s="22" t="n">
        <v>522</v>
      </c>
    </row>
    <row r="1378">
      <c r="A1378" s="21" t="inlineStr">
        <is>
          <t>Покупка</t>
        </is>
      </c>
      <c r="B1378" s="21" t="inlineStr">
        <is>
          <t>Элитная</t>
        </is>
      </c>
      <c r="C1378" s="21" t="inlineStr">
        <is>
          <t>Обнинск</t>
        </is>
      </c>
      <c r="D1378" s="22" t="n">
        <v>422</v>
      </c>
    </row>
    <row r="1379">
      <c r="A1379" s="21" t="inlineStr">
        <is>
          <t>Покупка</t>
        </is>
      </c>
      <c r="B1379" s="21" t="inlineStr">
        <is>
          <t>Элитная</t>
        </is>
      </c>
      <c r="C1379" s="21" t="inlineStr">
        <is>
          <t>Одинцово</t>
        </is>
      </c>
      <c r="D1379" s="22" t="n">
        <v>412</v>
      </c>
    </row>
    <row r="1380">
      <c r="A1380" s="21" t="inlineStr">
        <is>
          <t>Покупка</t>
        </is>
      </c>
      <c r="B1380" s="21" t="inlineStr">
        <is>
          <t>Элитная</t>
        </is>
      </c>
      <c r="C1380" s="21" t="inlineStr">
        <is>
          <t>Омск</t>
        </is>
      </c>
      <c r="D1380" s="22" t="n">
        <v>3080</v>
      </c>
    </row>
    <row r="1381">
      <c r="A1381" s="21" t="inlineStr">
        <is>
          <t>Покупка</t>
        </is>
      </c>
      <c r="B1381" s="21" t="inlineStr">
        <is>
          <t>Элитная</t>
        </is>
      </c>
      <c r="C1381" s="21" t="inlineStr">
        <is>
          <t>Оренбург</t>
        </is>
      </c>
      <c r="D1381" s="22" t="n">
        <v>1398</v>
      </c>
    </row>
    <row r="1382">
      <c r="A1382" s="21" t="inlineStr">
        <is>
          <t>Покупка</t>
        </is>
      </c>
      <c r="B1382" s="21" t="inlineStr">
        <is>
          <t>Элитная</t>
        </is>
      </c>
      <c r="C1382" s="21" t="inlineStr">
        <is>
          <t>Орехово-Зуево</t>
        </is>
      </c>
      <c r="D1382" s="22" t="n">
        <v>57</v>
      </c>
    </row>
    <row r="1383">
      <c r="A1383" s="21" t="inlineStr">
        <is>
          <t>Покупка</t>
        </is>
      </c>
      <c r="B1383" s="21" t="inlineStr">
        <is>
          <t>Элитная</t>
        </is>
      </c>
      <c r="C1383" s="21" t="inlineStr">
        <is>
          <t>Орёл</t>
        </is>
      </c>
      <c r="D1383" s="22" t="n">
        <v>737</v>
      </c>
    </row>
    <row r="1384">
      <c r="A1384" s="21" t="inlineStr">
        <is>
          <t>Покупка</t>
        </is>
      </c>
      <c r="B1384" s="21" t="inlineStr">
        <is>
          <t>Элитная</t>
        </is>
      </c>
      <c r="C1384" s="21" t="inlineStr">
        <is>
          <t>Пенза</t>
        </is>
      </c>
      <c r="D1384" s="22" t="n">
        <v>5027</v>
      </c>
    </row>
    <row r="1385">
      <c r="A1385" s="21" t="inlineStr">
        <is>
          <t>Покупка</t>
        </is>
      </c>
      <c r="B1385" s="21" t="inlineStr">
        <is>
          <t>Элитная</t>
        </is>
      </c>
      <c r="C1385" s="21" t="inlineStr">
        <is>
          <t>Пермь</t>
        </is>
      </c>
      <c r="D1385" s="22" t="n">
        <v>4178</v>
      </c>
    </row>
    <row r="1386">
      <c r="A1386" s="21" t="inlineStr">
        <is>
          <t>Покупка</t>
        </is>
      </c>
      <c r="B1386" s="21" t="inlineStr">
        <is>
          <t>Элитная</t>
        </is>
      </c>
      <c r="C1386" s="21" t="inlineStr">
        <is>
          <t>Петропавловск-Камчатский</t>
        </is>
      </c>
      <c r="D1386" s="22" t="n">
        <v>825</v>
      </c>
    </row>
    <row r="1387">
      <c r="A1387" s="21" t="inlineStr">
        <is>
          <t>Покупка</t>
        </is>
      </c>
      <c r="B1387" s="21" t="inlineStr">
        <is>
          <t>Элитная</t>
        </is>
      </c>
      <c r="C1387" s="21" t="inlineStr">
        <is>
          <t>Петрозаводск</t>
        </is>
      </c>
      <c r="D1387" s="22" t="n">
        <v>571</v>
      </c>
    </row>
    <row r="1388">
      <c r="A1388" s="21" t="inlineStr">
        <is>
          <t>Покупка</t>
        </is>
      </c>
      <c r="B1388" s="21" t="inlineStr">
        <is>
          <t>Элитная</t>
        </is>
      </c>
      <c r="C1388" s="21" t="inlineStr">
        <is>
          <t>Подольск</t>
        </is>
      </c>
      <c r="D1388" s="22" t="n">
        <v>469</v>
      </c>
    </row>
    <row r="1389">
      <c r="A1389" s="21" t="inlineStr">
        <is>
          <t>Покупка</t>
        </is>
      </c>
      <c r="B1389" s="21" t="inlineStr">
        <is>
          <t>Элитная</t>
        </is>
      </c>
      <c r="C1389" s="21" t="inlineStr">
        <is>
          <t>Прокопьевск</t>
        </is>
      </c>
      <c r="D1389" s="22" t="n">
        <v>325</v>
      </c>
    </row>
    <row r="1390">
      <c r="A1390" s="21" t="inlineStr">
        <is>
          <t>Покупка</t>
        </is>
      </c>
      <c r="B1390" s="21" t="inlineStr">
        <is>
          <t>Элитная</t>
        </is>
      </c>
      <c r="C1390" s="21" t="inlineStr">
        <is>
          <t>Псков</t>
        </is>
      </c>
      <c r="D1390" s="22" t="n">
        <v>602</v>
      </c>
    </row>
    <row r="1391">
      <c r="A1391" s="21" t="inlineStr">
        <is>
          <t>Покупка</t>
        </is>
      </c>
      <c r="B1391" s="21" t="inlineStr">
        <is>
          <t>Элитная</t>
        </is>
      </c>
      <c r="C1391" s="21" t="inlineStr">
        <is>
          <t>Пушкино</t>
        </is>
      </c>
      <c r="D1391" s="22" t="n">
        <v>483</v>
      </c>
    </row>
    <row r="1392">
      <c r="A1392" s="21" t="inlineStr">
        <is>
          <t>Покупка</t>
        </is>
      </c>
      <c r="B1392" s="21" t="inlineStr">
        <is>
          <t>Элитная</t>
        </is>
      </c>
      <c r="C1392" s="21" t="inlineStr">
        <is>
          <t>Раменское</t>
        </is>
      </c>
      <c r="D1392" s="22" t="n">
        <v>108</v>
      </c>
    </row>
    <row r="1393">
      <c r="A1393" s="21" t="inlineStr">
        <is>
          <t>Покупка</t>
        </is>
      </c>
      <c r="B1393" s="21" t="inlineStr">
        <is>
          <t>Элитная</t>
        </is>
      </c>
      <c r="C1393" s="21" t="inlineStr">
        <is>
          <t>Реутов</t>
        </is>
      </c>
      <c r="D1393" s="22" t="n">
        <v>90</v>
      </c>
    </row>
    <row r="1394">
      <c r="A1394" s="21" t="inlineStr">
        <is>
          <t>Покупка</t>
        </is>
      </c>
      <c r="B1394" s="21" t="inlineStr">
        <is>
          <t>Элитная</t>
        </is>
      </c>
      <c r="C1394" s="21" t="inlineStr">
        <is>
          <t>Ростов-на-Дону</t>
        </is>
      </c>
      <c r="D1394" s="22" t="n">
        <v>11274</v>
      </c>
    </row>
    <row r="1395">
      <c r="A1395" s="21" t="inlineStr">
        <is>
          <t>Покупка</t>
        </is>
      </c>
      <c r="B1395" s="21" t="inlineStr">
        <is>
          <t>Элитная</t>
        </is>
      </c>
      <c r="C1395" s="21" t="inlineStr">
        <is>
          <t>Рязань</t>
        </is>
      </c>
      <c r="D1395" s="22" t="n">
        <v>2762</v>
      </c>
    </row>
    <row r="1396">
      <c r="A1396" s="21" t="inlineStr">
        <is>
          <t>Покупка</t>
        </is>
      </c>
      <c r="B1396" s="21" t="inlineStr">
        <is>
          <t>Элитная</t>
        </is>
      </c>
      <c r="C1396" s="21" t="inlineStr">
        <is>
          <t>Салехард</t>
        </is>
      </c>
      <c r="D1396" s="22" t="n">
        <v>131</v>
      </c>
    </row>
    <row r="1397">
      <c r="A1397" s="21" t="inlineStr">
        <is>
          <t>Покупка</t>
        </is>
      </c>
      <c r="B1397" s="21" t="inlineStr">
        <is>
          <t>Элитная</t>
        </is>
      </c>
      <c r="C1397" s="21" t="inlineStr">
        <is>
          <t>Самара</t>
        </is>
      </c>
      <c r="D1397" s="22" t="n">
        <v>3717</v>
      </c>
    </row>
    <row r="1398">
      <c r="A1398" s="21" t="inlineStr">
        <is>
          <t>Покупка</t>
        </is>
      </c>
      <c r="B1398" s="21" t="inlineStr">
        <is>
          <t>Элитная</t>
        </is>
      </c>
      <c r="C1398" s="21" t="inlineStr">
        <is>
          <t>Саранск</t>
        </is>
      </c>
      <c r="D1398" s="22" t="n">
        <v>926</v>
      </c>
    </row>
    <row r="1399">
      <c r="A1399" s="21" t="inlineStr">
        <is>
          <t>Покупка</t>
        </is>
      </c>
      <c r="B1399" s="21" t="inlineStr">
        <is>
          <t>Элитная</t>
        </is>
      </c>
      <c r="C1399" s="21" t="inlineStr">
        <is>
          <t>Саратов</t>
        </is>
      </c>
      <c r="D1399" s="22" t="n">
        <v>1270</v>
      </c>
    </row>
    <row r="1400">
      <c r="A1400" s="21" t="inlineStr">
        <is>
          <t>Покупка</t>
        </is>
      </c>
      <c r="B1400" s="21" t="inlineStr">
        <is>
          <t>Элитная</t>
        </is>
      </c>
      <c r="C1400" s="21" t="inlineStr">
        <is>
          <t>Сергиев Посад</t>
        </is>
      </c>
      <c r="D1400" s="22" t="n">
        <v>102</v>
      </c>
    </row>
    <row r="1401">
      <c r="A1401" s="21" t="inlineStr">
        <is>
          <t>Покупка</t>
        </is>
      </c>
      <c r="B1401" s="21" t="inlineStr">
        <is>
          <t>Элитная</t>
        </is>
      </c>
      <c r="C1401" s="21" t="inlineStr">
        <is>
          <t>Серпухов</t>
        </is>
      </c>
      <c r="D1401" s="22" t="n">
        <v>160</v>
      </c>
    </row>
    <row r="1402">
      <c r="A1402" s="21" t="inlineStr">
        <is>
          <t>Покупка</t>
        </is>
      </c>
      <c r="B1402" s="21" t="inlineStr">
        <is>
          <t>Элитная</t>
        </is>
      </c>
      <c r="C1402" s="21" t="inlineStr">
        <is>
          <t>Севастополь</t>
        </is>
      </c>
      <c r="D1402" s="22" t="n">
        <v>2071</v>
      </c>
    </row>
    <row r="1403">
      <c r="A1403" s="21" t="inlineStr">
        <is>
          <t>Покупка</t>
        </is>
      </c>
      <c r="B1403" s="21" t="inlineStr">
        <is>
          <t>Элитная</t>
        </is>
      </c>
      <c r="C1403" s="21" t="inlineStr">
        <is>
          <t>Северодвинск</t>
        </is>
      </c>
      <c r="D1403" s="22" t="n">
        <v>618</v>
      </c>
    </row>
    <row r="1404">
      <c r="A1404" s="21" t="inlineStr">
        <is>
          <t>Покупка</t>
        </is>
      </c>
      <c r="B1404" s="21" t="inlineStr">
        <is>
          <t>Элитная</t>
        </is>
      </c>
      <c r="C1404" s="21" t="inlineStr">
        <is>
          <t>Симферополь</t>
        </is>
      </c>
      <c r="D1404" s="22" t="n">
        <v>1261</v>
      </c>
    </row>
    <row r="1405">
      <c r="A1405" s="21" t="inlineStr">
        <is>
          <t>Покупка</t>
        </is>
      </c>
      <c r="B1405" s="21" t="inlineStr">
        <is>
          <t>Элитная</t>
        </is>
      </c>
      <c r="C1405" s="21" t="inlineStr">
        <is>
          <t>Смоленск</t>
        </is>
      </c>
      <c r="D1405" s="22" t="n">
        <v>1212</v>
      </c>
    </row>
    <row r="1406">
      <c r="A1406" s="21" t="inlineStr">
        <is>
          <t>Покупка</t>
        </is>
      </c>
      <c r="B1406" s="21" t="inlineStr">
        <is>
          <t>Элитная</t>
        </is>
      </c>
      <c r="C1406" s="21" t="inlineStr">
        <is>
          <t>Сочи</t>
        </is>
      </c>
      <c r="D1406" s="22" t="n">
        <v>3557</v>
      </c>
    </row>
    <row r="1407">
      <c r="A1407" s="21" t="inlineStr">
        <is>
          <t>Покупка</t>
        </is>
      </c>
      <c r="B1407" s="21" t="inlineStr">
        <is>
          <t>Элитная</t>
        </is>
      </c>
      <c r="C1407" s="21" t="inlineStr">
        <is>
          <t>Санкт-Петербург</t>
        </is>
      </c>
      <c r="D1407" s="22" t="n">
        <v>14771</v>
      </c>
    </row>
    <row r="1408">
      <c r="A1408" s="21" t="inlineStr">
        <is>
          <t>Покупка</t>
        </is>
      </c>
      <c r="B1408" s="21" t="inlineStr">
        <is>
          <t>Элитная</t>
        </is>
      </c>
      <c r="C1408" s="21" t="inlineStr">
        <is>
          <t>Старый Оскол</t>
        </is>
      </c>
      <c r="D1408" s="22" t="n">
        <v>445</v>
      </c>
    </row>
    <row r="1409">
      <c r="A1409" s="21" t="inlineStr">
        <is>
          <t>Покупка</t>
        </is>
      </c>
      <c r="B1409" s="21" t="inlineStr">
        <is>
          <t>Элитная</t>
        </is>
      </c>
      <c r="C1409" s="21" t="inlineStr">
        <is>
          <t>Ставрополь</t>
        </is>
      </c>
      <c r="D1409" s="22" t="n">
        <v>1500</v>
      </c>
    </row>
    <row r="1410">
      <c r="A1410" s="21" t="inlineStr">
        <is>
          <t>Покупка</t>
        </is>
      </c>
      <c r="B1410" s="21" t="inlineStr">
        <is>
          <t>Элитная</t>
        </is>
      </c>
      <c r="C1410" s="21" t="inlineStr">
        <is>
          <t>Стерлитамак</t>
        </is>
      </c>
      <c r="D1410" s="22" t="n">
        <v>1319</v>
      </c>
    </row>
    <row r="1411">
      <c r="A1411" s="21" t="inlineStr">
        <is>
          <t>Покупка</t>
        </is>
      </c>
      <c r="B1411" s="21" t="inlineStr">
        <is>
          <t>Элитная</t>
        </is>
      </c>
      <c r="C1411" s="21" t="inlineStr">
        <is>
          <t>Сургут</t>
        </is>
      </c>
      <c r="D1411" s="22" t="n">
        <v>1590</v>
      </c>
    </row>
    <row r="1412">
      <c r="A1412" s="21" t="inlineStr">
        <is>
          <t>Покупка</t>
        </is>
      </c>
      <c r="B1412" s="21" t="inlineStr">
        <is>
          <t>Элитная</t>
        </is>
      </c>
      <c r="C1412" s="21" t="inlineStr">
        <is>
          <t>Сыктывкар</t>
        </is>
      </c>
      <c r="D1412" s="22" t="n">
        <v>521</v>
      </c>
    </row>
    <row r="1413">
      <c r="A1413" s="21" t="inlineStr">
        <is>
          <t>Покупка</t>
        </is>
      </c>
      <c r="B1413" s="21" t="inlineStr">
        <is>
          <t>Элитная</t>
        </is>
      </c>
      <c r="C1413" s="21" t="inlineStr">
        <is>
          <t>Тамбов</t>
        </is>
      </c>
      <c r="D1413" s="22" t="n">
        <v>595</v>
      </c>
    </row>
    <row r="1414">
      <c r="A1414" s="21" t="inlineStr">
        <is>
          <t>Покупка</t>
        </is>
      </c>
      <c r="B1414" s="21" t="inlineStr">
        <is>
          <t>Элитная</t>
        </is>
      </c>
      <c r="C1414" s="21" t="inlineStr">
        <is>
          <t>Тольятти</t>
        </is>
      </c>
      <c r="D1414" s="22" t="n">
        <v>668</v>
      </c>
    </row>
    <row r="1415">
      <c r="A1415" s="21" t="inlineStr">
        <is>
          <t>Покупка</t>
        </is>
      </c>
      <c r="B1415" s="21" t="inlineStr">
        <is>
          <t>Элитная</t>
        </is>
      </c>
      <c r="C1415" s="21" t="inlineStr">
        <is>
          <t>Томск</t>
        </is>
      </c>
      <c r="D1415" s="22" t="n">
        <v>2002</v>
      </c>
    </row>
    <row r="1416">
      <c r="A1416" s="21" t="inlineStr">
        <is>
          <t>Покупка</t>
        </is>
      </c>
      <c r="B1416" s="21" t="inlineStr">
        <is>
          <t>Элитная</t>
        </is>
      </c>
      <c r="C1416" s="21" t="inlineStr">
        <is>
          <t>Тула</t>
        </is>
      </c>
      <c r="D1416" s="22" t="n">
        <v>2625</v>
      </c>
    </row>
    <row r="1417">
      <c r="A1417" s="21" t="inlineStr">
        <is>
          <t>Покупка</t>
        </is>
      </c>
      <c r="B1417" s="21" t="inlineStr">
        <is>
          <t>Элитная</t>
        </is>
      </c>
      <c r="C1417" s="21" t="inlineStr">
        <is>
          <t>Тверь</t>
        </is>
      </c>
      <c r="D1417" s="22" t="n">
        <v>957</v>
      </c>
    </row>
    <row r="1418">
      <c r="A1418" s="21" t="inlineStr">
        <is>
          <t>Покупка</t>
        </is>
      </c>
      <c r="B1418" s="21" t="inlineStr">
        <is>
          <t>Элитная</t>
        </is>
      </c>
      <c r="C1418" s="21" t="inlineStr">
        <is>
          <t>Тюмень</t>
        </is>
      </c>
      <c r="D1418" s="22" t="n">
        <v>13906</v>
      </c>
    </row>
    <row r="1419">
      <c r="A1419" s="21" t="inlineStr">
        <is>
          <t>Покупка</t>
        </is>
      </c>
      <c r="B1419" s="21" t="inlineStr">
        <is>
          <t>Элитная</t>
        </is>
      </c>
      <c r="C1419" s="21" t="inlineStr">
        <is>
          <t>Уфа</t>
        </is>
      </c>
      <c r="D1419" s="22" t="n">
        <v>7374</v>
      </c>
    </row>
    <row r="1420">
      <c r="A1420" s="21" t="inlineStr">
        <is>
          <t>Покупка</t>
        </is>
      </c>
      <c r="B1420" s="21" t="inlineStr">
        <is>
          <t>Элитная</t>
        </is>
      </c>
      <c r="C1420" s="21" t="inlineStr">
        <is>
          <t>Улан-Удэ</t>
        </is>
      </c>
      <c r="D1420" s="22" t="n">
        <v>1749</v>
      </c>
    </row>
    <row r="1421">
      <c r="A1421" s="21" t="inlineStr">
        <is>
          <t>Покупка</t>
        </is>
      </c>
      <c r="B1421" s="21" t="inlineStr">
        <is>
          <t>Элитная</t>
        </is>
      </c>
      <c r="C1421" s="21" t="inlineStr">
        <is>
          <t>Ульяновск</t>
        </is>
      </c>
      <c r="D1421" s="22" t="n">
        <v>1637</v>
      </c>
    </row>
    <row r="1422">
      <c r="A1422" s="21" t="inlineStr">
        <is>
          <t>Покупка</t>
        </is>
      </c>
      <c r="B1422" s="21" t="inlineStr">
        <is>
          <t>Элитная</t>
        </is>
      </c>
      <c r="C1422" s="21" t="inlineStr">
        <is>
          <t>Великий Новгород</t>
        </is>
      </c>
      <c r="D1422" s="22" t="n">
        <v>423</v>
      </c>
    </row>
    <row r="1423">
      <c r="A1423" s="21" t="inlineStr">
        <is>
          <t>Покупка</t>
        </is>
      </c>
      <c r="B1423" s="21" t="inlineStr">
        <is>
          <t>Элитная</t>
        </is>
      </c>
      <c r="C1423" s="21" t="inlineStr">
        <is>
          <t>Владикавказ</t>
        </is>
      </c>
      <c r="D1423" s="22" t="n">
        <v>675</v>
      </c>
    </row>
    <row r="1424">
      <c r="A1424" s="21" t="inlineStr">
        <is>
          <t>Покупка</t>
        </is>
      </c>
      <c r="B1424" s="21" t="inlineStr">
        <is>
          <t>Элитная</t>
        </is>
      </c>
      <c r="C1424" s="21" t="inlineStr">
        <is>
          <t>Владимир</t>
        </is>
      </c>
      <c r="D1424" s="22" t="n">
        <v>1551</v>
      </c>
    </row>
    <row r="1425">
      <c r="A1425" s="21" t="inlineStr">
        <is>
          <t>Покупка</t>
        </is>
      </c>
      <c r="B1425" s="21" t="inlineStr">
        <is>
          <t>Элитная</t>
        </is>
      </c>
      <c r="C1425" s="21" t="inlineStr">
        <is>
          <t>Владивосток</t>
        </is>
      </c>
      <c r="D1425" s="22" t="n">
        <v>5124</v>
      </c>
    </row>
    <row r="1426">
      <c r="A1426" s="21" t="inlineStr">
        <is>
          <t>Покупка</t>
        </is>
      </c>
      <c r="B1426" s="21" t="inlineStr">
        <is>
          <t>Элитная</t>
        </is>
      </c>
      <c r="C1426" s="21" t="inlineStr">
        <is>
          <t>Волгоград</t>
        </is>
      </c>
      <c r="D1426" s="22" t="n">
        <v>3110</v>
      </c>
    </row>
    <row r="1427">
      <c r="A1427" s="21" t="inlineStr">
        <is>
          <t>Покупка</t>
        </is>
      </c>
      <c r="B1427" s="21" t="inlineStr">
        <is>
          <t>Элитная</t>
        </is>
      </c>
      <c r="C1427" s="21" t="inlineStr">
        <is>
          <t>Вологда</t>
        </is>
      </c>
      <c r="D1427" s="22" t="n">
        <v>1120</v>
      </c>
    </row>
    <row r="1428">
      <c r="A1428" s="21" t="inlineStr">
        <is>
          <t>Покупка</t>
        </is>
      </c>
      <c r="B1428" s="21" t="inlineStr">
        <is>
          <t>Элитная</t>
        </is>
      </c>
      <c r="C1428" s="21" t="inlineStr">
        <is>
          <t>Волжский</t>
        </is>
      </c>
      <c r="D1428" s="22" t="n">
        <v>406</v>
      </c>
    </row>
    <row r="1429">
      <c r="A1429" s="21" t="inlineStr">
        <is>
          <t>Покупка</t>
        </is>
      </c>
      <c r="B1429" s="21" t="inlineStr">
        <is>
          <t>Элитная</t>
        </is>
      </c>
      <c r="C1429" s="21" t="inlineStr">
        <is>
          <t>Воронеж</t>
        </is>
      </c>
      <c r="D1429" s="22" t="n">
        <v>4724</v>
      </c>
    </row>
    <row r="1430">
      <c r="A1430" s="21" t="inlineStr">
        <is>
          <t>Покупка</t>
        </is>
      </c>
      <c r="B1430" s="21" t="inlineStr">
        <is>
          <t>Элитная</t>
        </is>
      </c>
      <c r="C1430" s="21" t="inlineStr">
        <is>
          <t>Хабаровск</t>
        </is>
      </c>
      <c r="D1430" s="22" t="n">
        <v>3108</v>
      </c>
    </row>
    <row r="1431">
      <c r="A1431" s="21" t="inlineStr">
        <is>
          <t>Покупка</t>
        </is>
      </c>
      <c r="B1431" s="21" t="inlineStr">
        <is>
          <t>Элитная</t>
        </is>
      </c>
      <c r="C1431" s="21" t="inlineStr">
        <is>
          <t>Ханты-Мансийск</t>
        </is>
      </c>
      <c r="D1431" s="22" t="n">
        <v>414</v>
      </c>
    </row>
    <row r="1432">
      <c r="A1432" s="21" t="inlineStr">
        <is>
          <t>Покупка</t>
        </is>
      </c>
      <c r="B1432" s="21" t="inlineStr">
        <is>
          <t>Элитная</t>
        </is>
      </c>
      <c r="C1432" s="21" t="inlineStr">
        <is>
          <t>Химки</t>
        </is>
      </c>
      <c r="D1432" s="22" t="n">
        <v>1109</v>
      </c>
    </row>
    <row r="1433">
      <c r="A1433" s="21" t="inlineStr">
        <is>
          <t>Покупка</t>
        </is>
      </c>
      <c r="B1433" s="21" t="inlineStr">
        <is>
          <t>Элитная</t>
        </is>
      </c>
      <c r="C1433" s="21" t="inlineStr">
        <is>
          <t>Якутск</t>
        </is>
      </c>
      <c r="D1433" s="22" t="n">
        <v>1922</v>
      </c>
    </row>
    <row r="1434">
      <c r="A1434" s="21" t="inlineStr">
        <is>
          <t>Покупка</t>
        </is>
      </c>
      <c r="B1434" s="21" t="inlineStr">
        <is>
          <t>Элитная</t>
        </is>
      </c>
      <c r="C1434" s="21" t="inlineStr">
        <is>
          <t>Ярославль</t>
        </is>
      </c>
      <c r="D1434" s="22" t="n">
        <v>1523</v>
      </c>
    </row>
    <row r="1435">
      <c r="A1435" s="21" t="inlineStr">
        <is>
          <t>Покупка</t>
        </is>
      </c>
      <c r="B1435" s="21" t="inlineStr">
        <is>
          <t>Элитная</t>
        </is>
      </c>
      <c r="C1435" s="21" t="inlineStr">
        <is>
          <t>Южно-Сахалинск</t>
        </is>
      </c>
      <c r="D1435" s="22" t="n">
        <v>2240</v>
      </c>
    </row>
    <row r="1436">
      <c r="A1436" s="21" t="inlineStr">
        <is>
          <t>Покупка</t>
        </is>
      </c>
      <c r="B1436" s="21" t="inlineStr">
        <is>
          <t>Элитная</t>
        </is>
      </c>
      <c r="C1436" s="21" t="inlineStr">
        <is>
          <t>Жуковский</t>
        </is>
      </c>
      <c r="D1436" s="22" t="n">
        <v>334</v>
      </c>
    </row>
    <row r="1437">
      <c r="A1437" s="27" t="inlineStr">
        <is>
          <t>Покупка</t>
        </is>
      </c>
      <c r="B1437" s="17" t="inlineStr">
        <is>
          <t>Дуплексы</t>
        </is>
      </c>
      <c r="C1437" s="28" t="inlineStr">
        <is>
          <t>Астрахань</t>
        </is>
      </c>
      <c r="D1437" s="19" t="n">
        <v>5</v>
      </c>
    </row>
    <row r="1438">
      <c r="A1438" s="21" t="inlineStr">
        <is>
          <t>Покупка</t>
        </is>
      </c>
      <c r="B1438" s="21" t="inlineStr">
        <is>
          <t>Дуплексы</t>
        </is>
      </c>
      <c r="C1438" s="21" t="inlineStr">
        <is>
          <t>Барнаул</t>
        </is>
      </c>
      <c r="D1438" s="22" t="n">
        <v>18</v>
      </c>
    </row>
    <row r="1439">
      <c r="A1439" s="21" t="inlineStr">
        <is>
          <t>Покупка</t>
        </is>
      </c>
      <c r="B1439" s="21" t="inlineStr">
        <is>
          <t>Дуплексы</t>
        </is>
      </c>
      <c r="C1439" s="21" t="inlineStr">
        <is>
          <t>Белгород</t>
        </is>
      </c>
      <c r="D1439" s="22" t="n">
        <v>15</v>
      </c>
    </row>
    <row r="1440">
      <c r="A1440" s="21" t="inlineStr">
        <is>
          <t>Покупка</t>
        </is>
      </c>
      <c r="B1440" s="21" t="inlineStr">
        <is>
          <t>Дуплексы</t>
        </is>
      </c>
      <c r="C1440" s="21" t="inlineStr">
        <is>
          <t>Брянск</t>
        </is>
      </c>
      <c r="D1440" s="22" t="n">
        <v>19</v>
      </c>
    </row>
    <row r="1441">
      <c r="A1441" s="21" t="inlineStr">
        <is>
          <t>Покупка</t>
        </is>
      </c>
      <c r="B1441" s="21" t="inlineStr">
        <is>
          <t>Дуплексы</t>
        </is>
      </c>
      <c r="C1441" s="21" t="inlineStr">
        <is>
          <t>Чебоксары</t>
        </is>
      </c>
      <c r="D1441" s="22" t="n">
        <v>6</v>
      </c>
    </row>
    <row r="1442">
      <c r="A1442" s="21" t="inlineStr">
        <is>
          <t>Покупка</t>
        </is>
      </c>
      <c r="B1442" s="21" t="inlineStr">
        <is>
          <t>Дуплексы</t>
        </is>
      </c>
      <c r="C1442" s="21" t="inlineStr">
        <is>
          <t>Челябинск</t>
        </is>
      </c>
      <c r="D1442" s="22" t="n">
        <v>27</v>
      </c>
    </row>
    <row r="1443">
      <c r="A1443" s="21" t="inlineStr">
        <is>
          <t>Покупка</t>
        </is>
      </c>
      <c r="B1443" s="21" t="inlineStr">
        <is>
          <t>Дуплексы</t>
        </is>
      </c>
      <c r="C1443" s="21" t="inlineStr">
        <is>
          <t>Долгопрудный</t>
        </is>
      </c>
      <c r="D1443" s="22" t="n">
        <v>11</v>
      </c>
    </row>
    <row r="1444">
      <c r="A1444" s="21" t="inlineStr">
        <is>
          <t>Покупка</t>
        </is>
      </c>
      <c r="B1444" s="21" t="inlineStr">
        <is>
          <t>Дуплексы</t>
        </is>
      </c>
      <c r="C1444" s="21" t="inlineStr">
        <is>
          <t>Домодедово</t>
        </is>
      </c>
      <c r="D1444" s="22" t="n">
        <v>7</v>
      </c>
    </row>
    <row r="1445">
      <c r="A1445" s="21" t="inlineStr">
        <is>
          <t>Покупка</t>
        </is>
      </c>
      <c r="B1445" s="21" t="inlineStr">
        <is>
          <t>Дуплексы</t>
        </is>
      </c>
      <c r="C1445" s="21" t="inlineStr">
        <is>
          <t>Екатеринбург</t>
        </is>
      </c>
      <c r="D1445" s="22" t="n">
        <v>52</v>
      </c>
    </row>
    <row r="1446">
      <c r="A1446" s="21" t="inlineStr">
        <is>
          <t>Покупка</t>
        </is>
      </c>
      <c r="B1446" s="21" t="inlineStr">
        <is>
          <t>Дуплексы</t>
        </is>
      </c>
      <c r="C1446" s="21" t="inlineStr">
        <is>
          <t>Элиста</t>
        </is>
      </c>
      <c r="D1446" s="22" t="n">
        <v>52</v>
      </c>
    </row>
    <row r="1447">
      <c r="A1447" s="21" t="inlineStr">
        <is>
          <t>Покупка</t>
        </is>
      </c>
      <c r="B1447" s="21" t="inlineStr">
        <is>
          <t>Дуплексы</t>
        </is>
      </c>
      <c r="C1447" s="21" t="inlineStr">
        <is>
          <t>Энгельс</t>
        </is>
      </c>
      <c r="D1447" s="22" t="n">
        <v>11</v>
      </c>
    </row>
    <row r="1448">
      <c r="A1448" s="21" t="inlineStr">
        <is>
          <t>Покупка</t>
        </is>
      </c>
      <c r="B1448" s="21" t="inlineStr">
        <is>
          <t>Дуплексы</t>
        </is>
      </c>
      <c r="C1448" s="21" t="inlineStr">
        <is>
          <t>Горно-Алтайск</t>
        </is>
      </c>
      <c r="D1448" s="22" t="n">
        <v>5</v>
      </c>
    </row>
    <row r="1449">
      <c r="A1449" s="21" t="inlineStr">
        <is>
          <t>Покупка</t>
        </is>
      </c>
      <c r="B1449" s="21" t="inlineStr">
        <is>
          <t>Дуплексы</t>
        </is>
      </c>
      <c r="C1449" s="21" t="inlineStr">
        <is>
          <t>Иркутск</t>
        </is>
      </c>
      <c r="D1449" s="22" t="n">
        <v>18</v>
      </c>
    </row>
    <row r="1450">
      <c r="A1450" s="21" t="inlineStr">
        <is>
          <t>Покупка</t>
        </is>
      </c>
      <c r="B1450" s="21" t="inlineStr">
        <is>
          <t>Дуплексы</t>
        </is>
      </c>
      <c r="C1450" s="21" t="inlineStr">
        <is>
          <t>Иваново</t>
        </is>
      </c>
      <c r="D1450" s="22" t="n">
        <v>7</v>
      </c>
    </row>
    <row r="1451">
      <c r="A1451" s="21" t="inlineStr">
        <is>
          <t>Покупка</t>
        </is>
      </c>
      <c r="B1451" s="21" t="inlineStr">
        <is>
          <t>Дуплексы</t>
        </is>
      </c>
      <c r="C1451" s="21" t="inlineStr">
        <is>
          <t>Ижевск</t>
        </is>
      </c>
      <c r="D1451" s="22" t="n">
        <v>10</v>
      </c>
    </row>
    <row r="1452">
      <c r="A1452" s="21" t="inlineStr">
        <is>
          <t>Покупка</t>
        </is>
      </c>
      <c r="B1452" s="21" t="inlineStr">
        <is>
          <t>Дуплексы</t>
        </is>
      </c>
      <c r="C1452" s="21" t="inlineStr">
        <is>
          <t>Калининград</t>
        </is>
      </c>
      <c r="D1452" s="22" t="n">
        <v>197</v>
      </c>
    </row>
    <row r="1453">
      <c r="A1453" s="21" t="inlineStr">
        <is>
          <t>Покупка</t>
        </is>
      </c>
      <c r="B1453" s="21" t="inlineStr">
        <is>
          <t>Дуплексы</t>
        </is>
      </c>
      <c r="C1453" s="21" t="inlineStr">
        <is>
          <t>Калуга</t>
        </is>
      </c>
      <c r="D1453" s="22" t="n">
        <v>43</v>
      </c>
    </row>
    <row r="1454">
      <c r="A1454" s="21" t="inlineStr">
        <is>
          <t>Покупка</t>
        </is>
      </c>
      <c r="B1454" s="21" t="inlineStr">
        <is>
          <t>Дуплексы</t>
        </is>
      </c>
      <c r="C1454" s="21" t="inlineStr">
        <is>
          <t>Казань</t>
        </is>
      </c>
      <c r="D1454" s="22" t="n">
        <v>55</v>
      </c>
    </row>
    <row r="1455">
      <c r="A1455" s="21" t="inlineStr">
        <is>
          <t>Покупка</t>
        </is>
      </c>
      <c r="B1455" s="21" t="inlineStr">
        <is>
          <t>Дуплексы</t>
        </is>
      </c>
      <c r="C1455" s="21" t="inlineStr">
        <is>
          <t>Кемерово</t>
        </is>
      </c>
      <c r="D1455" s="22" t="n">
        <v>47</v>
      </c>
    </row>
    <row r="1456">
      <c r="A1456" s="21" t="inlineStr">
        <is>
          <t>Покупка</t>
        </is>
      </c>
      <c r="B1456" s="21" t="inlineStr">
        <is>
          <t>Дуплексы</t>
        </is>
      </c>
      <c r="C1456" s="21" t="inlineStr">
        <is>
          <t>Комсомольск-на-Амуре</t>
        </is>
      </c>
      <c r="D1456" s="22" t="n">
        <v>13</v>
      </c>
    </row>
    <row r="1457">
      <c r="A1457" s="21" t="inlineStr">
        <is>
          <t>Покупка</t>
        </is>
      </c>
      <c r="B1457" s="21" t="inlineStr">
        <is>
          <t>Дуплексы</t>
        </is>
      </c>
      <c r="C1457" s="21" t="inlineStr">
        <is>
          <t>Королёв</t>
        </is>
      </c>
      <c r="D1457" s="22" t="n">
        <v>7</v>
      </c>
    </row>
    <row r="1458">
      <c r="A1458" s="21" t="inlineStr">
        <is>
          <t>Покупка</t>
        </is>
      </c>
      <c r="B1458" s="21" t="inlineStr">
        <is>
          <t>Дуплексы</t>
        </is>
      </c>
      <c r="C1458" s="21" t="inlineStr">
        <is>
          <t>Кострома</t>
        </is>
      </c>
      <c r="D1458" s="22" t="n">
        <v>52</v>
      </c>
    </row>
    <row r="1459">
      <c r="A1459" s="21" t="inlineStr">
        <is>
          <t>Покупка</t>
        </is>
      </c>
      <c r="B1459" s="21" t="inlineStr">
        <is>
          <t>Дуплексы</t>
        </is>
      </c>
      <c r="C1459" s="21" t="inlineStr">
        <is>
          <t>Краснодар</t>
        </is>
      </c>
      <c r="D1459" s="22" t="n">
        <v>572</v>
      </c>
    </row>
    <row r="1460">
      <c r="A1460" s="21" t="inlineStr">
        <is>
          <t>Покупка</t>
        </is>
      </c>
      <c r="B1460" s="21" t="inlineStr">
        <is>
          <t>Дуплексы</t>
        </is>
      </c>
      <c r="C1460" s="21" t="inlineStr">
        <is>
          <t>Красногорск</t>
        </is>
      </c>
      <c r="D1460" s="22" t="n">
        <v>21</v>
      </c>
    </row>
    <row r="1461">
      <c r="A1461" s="21" t="inlineStr">
        <is>
          <t>Покупка</t>
        </is>
      </c>
      <c r="B1461" s="21" t="inlineStr">
        <is>
          <t>Дуплексы</t>
        </is>
      </c>
      <c r="C1461" s="21" t="inlineStr">
        <is>
          <t>Красноярск</t>
        </is>
      </c>
      <c r="D1461" s="22" t="n">
        <v>12</v>
      </c>
    </row>
    <row r="1462">
      <c r="A1462" s="21" t="inlineStr">
        <is>
          <t>Покупка</t>
        </is>
      </c>
      <c r="B1462" s="21" t="inlineStr">
        <is>
          <t>Дуплексы</t>
        </is>
      </c>
      <c r="C1462" s="21" t="inlineStr">
        <is>
          <t>Курган</t>
        </is>
      </c>
      <c r="D1462" s="22" t="n">
        <v>14</v>
      </c>
    </row>
    <row r="1463">
      <c r="A1463" s="21" t="inlineStr">
        <is>
          <t>Покупка</t>
        </is>
      </c>
      <c r="B1463" s="21" t="inlineStr">
        <is>
          <t>Дуплексы</t>
        </is>
      </c>
      <c r="C1463" s="21" t="inlineStr">
        <is>
          <t>Кызыл</t>
        </is>
      </c>
      <c r="D1463" s="22" t="n">
        <v>16</v>
      </c>
    </row>
    <row r="1464">
      <c r="A1464" s="21" t="inlineStr">
        <is>
          <t>Покупка</t>
        </is>
      </c>
      <c r="B1464" s="21" t="inlineStr">
        <is>
          <t>Дуплексы</t>
        </is>
      </c>
      <c r="C1464" s="21" t="inlineStr">
        <is>
          <t>Липецк</t>
        </is>
      </c>
      <c r="D1464" s="22" t="n">
        <v>11</v>
      </c>
    </row>
    <row r="1465">
      <c r="A1465" s="21" t="inlineStr">
        <is>
          <t>Покупка</t>
        </is>
      </c>
      <c r="B1465" s="21" t="inlineStr">
        <is>
          <t>Дуплексы</t>
        </is>
      </c>
      <c r="C1465" s="21" t="inlineStr">
        <is>
          <t>Магнитогорск</t>
        </is>
      </c>
      <c r="D1465" s="22" t="n">
        <v>327</v>
      </c>
    </row>
    <row r="1466">
      <c r="A1466" s="21" t="inlineStr">
        <is>
          <t>Покупка</t>
        </is>
      </c>
      <c r="B1466" s="21" t="inlineStr">
        <is>
          <t>Дуплексы</t>
        </is>
      </c>
      <c r="C1466" s="21" t="inlineStr">
        <is>
          <t>Майкоп</t>
        </is>
      </c>
      <c r="D1466" s="22" t="n">
        <v>10</v>
      </c>
    </row>
    <row r="1467">
      <c r="A1467" s="21" t="inlineStr">
        <is>
          <t>Покупка</t>
        </is>
      </c>
      <c r="B1467" s="21" t="inlineStr">
        <is>
          <t>Дуплексы</t>
        </is>
      </c>
      <c r="C1467" s="21" t="inlineStr">
        <is>
          <t>Москва</t>
        </is>
      </c>
      <c r="D1467" s="22" t="n">
        <v>193</v>
      </c>
    </row>
    <row r="1468">
      <c r="A1468" s="21" t="inlineStr">
        <is>
          <t>Покупка</t>
        </is>
      </c>
      <c r="B1468" s="21" t="inlineStr">
        <is>
          <t>Дуплексы</t>
        </is>
      </c>
      <c r="C1468" s="21" t="inlineStr">
        <is>
          <t>Набережные Челны</t>
        </is>
      </c>
      <c r="D1468" s="22" t="n">
        <v>22</v>
      </c>
    </row>
    <row r="1469">
      <c r="A1469" s="21" t="inlineStr">
        <is>
          <t>Покупка</t>
        </is>
      </c>
      <c r="B1469" s="21" t="inlineStr">
        <is>
          <t>Дуплексы</t>
        </is>
      </c>
      <c r="C1469" s="21" t="inlineStr">
        <is>
          <t>Нижний Новгород</t>
        </is>
      </c>
      <c r="D1469" s="22" t="n">
        <v>85</v>
      </c>
    </row>
    <row r="1470">
      <c r="A1470" s="21" t="inlineStr">
        <is>
          <t>Покупка</t>
        </is>
      </c>
      <c r="B1470" s="21" t="inlineStr">
        <is>
          <t>Дуплексы</t>
        </is>
      </c>
      <c r="C1470" s="21" t="inlineStr">
        <is>
          <t>Новороссийск</t>
        </is>
      </c>
      <c r="D1470" s="22" t="n">
        <v>25</v>
      </c>
    </row>
    <row r="1471">
      <c r="A1471" s="21" t="inlineStr">
        <is>
          <t>Покупка</t>
        </is>
      </c>
      <c r="B1471" s="21" t="inlineStr">
        <is>
          <t>Дуплексы</t>
        </is>
      </c>
      <c r="C1471" s="21" t="inlineStr">
        <is>
          <t>Новосибирск</t>
        </is>
      </c>
      <c r="D1471" s="22" t="n">
        <v>63</v>
      </c>
    </row>
    <row r="1472">
      <c r="A1472" s="21" t="inlineStr">
        <is>
          <t>Покупка</t>
        </is>
      </c>
      <c r="B1472" s="21" t="inlineStr">
        <is>
          <t>Дуплексы</t>
        </is>
      </c>
      <c r="C1472" s="21" t="inlineStr">
        <is>
          <t>Новый Уренгой</t>
        </is>
      </c>
      <c r="D1472" s="22" t="n">
        <v>5</v>
      </c>
    </row>
    <row r="1473">
      <c r="A1473" s="21" t="inlineStr">
        <is>
          <t>Покупка</t>
        </is>
      </c>
      <c r="B1473" s="21" t="inlineStr">
        <is>
          <t>Дуплексы</t>
        </is>
      </c>
      <c r="C1473" s="21" t="inlineStr">
        <is>
          <t>Обнинск</t>
        </is>
      </c>
      <c r="D1473" s="22" t="n">
        <v>16</v>
      </c>
    </row>
    <row r="1474">
      <c r="A1474" s="21" t="inlineStr">
        <is>
          <t>Покупка</t>
        </is>
      </c>
      <c r="B1474" s="21" t="inlineStr">
        <is>
          <t>Дуплексы</t>
        </is>
      </c>
      <c r="C1474" s="21" t="inlineStr">
        <is>
          <t>Омск</t>
        </is>
      </c>
      <c r="D1474" s="22" t="n">
        <v>23</v>
      </c>
    </row>
    <row r="1475">
      <c r="A1475" s="21" t="inlineStr">
        <is>
          <t>Покупка</t>
        </is>
      </c>
      <c r="B1475" s="21" t="inlineStr">
        <is>
          <t>Дуплексы</t>
        </is>
      </c>
      <c r="C1475" s="21" t="inlineStr">
        <is>
          <t>Оренбург</t>
        </is>
      </c>
      <c r="D1475" s="22" t="n">
        <v>154</v>
      </c>
    </row>
    <row r="1476">
      <c r="A1476" s="21" t="inlineStr">
        <is>
          <t>Покупка</t>
        </is>
      </c>
      <c r="B1476" s="21" t="inlineStr">
        <is>
          <t>Дуплексы</t>
        </is>
      </c>
      <c r="C1476" s="21" t="inlineStr">
        <is>
          <t>Орёл</t>
        </is>
      </c>
      <c r="D1476" s="22" t="n">
        <v>18</v>
      </c>
    </row>
    <row r="1477">
      <c r="A1477" s="21" t="inlineStr">
        <is>
          <t>Покупка</t>
        </is>
      </c>
      <c r="B1477" s="21" t="inlineStr">
        <is>
          <t>Дуплексы</t>
        </is>
      </c>
      <c r="C1477" s="21" t="inlineStr">
        <is>
          <t>Пенза</t>
        </is>
      </c>
      <c r="D1477" s="22" t="n">
        <v>32</v>
      </c>
    </row>
    <row r="1478">
      <c r="A1478" s="21" t="inlineStr">
        <is>
          <t>Покупка</t>
        </is>
      </c>
      <c r="B1478" s="21" t="inlineStr">
        <is>
          <t>Дуплексы</t>
        </is>
      </c>
      <c r="C1478" s="21" t="inlineStr">
        <is>
          <t>Пермь</t>
        </is>
      </c>
      <c r="D1478" s="22" t="n">
        <v>39</v>
      </c>
    </row>
    <row r="1479">
      <c r="A1479" s="21" t="inlineStr">
        <is>
          <t>Покупка</t>
        </is>
      </c>
      <c r="B1479" s="21" t="inlineStr">
        <is>
          <t>Дуплексы</t>
        </is>
      </c>
      <c r="C1479" s="21" t="inlineStr">
        <is>
          <t>Петропавловск-Камчатский</t>
        </is>
      </c>
      <c r="D1479" s="22" t="n">
        <v>5</v>
      </c>
    </row>
    <row r="1480">
      <c r="A1480" s="21" t="inlineStr">
        <is>
          <t>Покупка</t>
        </is>
      </c>
      <c r="B1480" s="21" t="inlineStr">
        <is>
          <t>Дуплексы</t>
        </is>
      </c>
      <c r="C1480" s="21" t="inlineStr">
        <is>
          <t>Петрозаводск</t>
        </is>
      </c>
      <c r="D1480" s="22" t="n">
        <v>45</v>
      </c>
    </row>
    <row r="1481">
      <c r="A1481" s="21" t="inlineStr">
        <is>
          <t>Покупка</t>
        </is>
      </c>
      <c r="B1481" s="21" t="inlineStr">
        <is>
          <t>Дуплексы</t>
        </is>
      </c>
      <c r="C1481" s="21" t="inlineStr">
        <is>
          <t>Псков</t>
        </is>
      </c>
      <c r="D1481" s="22" t="n">
        <v>5</v>
      </c>
    </row>
    <row r="1482">
      <c r="A1482" s="21" t="inlineStr">
        <is>
          <t>Покупка</t>
        </is>
      </c>
      <c r="B1482" s="21" t="inlineStr">
        <is>
          <t>Дуплексы</t>
        </is>
      </c>
      <c r="C1482" s="21" t="inlineStr">
        <is>
          <t>Ростов-на-Дону</t>
        </is>
      </c>
      <c r="D1482" s="22" t="n">
        <v>63</v>
      </c>
    </row>
    <row r="1483">
      <c r="A1483" s="21" t="inlineStr">
        <is>
          <t>Покупка</t>
        </is>
      </c>
      <c r="B1483" s="21" t="inlineStr">
        <is>
          <t>Дуплексы</t>
        </is>
      </c>
      <c r="C1483" s="21" t="inlineStr">
        <is>
          <t>Рязань</t>
        </is>
      </c>
      <c r="D1483" s="22" t="n">
        <v>9</v>
      </c>
    </row>
    <row r="1484">
      <c r="A1484" s="21" t="inlineStr">
        <is>
          <t>Покупка</t>
        </is>
      </c>
      <c r="B1484" s="21" t="inlineStr">
        <is>
          <t>Дуплексы</t>
        </is>
      </c>
      <c r="C1484" s="21" t="inlineStr">
        <is>
          <t>Самара</t>
        </is>
      </c>
      <c r="D1484" s="22" t="n">
        <v>46</v>
      </c>
    </row>
    <row r="1485">
      <c r="A1485" s="21" t="inlineStr">
        <is>
          <t>Покупка</t>
        </is>
      </c>
      <c r="B1485" s="21" t="inlineStr">
        <is>
          <t>Дуплексы</t>
        </is>
      </c>
      <c r="C1485" s="21" t="inlineStr">
        <is>
          <t>Саратов</t>
        </is>
      </c>
      <c r="D1485" s="22" t="n">
        <v>15</v>
      </c>
    </row>
    <row r="1486">
      <c r="A1486" s="21" t="inlineStr">
        <is>
          <t>Покупка</t>
        </is>
      </c>
      <c r="B1486" s="21" t="inlineStr">
        <is>
          <t>Дуплексы</t>
        </is>
      </c>
      <c r="C1486" s="21" t="inlineStr">
        <is>
          <t>Севастополь</t>
        </is>
      </c>
      <c r="D1486" s="22" t="n">
        <v>53</v>
      </c>
    </row>
    <row r="1487">
      <c r="A1487" s="21" t="inlineStr">
        <is>
          <t>Покупка</t>
        </is>
      </c>
      <c r="B1487" s="21" t="inlineStr">
        <is>
          <t>Дуплексы</t>
        </is>
      </c>
      <c r="C1487" s="21" t="inlineStr">
        <is>
          <t>Симферополь</t>
        </is>
      </c>
      <c r="D1487" s="22" t="n">
        <v>8</v>
      </c>
    </row>
    <row r="1488">
      <c r="A1488" s="21" t="inlineStr">
        <is>
          <t>Покупка</t>
        </is>
      </c>
      <c r="B1488" s="21" t="inlineStr">
        <is>
          <t>Дуплексы</t>
        </is>
      </c>
      <c r="C1488" s="21" t="inlineStr">
        <is>
          <t>Смоленск</t>
        </is>
      </c>
      <c r="D1488" s="22" t="n">
        <v>28</v>
      </c>
    </row>
    <row r="1489">
      <c r="A1489" s="21" t="inlineStr">
        <is>
          <t>Покупка</t>
        </is>
      </c>
      <c r="B1489" s="21" t="inlineStr">
        <is>
          <t>Дуплексы</t>
        </is>
      </c>
      <c r="C1489" s="21" t="inlineStr">
        <is>
          <t>Сочи</t>
        </is>
      </c>
      <c r="D1489" s="22" t="n">
        <v>130</v>
      </c>
    </row>
    <row r="1490">
      <c r="A1490" s="21" t="inlineStr">
        <is>
          <t>Покупка</t>
        </is>
      </c>
      <c r="B1490" s="21" t="inlineStr">
        <is>
          <t>Дуплексы</t>
        </is>
      </c>
      <c r="C1490" s="21" t="inlineStr">
        <is>
          <t>Санкт-Петербург</t>
        </is>
      </c>
      <c r="D1490" s="22" t="n">
        <v>130</v>
      </c>
    </row>
    <row r="1491">
      <c r="A1491" s="21" t="inlineStr">
        <is>
          <t>Покупка</t>
        </is>
      </c>
      <c r="B1491" s="21" t="inlineStr">
        <is>
          <t>Дуплексы</t>
        </is>
      </c>
      <c r="C1491" s="21" t="inlineStr">
        <is>
          <t>Старый Оскол</t>
        </is>
      </c>
      <c r="D1491" s="22" t="n">
        <v>8</v>
      </c>
    </row>
    <row r="1492">
      <c r="A1492" s="21" t="inlineStr">
        <is>
          <t>Покупка</t>
        </is>
      </c>
      <c r="B1492" s="21" t="inlineStr">
        <is>
          <t>Дуплексы</t>
        </is>
      </c>
      <c r="C1492" s="21" t="inlineStr">
        <is>
          <t>Ставрополь</t>
        </is>
      </c>
      <c r="D1492" s="22" t="n">
        <v>75</v>
      </c>
    </row>
    <row r="1493">
      <c r="A1493" s="21" t="inlineStr">
        <is>
          <t>Покупка</t>
        </is>
      </c>
      <c r="B1493" s="21" t="inlineStr">
        <is>
          <t>Дуплексы</t>
        </is>
      </c>
      <c r="C1493" s="21" t="inlineStr">
        <is>
          <t>Стерлитамак</t>
        </is>
      </c>
      <c r="D1493" s="22" t="n">
        <v>28</v>
      </c>
    </row>
    <row r="1494">
      <c r="A1494" s="21" t="inlineStr">
        <is>
          <t>Покупка</t>
        </is>
      </c>
      <c r="B1494" s="21" t="inlineStr">
        <is>
          <t>Дуплексы</t>
        </is>
      </c>
      <c r="C1494" s="21" t="inlineStr">
        <is>
          <t>Сургут</t>
        </is>
      </c>
      <c r="D1494" s="22" t="n">
        <v>11</v>
      </c>
    </row>
    <row r="1495">
      <c r="A1495" s="21" t="inlineStr">
        <is>
          <t>Покупка</t>
        </is>
      </c>
      <c r="B1495" s="21" t="inlineStr">
        <is>
          <t>Дуплексы</t>
        </is>
      </c>
      <c r="C1495" s="21" t="inlineStr">
        <is>
          <t>Сыктывкар</t>
        </is>
      </c>
      <c r="D1495" s="22" t="n">
        <v>9</v>
      </c>
    </row>
    <row r="1496">
      <c r="A1496" s="21" t="inlineStr">
        <is>
          <t>Покупка</t>
        </is>
      </c>
      <c r="B1496" s="21" t="inlineStr">
        <is>
          <t>Дуплексы</t>
        </is>
      </c>
      <c r="C1496" s="21" t="inlineStr">
        <is>
          <t>Тамбов</t>
        </is>
      </c>
      <c r="D1496" s="22" t="n">
        <v>11</v>
      </c>
    </row>
    <row r="1497">
      <c r="A1497" s="21" t="inlineStr">
        <is>
          <t>Покупка</t>
        </is>
      </c>
      <c r="B1497" s="21" t="inlineStr">
        <is>
          <t>Дуплексы</t>
        </is>
      </c>
      <c r="C1497" s="21" t="inlineStr">
        <is>
          <t>Тольятти</t>
        </is>
      </c>
      <c r="D1497" s="22" t="n">
        <v>14</v>
      </c>
    </row>
    <row r="1498">
      <c r="A1498" s="21" t="inlineStr">
        <is>
          <t>Покупка</t>
        </is>
      </c>
      <c r="B1498" s="21" t="inlineStr">
        <is>
          <t>Дуплексы</t>
        </is>
      </c>
      <c r="C1498" s="21" t="inlineStr">
        <is>
          <t>Томск</t>
        </is>
      </c>
      <c r="D1498" s="22" t="n">
        <v>12</v>
      </c>
    </row>
    <row r="1499">
      <c r="A1499" s="21" t="inlineStr">
        <is>
          <t>Покупка</t>
        </is>
      </c>
      <c r="B1499" s="21" t="inlineStr">
        <is>
          <t>Дуплексы</t>
        </is>
      </c>
      <c r="C1499" s="21" t="inlineStr">
        <is>
          <t>Тула</t>
        </is>
      </c>
      <c r="D1499" s="22" t="n">
        <v>45</v>
      </c>
    </row>
    <row r="1500">
      <c r="A1500" s="21" t="inlineStr">
        <is>
          <t>Покупка</t>
        </is>
      </c>
      <c r="B1500" s="21" t="inlineStr">
        <is>
          <t>Дуплексы</t>
        </is>
      </c>
      <c r="C1500" s="21" t="inlineStr">
        <is>
          <t>Тверь</t>
        </is>
      </c>
      <c r="D1500" s="22" t="n">
        <v>34</v>
      </c>
    </row>
    <row r="1501">
      <c r="A1501" s="21" t="inlineStr">
        <is>
          <t>Покупка</t>
        </is>
      </c>
      <c r="B1501" s="21" t="inlineStr">
        <is>
          <t>Дуплексы</t>
        </is>
      </c>
      <c r="C1501" s="21" t="inlineStr">
        <is>
          <t>Тюмень</t>
        </is>
      </c>
      <c r="D1501" s="22" t="n">
        <v>143</v>
      </c>
    </row>
    <row r="1502">
      <c r="A1502" s="21" t="inlineStr">
        <is>
          <t>Покупка</t>
        </is>
      </c>
      <c r="B1502" s="21" t="inlineStr">
        <is>
          <t>Дуплексы</t>
        </is>
      </c>
      <c r="C1502" s="21" t="inlineStr">
        <is>
          <t>Уфа</t>
        </is>
      </c>
      <c r="D1502" s="22" t="n">
        <v>138</v>
      </c>
    </row>
    <row r="1503">
      <c r="A1503" s="21" t="inlineStr">
        <is>
          <t>Покупка</t>
        </is>
      </c>
      <c r="B1503" s="21" t="inlineStr">
        <is>
          <t>Дуплексы</t>
        </is>
      </c>
      <c r="C1503" s="21" t="inlineStr">
        <is>
          <t>Улан-Удэ</t>
        </is>
      </c>
      <c r="D1503" s="22" t="n">
        <v>41</v>
      </c>
    </row>
    <row r="1504">
      <c r="A1504" s="21" t="inlineStr">
        <is>
          <t>Покупка</t>
        </is>
      </c>
      <c r="B1504" s="21" t="inlineStr">
        <is>
          <t>Дуплексы</t>
        </is>
      </c>
      <c r="C1504" s="21" t="inlineStr">
        <is>
          <t>Ульяновск</t>
        </is>
      </c>
      <c r="D1504" s="22" t="n">
        <v>14</v>
      </c>
    </row>
    <row r="1505">
      <c r="A1505" s="21" t="inlineStr">
        <is>
          <t>Покупка</t>
        </is>
      </c>
      <c r="B1505" s="21" t="inlineStr">
        <is>
          <t>Дуплексы</t>
        </is>
      </c>
      <c r="C1505" s="21" t="inlineStr">
        <is>
          <t>Владикавказ</t>
        </is>
      </c>
      <c r="D1505" s="22" t="n">
        <v>7</v>
      </c>
    </row>
    <row r="1506">
      <c r="A1506" s="21" t="inlineStr">
        <is>
          <t>Покупка</t>
        </is>
      </c>
      <c r="B1506" s="21" t="inlineStr">
        <is>
          <t>Дуплексы</t>
        </is>
      </c>
      <c r="C1506" s="21" t="inlineStr">
        <is>
          <t>Владимир</t>
        </is>
      </c>
      <c r="D1506" s="22" t="n">
        <v>20</v>
      </c>
    </row>
    <row r="1507">
      <c r="A1507" s="21" t="inlineStr">
        <is>
          <t>Покупка</t>
        </is>
      </c>
      <c r="B1507" s="21" t="inlineStr">
        <is>
          <t>Дуплексы</t>
        </is>
      </c>
      <c r="C1507" s="21" t="inlineStr">
        <is>
          <t>Владивосток</t>
        </is>
      </c>
      <c r="D1507" s="22" t="n">
        <v>43</v>
      </c>
    </row>
    <row r="1508">
      <c r="A1508" s="21" t="inlineStr">
        <is>
          <t>Покупка</t>
        </is>
      </c>
      <c r="B1508" s="21" t="inlineStr">
        <is>
          <t>Дуплексы</t>
        </is>
      </c>
      <c r="C1508" s="21" t="inlineStr">
        <is>
          <t>Волгоград</t>
        </is>
      </c>
      <c r="D1508" s="22" t="n">
        <v>15</v>
      </c>
    </row>
    <row r="1509">
      <c r="A1509" s="21" t="inlineStr">
        <is>
          <t>Покупка</t>
        </is>
      </c>
      <c r="B1509" s="21" t="inlineStr">
        <is>
          <t>Дуплексы</t>
        </is>
      </c>
      <c r="C1509" s="21" t="inlineStr">
        <is>
          <t>Воронеж</t>
        </is>
      </c>
      <c r="D1509" s="22" t="n">
        <v>32</v>
      </c>
    </row>
    <row r="1510">
      <c r="A1510" s="21" t="inlineStr">
        <is>
          <t>Покупка</t>
        </is>
      </c>
      <c r="B1510" s="21" t="inlineStr">
        <is>
          <t>Дуплексы</t>
        </is>
      </c>
      <c r="C1510" s="21" t="inlineStr">
        <is>
          <t>Хабаровск</t>
        </is>
      </c>
      <c r="D1510" s="22" t="n">
        <v>10</v>
      </c>
    </row>
    <row r="1511">
      <c r="A1511" s="21" t="inlineStr">
        <is>
          <t>Покупка</t>
        </is>
      </c>
      <c r="B1511" s="21" t="inlineStr">
        <is>
          <t>Дуплексы</t>
        </is>
      </c>
      <c r="C1511" s="21" t="inlineStr">
        <is>
          <t>Ханты-Мансийск</t>
        </is>
      </c>
      <c r="D1511" s="22" t="n">
        <v>12</v>
      </c>
    </row>
    <row r="1512">
      <c r="A1512" s="21" t="inlineStr">
        <is>
          <t>Покупка</t>
        </is>
      </c>
      <c r="B1512" s="21" t="inlineStr">
        <is>
          <t>Дуплексы</t>
        </is>
      </c>
      <c r="C1512" s="21" t="inlineStr">
        <is>
          <t>Химки</t>
        </is>
      </c>
      <c r="D1512" s="22" t="n">
        <v>12</v>
      </c>
    </row>
    <row r="1513">
      <c r="A1513" s="21" t="inlineStr">
        <is>
          <t>Покупка</t>
        </is>
      </c>
      <c r="B1513" s="21" t="inlineStr">
        <is>
          <t>Дуплексы</t>
        </is>
      </c>
      <c r="C1513" s="21" t="inlineStr">
        <is>
          <t>Якутск</t>
        </is>
      </c>
      <c r="D1513" s="22" t="n">
        <v>7</v>
      </c>
    </row>
    <row r="1514">
      <c r="A1514" s="21" t="inlineStr">
        <is>
          <t>Покупка</t>
        </is>
      </c>
      <c r="B1514" s="21" t="inlineStr">
        <is>
          <t>Дуплексы</t>
        </is>
      </c>
      <c r="C1514" s="21" t="inlineStr">
        <is>
          <t>Ярославль</t>
        </is>
      </c>
      <c r="D1514" s="22" t="n">
        <v>53</v>
      </c>
    </row>
    <row r="1515">
      <c r="A1515" s="21" t="inlineStr">
        <is>
          <t>Покупка</t>
        </is>
      </c>
      <c r="B1515" s="21" t="inlineStr">
        <is>
          <t>Дуплексы</t>
        </is>
      </c>
      <c r="C1515" s="21" t="inlineStr">
        <is>
          <t>Южно-Сахалинск</t>
        </is>
      </c>
      <c r="D1515" s="22" t="n">
        <v>8</v>
      </c>
    </row>
    <row r="1516">
      <c r="A1516" s="27" t="inlineStr">
        <is>
          <t>Покупка</t>
        </is>
      </c>
      <c r="B1516" s="17" t="inlineStr">
        <is>
          <t>Коммерческая</t>
        </is>
      </c>
      <c r="C1516" s="28" t="inlineStr">
        <is>
          <t>Абакан</t>
        </is>
      </c>
      <c r="D1516" s="19" t="n">
        <v>110</v>
      </c>
    </row>
    <row r="1517">
      <c r="A1517" s="21" t="inlineStr">
        <is>
          <t>Покупка</t>
        </is>
      </c>
      <c r="B1517" s="21" t="inlineStr">
        <is>
          <t>Коммерческая</t>
        </is>
      </c>
      <c r="C1517" s="21" t="inlineStr">
        <is>
          <t>Архангельск</t>
        </is>
      </c>
      <c r="D1517" s="22" t="n">
        <v>178</v>
      </c>
    </row>
    <row r="1518">
      <c r="A1518" s="21" t="inlineStr">
        <is>
          <t>Покупка</t>
        </is>
      </c>
      <c r="B1518" s="21" t="inlineStr">
        <is>
          <t>Коммерческая</t>
        </is>
      </c>
      <c r="C1518" s="21" t="inlineStr">
        <is>
          <t>Астрахань</t>
        </is>
      </c>
      <c r="D1518" s="22" t="n">
        <v>189</v>
      </c>
    </row>
    <row r="1519">
      <c r="A1519" s="21" t="inlineStr">
        <is>
          <t>Покупка</t>
        </is>
      </c>
      <c r="B1519" s="21" t="inlineStr">
        <is>
          <t>Коммерческая</t>
        </is>
      </c>
      <c r="C1519" s="21" t="inlineStr">
        <is>
          <t>Балашиха</t>
        </is>
      </c>
      <c r="D1519" s="22" t="n">
        <v>179</v>
      </c>
    </row>
    <row r="1520">
      <c r="A1520" s="21" t="inlineStr">
        <is>
          <t>Покупка</t>
        </is>
      </c>
      <c r="B1520" s="21" t="inlineStr">
        <is>
          <t>Коммерческая</t>
        </is>
      </c>
      <c r="C1520" s="21" t="inlineStr">
        <is>
          <t>Барнаул</t>
        </is>
      </c>
      <c r="D1520" s="22" t="n">
        <v>294</v>
      </c>
    </row>
    <row r="1521">
      <c r="A1521" s="21" t="inlineStr">
        <is>
          <t>Покупка</t>
        </is>
      </c>
      <c r="B1521" s="21" t="inlineStr">
        <is>
          <t>Коммерческая</t>
        </is>
      </c>
      <c r="C1521" s="21" t="inlineStr">
        <is>
          <t>Белгород</t>
        </is>
      </c>
      <c r="D1521" s="22" t="n">
        <v>330</v>
      </c>
    </row>
    <row r="1522">
      <c r="A1522" s="21" t="inlineStr">
        <is>
          <t>Покупка</t>
        </is>
      </c>
      <c r="B1522" s="21" t="inlineStr">
        <is>
          <t>Коммерческая</t>
        </is>
      </c>
      <c r="C1522" s="21" t="inlineStr">
        <is>
          <t>Биробиджан</t>
        </is>
      </c>
      <c r="D1522" s="22" t="n">
        <v>13</v>
      </c>
    </row>
    <row r="1523">
      <c r="A1523" s="21" t="inlineStr">
        <is>
          <t>Покупка</t>
        </is>
      </c>
      <c r="B1523" s="21" t="inlineStr">
        <is>
          <t>Коммерческая</t>
        </is>
      </c>
      <c r="C1523" s="21" t="inlineStr">
        <is>
          <t>Благовещенск</t>
        </is>
      </c>
      <c r="D1523" s="22" t="n">
        <v>120</v>
      </c>
    </row>
    <row r="1524">
      <c r="A1524" s="21" t="inlineStr">
        <is>
          <t>Покупка</t>
        </is>
      </c>
      <c r="B1524" s="21" t="inlineStr">
        <is>
          <t>Коммерческая</t>
        </is>
      </c>
      <c r="C1524" s="21" t="inlineStr">
        <is>
          <t>Братск</t>
        </is>
      </c>
      <c r="D1524" s="22" t="n">
        <v>35</v>
      </c>
    </row>
    <row r="1525">
      <c r="A1525" s="21" t="inlineStr">
        <is>
          <t>Покупка</t>
        </is>
      </c>
      <c r="B1525" s="21" t="inlineStr">
        <is>
          <t>Коммерческая</t>
        </is>
      </c>
      <c r="C1525" s="21" t="inlineStr">
        <is>
          <t>Брянск</t>
        </is>
      </c>
      <c r="D1525" s="22" t="n">
        <v>205</v>
      </c>
    </row>
    <row r="1526">
      <c r="A1526" s="21" t="inlineStr">
        <is>
          <t>Покупка</t>
        </is>
      </c>
      <c r="B1526" s="21" t="inlineStr">
        <is>
          <t>Коммерческая</t>
        </is>
      </c>
      <c r="C1526" s="21" t="inlineStr">
        <is>
          <t>Чебоксары</t>
        </is>
      </c>
      <c r="D1526" s="22" t="n">
        <v>155</v>
      </c>
    </row>
    <row r="1527">
      <c r="A1527" s="21" t="inlineStr">
        <is>
          <t>Покупка</t>
        </is>
      </c>
      <c r="B1527" s="21" t="inlineStr">
        <is>
          <t>Коммерческая</t>
        </is>
      </c>
      <c r="C1527" s="21" t="inlineStr">
        <is>
          <t>Челябинск</t>
        </is>
      </c>
      <c r="D1527" s="22" t="n">
        <v>507</v>
      </c>
    </row>
    <row r="1528">
      <c r="A1528" s="21" t="inlineStr">
        <is>
          <t>Покупка</t>
        </is>
      </c>
      <c r="B1528" s="21" t="inlineStr">
        <is>
          <t>Коммерческая</t>
        </is>
      </c>
      <c r="C1528" s="21" t="inlineStr">
        <is>
          <t>Череповец</t>
        </is>
      </c>
      <c r="D1528" s="22" t="n">
        <v>41</v>
      </c>
    </row>
    <row r="1529">
      <c r="A1529" s="21" t="inlineStr">
        <is>
          <t>Покупка</t>
        </is>
      </c>
      <c r="B1529" s="21" t="inlineStr">
        <is>
          <t>Коммерческая</t>
        </is>
      </c>
      <c r="C1529" s="21" t="inlineStr">
        <is>
          <t>Черкесск</t>
        </is>
      </c>
      <c r="D1529" s="22" t="n">
        <v>21</v>
      </c>
    </row>
    <row r="1530">
      <c r="A1530" s="21" t="inlineStr">
        <is>
          <t>Покупка</t>
        </is>
      </c>
      <c r="B1530" s="21" t="inlineStr">
        <is>
          <t>Коммерческая</t>
        </is>
      </c>
      <c r="C1530" s="21" t="inlineStr">
        <is>
          <t>Чита</t>
        </is>
      </c>
      <c r="D1530" s="22" t="n">
        <v>191</v>
      </c>
    </row>
    <row r="1531">
      <c r="A1531" s="21" t="inlineStr">
        <is>
          <t>Покупка</t>
        </is>
      </c>
      <c r="B1531" s="21" t="inlineStr">
        <is>
          <t>Коммерческая</t>
        </is>
      </c>
      <c r="C1531" s="21" t="inlineStr">
        <is>
          <t>Долгопрудный</t>
        </is>
      </c>
      <c r="D1531" s="22" t="n">
        <v>33</v>
      </c>
    </row>
    <row r="1532">
      <c r="A1532" s="21" t="inlineStr">
        <is>
          <t>Покупка</t>
        </is>
      </c>
      <c r="B1532" s="21" t="inlineStr">
        <is>
          <t>Коммерческая</t>
        </is>
      </c>
      <c r="C1532" s="21" t="inlineStr">
        <is>
          <t>Домодедово</t>
        </is>
      </c>
      <c r="D1532" s="22" t="n">
        <v>82</v>
      </c>
    </row>
    <row r="1533">
      <c r="A1533" s="21" t="inlineStr">
        <is>
          <t>Покупка</t>
        </is>
      </c>
      <c r="B1533" s="21" t="inlineStr">
        <is>
          <t>Коммерческая</t>
        </is>
      </c>
      <c r="C1533" s="21" t="inlineStr">
        <is>
          <t>Дзержинск</t>
        </is>
      </c>
      <c r="D1533" s="22" t="n">
        <v>67</v>
      </c>
    </row>
    <row r="1534">
      <c r="A1534" s="21" t="inlineStr">
        <is>
          <t>Покупка</t>
        </is>
      </c>
      <c r="B1534" s="21" t="inlineStr">
        <is>
          <t>Коммерческая</t>
        </is>
      </c>
      <c r="C1534" s="21" t="inlineStr">
        <is>
          <t>Екатеринбург</t>
        </is>
      </c>
      <c r="D1534" s="22" t="n">
        <v>899</v>
      </c>
    </row>
    <row r="1535">
      <c r="A1535" s="21" t="inlineStr">
        <is>
          <t>Покупка</t>
        </is>
      </c>
      <c r="B1535" s="21" t="inlineStr">
        <is>
          <t>Коммерческая</t>
        </is>
      </c>
      <c r="C1535" s="21" t="inlineStr">
        <is>
          <t>Электросталь</t>
        </is>
      </c>
      <c r="D1535" s="22" t="n">
        <v>39</v>
      </c>
    </row>
    <row r="1536">
      <c r="A1536" s="21" t="inlineStr">
        <is>
          <t>Покупка</t>
        </is>
      </c>
      <c r="B1536" s="21" t="inlineStr">
        <is>
          <t>Коммерческая</t>
        </is>
      </c>
      <c r="C1536" s="21" t="inlineStr">
        <is>
          <t>Элиста</t>
        </is>
      </c>
      <c r="D1536" s="22" t="n">
        <v>67</v>
      </c>
    </row>
    <row r="1537">
      <c r="A1537" s="21" t="inlineStr">
        <is>
          <t>Покупка</t>
        </is>
      </c>
      <c r="B1537" s="21" t="inlineStr">
        <is>
          <t>Коммерческая</t>
        </is>
      </c>
      <c r="C1537" s="21" t="inlineStr">
        <is>
          <t>Энгельс</t>
        </is>
      </c>
      <c r="D1537" s="22" t="n">
        <v>122</v>
      </c>
    </row>
    <row r="1538">
      <c r="A1538" s="21" t="inlineStr">
        <is>
          <t>Покупка</t>
        </is>
      </c>
      <c r="B1538" s="21" t="inlineStr">
        <is>
          <t>Коммерческая</t>
        </is>
      </c>
      <c r="C1538" s="21" t="inlineStr">
        <is>
          <t>Горно-Алтайск</t>
        </is>
      </c>
      <c r="D1538" s="22" t="n">
        <v>67</v>
      </c>
    </row>
    <row r="1539">
      <c r="A1539" s="21" t="inlineStr">
        <is>
          <t>Покупка</t>
        </is>
      </c>
      <c r="B1539" s="21" t="inlineStr">
        <is>
          <t>Коммерческая</t>
        </is>
      </c>
      <c r="C1539" s="21" t="inlineStr">
        <is>
          <t>Грозный</t>
        </is>
      </c>
      <c r="D1539" s="22" t="n">
        <v>13</v>
      </c>
    </row>
    <row r="1540">
      <c r="A1540" s="21" t="inlineStr">
        <is>
          <t>Покупка</t>
        </is>
      </c>
      <c r="B1540" s="21" t="inlineStr">
        <is>
          <t>Коммерческая</t>
        </is>
      </c>
      <c r="C1540" s="21" t="inlineStr">
        <is>
          <t>Иркутск</t>
        </is>
      </c>
      <c r="D1540" s="22" t="n">
        <v>288</v>
      </c>
    </row>
    <row r="1541">
      <c r="A1541" s="21" t="inlineStr">
        <is>
          <t>Покупка</t>
        </is>
      </c>
      <c r="B1541" s="21" t="inlineStr">
        <is>
          <t>Коммерческая</t>
        </is>
      </c>
      <c r="C1541" s="21" t="inlineStr">
        <is>
          <t>Иваново</t>
        </is>
      </c>
      <c r="D1541" s="22" t="n">
        <v>124</v>
      </c>
    </row>
    <row r="1542">
      <c r="A1542" s="21" t="inlineStr">
        <is>
          <t>Покупка</t>
        </is>
      </c>
      <c r="B1542" s="21" t="inlineStr">
        <is>
          <t>Коммерческая</t>
        </is>
      </c>
      <c r="C1542" s="21" t="inlineStr">
        <is>
          <t>Ижевск</t>
        </is>
      </c>
      <c r="D1542" s="22" t="n">
        <v>289</v>
      </c>
    </row>
    <row r="1543">
      <c r="A1543" s="21" t="inlineStr">
        <is>
          <t>Покупка</t>
        </is>
      </c>
      <c r="B1543" s="21" t="inlineStr">
        <is>
          <t>Коммерческая</t>
        </is>
      </c>
      <c r="C1543" s="21" t="inlineStr">
        <is>
          <t>Йошкар-Ола</t>
        </is>
      </c>
      <c r="D1543" s="22" t="n">
        <v>113</v>
      </c>
    </row>
    <row r="1544">
      <c r="A1544" s="21" t="inlineStr">
        <is>
          <t>Покупка</t>
        </is>
      </c>
      <c r="B1544" s="21" t="inlineStr">
        <is>
          <t>Коммерческая</t>
        </is>
      </c>
      <c r="C1544" s="21" t="inlineStr">
        <is>
          <t>Калининград</t>
        </is>
      </c>
      <c r="D1544" s="22" t="n">
        <v>644</v>
      </c>
    </row>
    <row r="1545">
      <c r="A1545" s="21" t="inlineStr">
        <is>
          <t>Покупка</t>
        </is>
      </c>
      <c r="B1545" s="21" t="inlineStr">
        <is>
          <t>Коммерческая</t>
        </is>
      </c>
      <c r="C1545" s="21" t="inlineStr">
        <is>
          <t>Калуга</t>
        </is>
      </c>
      <c r="D1545" s="22" t="n">
        <v>239</v>
      </c>
    </row>
    <row r="1546">
      <c r="A1546" s="21" t="inlineStr">
        <is>
          <t>Покупка</t>
        </is>
      </c>
      <c r="B1546" s="21" t="inlineStr">
        <is>
          <t>Коммерческая</t>
        </is>
      </c>
      <c r="C1546" s="21" t="inlineStr">
        <is>
          <t>Казань</t>
        </is>
      </c>
      <c r="D1546" s="22" t="n">
        <v>1212</v>
      </c>
    </row>
    <row r="1547">
      <c r="A1547" s="21" t="inlineStr">
        <is>
          <t>Покупка</t>
        </is>
      </c>
      <c r="B1547" s="21" t="inlineStr">
        <is>
          <t>Коммерческая</t>
        </is>
      </c>
      <c r="C1547" s="21" t="inlineStr">
        <is>
          <t>Кемерово</t>
        </is>
      </c>
      <c r="D1547" s="22" t="n">
        <v>384</v>
      </c>
    </row>
    <row r="1548">
      <c r="A1548" s="21" t="inlineStr">
        <is>
          <t>Покупка</t>
        </is>
      </c>
      <c r="B1548" s="21" t="inlineStr">
        <is>
          <t>Коммерческая</t>
        </is>
      </c>
      <c r="C1548" s="21" t="inlineStr">
        <is>
          <t>Киров</t>
        </is>
      </c>
      <c r="D1548" s="22" t="n">
        <v>148</v>
      </c>
    </row>
    <row r="1549">
      <c r="A1549" s="21" t="inlineStr">
        <is>
          <t>Покупка</t>
        </is>
      </c>
      <c r="B1549" s="21" t="inlineStr">
        <is>
          <t>Коммерческая</t>
        </is>
      </c>
      <c r="C1549" s="21" t="inlineStr">
        <is>
          <t>Коломна</t>
        </is>
      </c>
      <c r="D1549" s="22" t="n">
        <v>33</v>
      </c>
    </row>
    <row r="1550">
      <c r="A1550" s="21" t="inlineStr">
        <is>
          <t>Покупка</t>
        </is>
      </c>
      <c r="B1550" s="21" t="inlineStr">
        <is>
          <t>Коммерческая</t>
        </is>
      </c>
      <c r="C1550" s="21" t="inlineStr">
        <is>
          <t>Комсомольск-на-Амуре</t>
        </is>
      </c>
      <c r="D1550" s="22" t="n">
        <v>108</v>
      </c>
    </row>
    <row r="1551">
      <c r="A1551" s="21" t="inlineStr">
        <is>
          <t>Покупка</t>
        </is>
      </c>
      <c r="B1551" s="21" t="inlineStr">
        <is>
          <t>Коммерческая</t>
        </is>
      </c>
      <c r="C1551" s="21" t="inlineStr">
        <is>
          <t>Королёв</t>
        </is>
      </c>
      <c r="D1551" s="22" t="n">
        <v>84</v>
      </c>
    </row>
    <row r="1552">
      <c r="A1552" s="21" t="inlineStr">
        <is>
          <t>Покупка</t>
        </is>
      </c>
      <c r="B1552" s="21" t="inlineStr">
        <is>
          <t>Коммерческая</t>
        </is>
      </c>
      <c r="C1552" s="21" t="inlineStr">
        <is>
          <t>Кострома</t>
        </is>
      </c>
      <c r="D1552" s="22" t="n">
        <v>223</v>
      </c>
    </row>
    <row r="1553">
      <c r="A1553" s="21" t="inlineStr">
        <is>
          <t>Покупка</t>
        </is>
      </c>
      <c r="B1553" s="21" t="inlineStr">
        <is>
          <t>Коммерческая</t>
        </is>
      </c>
      <c r="C1553" s="21" t="inlineStr">
        <is>
          <t>Краснодар</t>
        </is>
      </c>
      <c r="D1553" s="22" t="n">
        <v>2827</v>
      </c>
    </row>
    <row r="1554">
      <c r="A1554" s="21" t="inlineStr">
        <is>
          <t>Покупка</t>
        </is>
      </c>
      <c r="B1554" s="21" t="inlineStr">
        <is>
          <t>Коммерческая</t>
        </is>
      </c>
      <c r="C1554" s="21" t="inlineStr">
        <is>
          <t>Красногорск</t>
        </is>
      </c>
      <c r="D1554" s="22" t="n">
        <v>146</v>
      </c>
    </row>
    <row r="1555">
      <c r="A1555" s="21" t="inlineStr">
        <is>
          <t>Покупка</t>
        </is>
      </c>
      <c r="B1555" s="21" t="inlineStr">
        <is>
          <t>Коммерческая</t>
        </is>
      </c>
      <c r="C1555" s="21" t="inlineStr">
        <is>
          <t>Красноярск</t>
        </is>
      </c>
      <c r="D1555" s="22" t="n">
        <v>877</v>
      </c>
    </row>
    <row r="1556">
      <c r="A1556" s="21" t="inlineStr">
        <is>
          <t>Покупка</t>
        </is>
      </c>
      <c r="B1556" s="21" t="inlineStr">
        <is>
          <t>Коммерческая</t>
        </is>
      </c>
      <c r="C1556" s="21" t="inlineStr">
        <is>
          <t>Курган</t>
        </is>
      </c>
      <c r="D1556" s="22" t="n">
        <v>162</v>
      </c>
    </row>
    <row r="1557">
      <c r="A1557" s="21" t="inlineStr">
        <is>
          <t>Покупка</t>
        </is>
      </c>
      <c r="B1557" s="21" t="inlineStr">
        <is>
          <t>Коммерческая</t>
        </is>
      </c>
      <c r="C1557" s="21" t="inlineStr">
        <is>
          <t>Курск</t>
        </is>
      </c>
      <c r="D1557" s="22" t="n">
        <v>127</v>
      </c>
    </row>
    <row r="1558">
      <c r="A1558" s="21" t="inlineStr">
        <is>
          <t>Покупка</t>
        </is>
      </c>
      <c r="B1558" s="21" t="inlineStr">
        <is>
          <t>Коммерческая</t>
        </is>
      </c>
      <c r="C1558" s="21" t="inlineStr">
        <is>
          <t>Кызыл</t>
        </is>
      </c>
      <c r="D1558" s="22" t="n">
        <v>94</v>
      </c>
    </row>
    <row r="1559">
      <c r="A1559" s="21" t="inlineStr">
        <is>
          <t>Покупка</t>
        </is>
      </c>
      <c r="B1559" s="21" t="inlineStr">
        <is>
          <t>Коммерческая</t>
        </is>
      </c>
      <c r="C1559" s="21" t="inlineStr">
        <is>
          <t>Липецк</t>
        </is>
      </c>
      <c r="D1559" s="22" t="n">
        <v>219</v>
      </c>
    </row>
    <row r="1560">
      <c r="A1560" s="21" t="inlineStr">
        <is>
          <t>Покупка</t>
        </is>
      </c>
      <c r="B1560" s="21" t="inlineStr">
        <is>
          <t>Коммерческая</t>
        </is>
      </c>
      <c r="C1560" s="21" t="inlineStr">
        <is>
          <t>Люберцы</t>
        </is>
      </c>
      <c r="D1560" s="22" t="n">
        <v>172</v>
      </c>
    </row>
    <row r="1561">
      <c r="A1561" s="21" t="inlineStr">
        <is>
          <t>Покупка</t>
        </is>
      </c>
      <c r="B1561" s="21" t="inlineStr">
        <is>
          <t>Коммерческая</t>
        </is>
      </c>
      <c r="C1561" s="21" t="inlineStr">
        <is>
          <t>Магадан</t>
        </is>
      </c>
      <c r="D1561" s="22" t="n">
        <v>40</v>
      </c>
    </row>
    <row r="1562">
      <c r="A1562" s="21" t="inlineStr">
        <is>
          <t>Покупка</t>
        </is>
      </c>
      <c r="B1562" s="21" t="inlineStr">
        <is>
          <t>Коммерческая</t>
        </is>
      </c>
      <c r="C1562" s="21" t="inlineStr">
        <is>
          <t>Магнитогорск</t>
        </is>
      </c>
      <c r="D1562" s="22" t="n">
        <v>90</v>
      </c>
    </row>
    <row r="1563">
      <c r="A1563" s="21" t="inlineStr">
        <is>
          <t>Покупка</t>
        </is>
      </c>
      <c r="B1563" s="21" t="inlineStr">
        <is>
          <t>Коммерческая</t>
        </is>
      </c>
      <c r="C1563" s="21" t="inlineStr">
        <is>
          <t>Майкоп</t>
        </is>
      </c>
      <c r="D1563" s="22" t="n">
        <v>92</v>
      </c>
    </row>
    <row r="1564">
      <c r="A1564" s="21" t="inlineStr">
        <is>
          <t>Покупка</t>
        </is>
      </c>
      <c r="B1564" s="21" t="inlineStr">
        <is>
          <t>Коммерческая</t>
        </is>
      </c>
      <c r="C1564" s="21" t="inlineStr">
        <is>
          <t>Махачкала</t>
        </is>
      </c>
      <c r="D1564" s="22" t="n">
        <v>85</v>
      </c>
    </row>
    <row r="1565">
      <c r="A1565" s="21" t="inlineStr">
        <is>
          <t>Покупка</t>
        </is>
      </c>
      <c r="B1565" s="21" t="inlineStr">
        <is>
          <t>Коммерческая</t>
        </is>
      </c>
      <c r="C1565" s="21" t="inlineStr">
        <is>
          <t>Москва</t>
        </is>
      </c>
      <c r="D1565" s="22" t="n">
        <v>40506</v>
      </c>
    </row>
    <row r="1566">
      <c r="A1566" s="21" t="inlineStr">
        <is>
          <t>Покупка</t>
        </is>
      </c>
      <c r="B1566" s="21" t="inlineStr">
        <is>
          <t>Коммерческая</t>
        </is>
      </c>
      <c r="C1566" s="21" t="inlineStr">
        <is>
          <t>Мурманск</t>
        </is>
      </c>
      <c r="D1566" s="22" t="n">
        <v>67</v>
      </c>
    </row>
    <row r="1567">
      <c r="A1567" s="21" t="inlineStr">
        <is>
          <t>Покупка</t>
        </is>
      </c>
      <c r="B1567" s="21" t="inlineStr">
        <is>
          <t>Коммерческая</t>
        </is>
      </c>
      <c r="C1567" s="21" t="inlineStr">
        <is>
          <t>Мытищи</t>
        </is>
      </c>
      <c r="D1567" s="22" t="n">
        <v>217</v>
      </c>
    </row>
    <row r="1568">
      <c r="A1568" s="21" t="inlineStr">
        <is>
          <t>Покупка</t>
        </is>
      </c>
      <c r="B1568" s="21" t="inlineStr">
        <is>
          <t>Коммерческая</t>
        </is>
      </c>
      <c r="C1568" s="21" t="inlineStr">
        <is>
          <t>Набережные Челны</t>
        </is>
      </c>
      <c r="D1568" s="22" t="n">
        <v>233</v>
      </c>
    </row>
    <row r="1569">
      <c r="A1569" s="21" t="inlineStr">
        <is>
          <t>Покупка</t>
        </is>
      </c>
      <c r="B1569" s="21" t="inlineStr">
        <is>
          <t>Коммерческая</t>
        </is>
      </c>
      <c r="C1569" s="21" t="inlineStr">
        <is>
          <t>Нальчик</t>
        </is>
      </c>
      <c r="D1569" s="22" t="n">
        <v>55</v>
      </c>
    </row>
    <row r="1570">
      <c r="A1570" s="21" t="inlineStr">
        <is>
          <t>Покупка</t>
        </is>
      </c>
      <c r="B1570" s="21" t="inlineStr">
        <is>
          <t>Коммерческая</t>
        </is>
      </c>
      <c r="C1570" s="21" t="inlineStr">
        <is>
          <t>Назрань</t>
        </is>
      </c>
      <c r="D1570" s="22" t="n">
        <v>28</v>
      </c>
    </row>
    <row r="1571">
      <c r="A1571" s="21" t="inlineStr">
        <is>
          <t>Покупка</t>
        </is>
      </c>
      <c r="B1571" s="21" t="inlineStr">
        <is>
          <t>Коммерческая</t>
        </is>
      </c>
      <c r="C1571" s="21" t="inlineStr">
        <is>
          <t>Нефтеюганск</t>
        </is>
      </c>
      <c r="D1571" s="22" t="n">
        <v>61</v>
      </c>
    </row>
    <row r="1572">
      <c r="A1572" s="21" t="inlineStr">
        <is>
          <t>Покупка</t>
        </is>
      </c>
      <c r="B1572" s="21" t="inlineStr">
        <is>
          <t>Коммерческая</t>
        </is>
      </c>
      <c r="C1572" s="21" t="inlineStr">
        <is>
          <t>Нижневартовск</t>
        </is>
      </c>
      <c r="D1572" s="22" t="n">
        <v>281</v>
      </c>
    </row>
    <row r="1573">
      <c r="A1573" s="21" t="inlineStr">
        <is>
          <t>Покупка</t>
        </is>
      </c>
      <c r="B1573" s="21" t="inlineStr">
        <is>
          <t>Коммерческая</t>
        </is>
      </c>
      <c r="C1573" s="21" t="inlineStr">
        <is>
          <t>Нижний Тагил</t>
        </is>
      </c>
      <c r="D1573" s="22" t="n">
        <v>242</v>
      </c>
    </row>
    <row r="1574">
      <c r="A1574" s="21" t="inlineStr">
        <is>
          <t>Покупка</t>
        </is>
      </c>
      <c r="B1574" s="21" t="inlineStr">
        <is>
          <t>Коммерческая</t>
        </is>
      </c>
      <c r="C1574" s="21" t="inlineStr">
        <is>
          <t>Нижний Новгород</t>
        </is>
      </c>
      <c r="D1574" s="22" t="n">
        <v>672</v>
      </c>
    </row>
    <row r="1575">
      <c r="A1575" s="21" t="inlineStr">
        <is>
          <t>Покупка</t>
        </is>
      </c>
      <c r="B1575" s="21" t="inlineStr">
        <is>
          <t>Коммерческая</t>
        </is>
      </c>
      <c r="C1575" s="21" t="inlineStr">
        <is>
          <t>Ногинск</t>
        </is>
      </c>
      <c r="D1575" s="22" t="n">
        <v>134</v>
      </c>
    </row>
    <row r="1576">
      <c r="A1576" s="21" t="inlineStr">
        <is>
          <t>Покупка</t>
        </is>
      </c>
      <c r="B1576" s="21" t="inlineStr">
        <is>
          <t>Коммерческая</t>
        </is>
      </c>
      <c r="C1576" s="21" t="inlineStr">
        <is>
          <t>Норильск</t>
        </is>
      </c>
      <c r="D1576" s="22" t="n">
        <v>21</v>
      </c>
    </row>
    <row r="1577">
      <c r="A1577" s="21" t="inlineStr">
        <is>
          <t>Покупка</t>
        </is>
      </c>
      <c r="B1577" s="21" t="inlineStr">
        <is>
          <t>Коммерческая</t>
        </is>
      </c>
      <c r="C1577" s="21" t="inlineStr">
        <is>
          <t>Новокузнецк</t>
        </is>
      </c>
      <c r="D1577" s="22" t="n">
        <v>141</v>
      </c>
    </row>
    <row r="1578">
      <c r="A1578" s="21" t="inlineStr">
        <is>
          <t>Покупка</t>
        </is>
      </c>
      <c r="B1578" s="21" t="inlineStr">
        <is>
          <t>Коммерческая</t>
        </is>
      </c>
      <c r="C1578" s="21" t="inlineStr">
        <is>
          <t>Новороссийск</t>
        </is>
      </c>
      <c r="D1578" s="22" t="n">
        <v>472</v>
      </c>
    </row>
    <row r="1579">
      <c r="A1579" s="21" t="inlineStr">
        <is>
          <t>Покупка</t>
        </is>
      </c>
      <c r="B1579" s="21" t="inlineStr">
        <is>
          <t>Коммерческая</t>
        </is>
      </c>
      <c r="C1579" s="21" t="inlineStr">
        <is>
          <t>Новосибирск</t>
        </is>
      </c>
      <c r="D1579" s="22" t="n">
        <v>1264</v>
      </c>
    </row>
    <row r="1580">
      <c r="A1580" s="21" t="inlineStr">
        <is>
          <t>Покупка</t>
        </is>
      </c>
      <c r="B1580" s="21" t="inlineStr">
        <is>
          <t>Коммерческая</t>
        </is>
      </c>
      <c r="C1580" s="21" t="inlineStr">
        <is>
          <t>Новый Уренгой</t>
        </is>
      </c>
      <c r="D1580" s="22" t="n">
        <v>79</v>
      </c>
    </row>
    <row r="1581">
      <c r="A1581" s="21" t="inlineStr">
        <is>
          <t>Покупка</t>
        </is>
      </c>
      <c r="B1581" s="21" t="inlineStr">
        <is>
          <t>Коммерческая</t>
        </is>
      </c>
      <c r="C1581" s="21" t="inlineStr">
        <is>
          <t>Обнинск</t>
        </is>
      </c>
      <c r="D1581" s="22" t="n">
        <v>26</v>
      </c>
    </row>
    <row r="1582">
      <c r="A1582" s="21" t="inlineStr">
        <is>
          <t>Покупка</t>
        </is>
      </c>
      <c r="B1582" s="21" t="inlineStr">
        <is>
          <t>Коммерческая</t>
        </is>
      </c>
      <c r="C1582" s="21" t="inlineStr">
        <is>
          <t>Одинцово</t>
        </is>
      </c>
      <c r="D1582" s="22" t="n">
        <v>113</v>
      </c>
    </row>
    <row r="1583">
      <c r="A1583" s="21" t="inlineStr">
        <is>
          <t>Покупка</t>
        </is>
      </c>
      <c r="B1583" s="21" t="inlineStr">
        <is>
          <t>Коммерческая</t>
        </is>
      </c>
      <c r="C1583" s="21" t="inlineStr">
        <is>
          <t>Омск</t>
        </is>
      </c>
      <c r="D1583" s="22" t="n">
        <v>964</v>
      </c>
    </row>
    <row r="1584">
      <c r="A1584" s="21" t="inlineStr">
        <is>
          <t>Покупка</t>
        </is>
      </c>
      <c r="B1584" s="21" t="inlineStr">
        <is>
          <t>Коммерческая</t>
        </is>
      </c>
      <c r="C1584" s="21" t="inlineStr">
        <is>
          <t>Оренбург</t>
        </is>
      </c>
      <c r="D1584" s="22" t="n">
        <v>215</v>
      </c>
    </row>
    <row r="1585">
      <c r="A1585" s="21" t="inlineStr">
        <is>
          <t>Покупка</t>
        </is>
      </c>
      <c r="B1585" s="21" t="inlineStr">
        <is>
          <t>Коммерческая</t>
        </is>
      </c>
      <c r="C1585" s="21" t="inlineStr">
        <is>
          <t>Орехово-Зуево</t>
        </is>
      </c>
      <c r="D1585" s="22" t="n">
        <v>16</v>
      </c>
    </row>
    <row r="1586">
      <c r="A1586" s="21" t="inlineStr">
        <is>
          <t>Покупка</t>
        </is>
      </c>
      <c r="B1586" s="21" t="inlineStr">
        <is>
          <t>Коммерческая</t>
        </is>
      </c>
      <c r="C1586" s="21" t="inlineStr">
        <is>
          <t>Орёл</t>
        </is>
      </c>
      <c r="D1586" s="22" t="n">
        <v>133</v>
      </c>
    </row>
    <row r="1587">
      <c r="A1587" s="21" t="inlineStr">
        <is>
          <t>Покупка</t>
        </is>
      </c>
      <c r="B1587" s="21" t="inlineStr">
        <is>
          <t>Коммерческая</t>
        </is>
      </c>
      <c r="C1587" s="21" t="inlineStr">
        <is>
          <t>Пенза</t>
        </is>
      </c>
      <c r="D1587" s="22" t="n">
        <v>172</v>
      </c>
    </row>
    <row r="1588">
      <c r="A1588" s="21" t="inlineStr">
        <is>
          <t>Покупка</t>
        </is>
      </c>
      <c r="B1588" s="21" t="inlineStr">
        <is>
          <t>Коммерческая</t>
        </is>
      </c>
      <c r="C1588" s="21" t="inlineStr">
        <is>
          <t>Пермь</t>
        </is>
      </c>
      <c r="D1588" s="22" t="n">
        <v>228</v>
      </c>
    </row>
    <row r="1589">
      <c r="A1589" s="21" t="inlineStr">
        <is>
          <t>Покупка</t>
        </is>
      </c>
      <c r="B1589" s="21" t="inlineStr">
        <is>
          <t>Коммерческая</t>
        </is>
      </c>
      <c r="C1589" s="21" t="inlineStr">
        <is>
          <t>Петропавловск-Камчатский</t>
        </is>
      </c>
      <c r="D1589" s="22" t="n">
        <v>106</v>
      </c>
    </row>
    <row r="1590">
      <c r="A1590" s="21" t="inlineStr">
        <is>
          <t>Покупка</t>
        </is>
      </c>
      <c r="B1590" s="21" t="inlineStr">
        <is>
          <t>Коммерческая</t>
        </is>
      </c>
      <c r="C1590" s="21" t="inlineStr">
        <is>
          <t>Петрозаводск</t>
        </is>
      </c>
      <c r="D1590" s="22" t="n">
        <v>96</v>
      </c>
    </row>
    <row r="1591">
      <c r="A1591" s="21" t="inlineStr">
        <is>
          <t>Покупка</t>
        </is>
      </c>
      <c r="B1591" s="21" t="inlineStr">
        <is>
          <t>Коммерческая</t>
        </is>
      </c>
      <c r="C1591" s="21" t="inlineStr">
        <is>
          <t>Подольск</t>
        </is>
      </c>
      <c r="D1591" s="22" t="n">
        <v>268</v>
      </c>
    </row>
    <row r="1592">
      <c r="A1592" s="21" t="inlineStr">
        <is>
          <t>Покупка</t>
        </is>
      </c>
      <c r="B1592" s="21" t="inlineStr">
        <is>
          <t>Коммерческая</t>
        </is>
      </c>
      <c r="C1592" s="21" t="inlineStr">
        <is>
          <t>Прокопьевск</t>
        </is>
      </c>
      <c r="D1592" s="22" t="n">
        <v>58</v>
      </c>
    </row>
    <row r="1593">
      <c r="A1593" s="21" t="inlineStr">
        <is>
          <t>Покупка</t>
        </is>
      </c>
      <c r="B1593" s="21" t="inlineStr">
        <is>
          <t>Коммерческая</t>
        </is>
      </c>
      <c r="C1593" s="21" t="inlineStr">
        <is>
          <t>Псков</t>
        </is>
      </c>
      <c r="D1593" s="22" t="n">
        <v>52</v>
      </c>
    </row>
    <row r="1594">
      <c r="A1594" s="21" t="inlineStr">
        <is>
          <t>Покупка</t>
        </is>
      </c>
      <c r="B1594" s="21" t="inlineStr">
        <is>
          <t>Коммерческая</t>
        </is>
      </c>
      <c r="C1594" s="21" t="inlineStr">
        <is>
          <t>Пушкино</t>
        </is>
      </c>
      <c r="D1594" s="22" t="n">
        <v>48</v>
      </c>
    </row>
    <row r="1595">
      <c r="A1595" s="21" t="inlineStr">
        <is>
          <t>Покупка</t>
        </is>
      </c>
      <c r="B1595" s="21" t="inlineStr">
        <is>
          <t>Коммерческая</t>
        </is>
      </c>
      <c r="C1595" s="21" t="inlineStr">
        <is>
          <t>Раменское</t>
        </is>
      </c>
      <c r="D1595" s="22" t="n">
        <v>49</v>
      </c>
    </row>
    <row r="1596">
      <c r="A1596" s="21" t="inlineStr">
        <is>
          <t>Покупка</t>
        </is>
      </c>
      <c r="B1596" s="21" t="inlineStr">
        <is>
          <t>Коммерческая</t>
        </is>
      </c>
      <c r="C1596" s="21" t="inlineStr">
        <is>
          <t>Реутов</t>
        </is>
      </c>
      <c r="D1596" s="22" t="n">
        <v>37</v>
      </c>
    </row>
    <row r="1597">
      <c r="A1597" s="21" t="inlineStr">
        <is>
          <t>Покупка</t>
        </is>
      </c>
      <c r="B1597" s="21" t="inlineStr">
        <is>
          <t>Коммерческая</t>
        </is>
      </c>
      <c r="C1597" s="21" t="inlineStr">
        <is>
          <t>Ростов-на-Дону</t>
        </is>
      </c>
      <c r="D1597" s="22" t="n">
        <v>1229</v>
      </c>
    </row>
    <row r="1598">
      <c r="A1598" s="21" t="inlineStr">
        <is>
          <t>Покупка</t>
        </is>
      </c>
      <c r="B1598" s="21" t="inlineStr">
        <is>
          <t>Коммерческая</t>
        </is>
      </c>
      <c r="C1598" s="21" t="inlineStr">
        <is>
          <t>Рязань</t>
        </is>
      </c>
      <c r="D1598" s="22" t="n">
        <v>187</v>
      </c>
    </row>
    <row r="1599">
      <c r="A1599" s="21" t="inlineStr">
        <is>
          <t>Покупка</t>
        </is>
      </c>
      <c r="B1599" s="21" t="inlineStr">
        <is>
          <t>Коммерческая</t>
        </is>
      </c>
      <c r="C1599" s="21" t="inlineStr">
        <is>
          <t>Салехард</t>
        </is>
      </c>
      <c r="D1599" s="22" t="n">
        <v>21</v>
      </c>
    </row>
    <row r="1600">
      <c r="A1600" s="21" t="inlineStr">
        <is>
          <t>Покупка</t>
        </is>
      </c>
      <c r="B1600" s="21" t="inlineStr">
        <is>
          <t>Коммерческая</t>
        </is>
      </c>
      <c r="C1600" s="21" t="inlineStr">
        <is>
          <t>Самара</t>
        </is>
      </c>
      <c r="D1600" s="22" t="n">
        <v>810</v>
      </c>
    </row>
    <row r="1601">
      <c r="A1601" s="21" t="inlineStr">
        <is>
          <t>Покупка</t>
        </is>
      </c>
      <c r="B1601" s="21" t="inlineStr">
        <is>
          <t>Коммерческая</t>
        </is>
      </c>
      <c r="C1601" s="21" t="inlineStr">
        <is>
          <t>Саранск</t>
        </is>
      </c>
      <c r="D1601" s="22" t="n">
        <v>98</v>
      </c>
    </row>
    <row r="1602">
      <c r="A1602" s="21" t="inlineStr">
        <is>
          <t>Покупка</t>
        </is>
      </c>
      <c r="B1602" s="21" t="inlineStr">
        <is>
          <t>Коммерческая</t>
        </is>
      </c>
      <c r="C1602" s="21" t="inlineStr">
        <is>
          <t>Саратов</t>
        </is>
      </c>
      <c r="D1602" s="22" t="n">
        <v>421</v>
      </c>
    </row>
    <row r="1603">
      <c r="A1603" s="21" t="inlineStr">
        <is>
          <t>Покупка</t>
        </is>
      </c>
      <c r="B1603" s="21" t="inlineStr">
        <is>
          <t>Коммерческая</t>
        </is>
      </c>
      <c r="C1603" s="21" t="inlineStr">
        <is>
          <t>Сергиев Посад</t>
        </is>
      </c>
      <c r="D1603" s="22" t="n">
        <v>42</v>
      </c>
    </row>
    <row r="1604">
      <c r="A1604" s="21" t="inlineStr">
        <is>
          <t>Покупка</t>
        </is>
      </c>
      <c r="B1604" s="21" t="inlineStr">
        <is>
          <t>Коммерческая</t>
        </is>
      </c>
      <c r="C1604" s="21" t="inlineStr">
        <is>
          <t>Серпухов</t>
        </is>
      </c>
      <c r="D1604" s="22" t="n">
        <v>31</v>
      </c>
    </row>
    <row r="1605">
      <c r="A1605" s="21" t="inlineStr">
        <is>
          <t>Покупка</t>
        </is>
      </c>
      <c r="B1605" s="21" t="inlineStr">
        <is>
          <t>Коммерческая</t>
        </is>
      </c>
      <c r="C1605" s="21" t="inlineStr">
        <is>
          <t>Севастополь</t>
        </is>
      </c>
      <c r="D1605" s="22" t="n">
        <v>779</v>
      </c>
    </row>
    <row r="1606">
      <c r="A1606" s="21" t="inlineStr">
        <is>
          <t>Покупка</t>
        </is>
      </c>
      <c r="B1606" s="21" t="inlineStr">
        <is>
          <t>Коммерческая</t>
        </is>
      </c>
      <c r="C1606" s="21" t="inlineStr">
        <is>
          <t>Северодвинск</t>
        </is>
      </c>
      <c r="D1606" s="22" t="n">
        <v>83</v>
      </c>
    </row>
    <row r="1607">
      <c r="A1607" s="21" t="inlineStr">
        <is>
          <t>Покупка</t>
        </is>
      </c>
      <c r="B1607" s="21" t="inlineStr">
        <is>
          <t>Коммерческая</t>
        </is>
      </c>
      <c r="C1607" s="21" t="inlineStr">
        <is>
          <t>Симферополь</t>
        </is>
      </c>
      <c r="D1607" s="22" t="n">
        <v>388</v>
      </c>
    </row>
    <row r="1608">
      <c r="A1608" s="21" t="inlineStr">
        <is>
          <t>Покупка</t>
        </is>
      </c>
      <c r="B1608" s="21" t="inlineStr">
        <is>
          <t>Коммерческая</t>
        </is>
      </c>
      <c r="C1608" s="21" t="inlineStr">
        <is>
          <t>Смоленск</t>
        </is>
      </c>
      <c r="D1608" s="22" t="n">
        <v>118</v>
      </c>
    </row>
    <row r="1609">
      <c r="A1609" s="21" t="inlineStr">
        <is>
          <t>Покупка</t>
        </is>
      </c>
      <c r="B1609" s="21" t="inlineStr">
        <is>
          <t>Коммерческая</t>
        </is>
      </c>
      <c r="C1609" s="21" t="inlineStr">
        <is>
          <t>Сочи</t>
        </is>
      </c>
      <c r="D1609" s="22" t="n">
        <v>419</v>
      </c>
    </row>
    <row r="1610">
      <c r="A1610" s="21" t="inlineStr">
        <is>
          <t>Покупка</t>
        </is>
      </c>
      <c r="B1610" s="21" t="inlineStr">
        <is>
          <t>Коммерческая</t>
        </is>
      </c>
      <c r="C1610" s="21" t="inlineStr">
        <is>
          <t>Санкт-Петербург</t>
        </is>
      </c>
      <c r="D1610" s="22" t="n">
        <v>4305</v>
      </c>
    </row>
    <row r="1611">
      <c r="A1611" s="21" t="inlineStr">
        <is>
          <t>Покупка</t>
        </is>
      </c>
      <c r="B1611" s="21" t="inlineStr">
        <is>
          <t>Коммерческая</t>
        </is>
      </c>
      <c r="C1611" s="21" t="inlineStr">
        <is>
          <t>Старый Оскол</t>
        </is>
      </c>
      <c r="D1611" s="22" t="n">
        <v>178</v>
      </c>
    </row>
    <row r="1612">
      <c r="A1612" s="21" t="inlineStr">
        <is>
          <t>Покупка</t>
        </is>
      </c>
      <c r="B1612" s="21" t="inlineStr">
        <is>
          <t>Коммерческая</t>
        </is>
      </c>
      <c r="C1612" s="21" t="inlineStr">
        <is>
          <t>Ставрополь</t>
        </is>
      </c>
      <c r="D1612" s="22" t="n">
        <v>388</v>
      </c>
    </row>
    <row r="1613">
      <c r="A1613" s="21" t="inlineStr">
        <is>
          <t>Покупка</t>
        </is>
      </c>
      <c r="B1613" s="21" t="inlineStr">
        <is>
          <t>Коммерческая</t>
        </is>
      </c>
      <c r="C1613" s="21" t="inlineStr">
        <is>
          <t>Стерлитамак</t>
        </is>
      </c>
      <c r="D1613" s="22" t="n">
        <v>277</v>
      </c>
    </row>
    <row r="1614">
      <c r="A1614" s="21" t="inlineStr">
        <is>
          <t>Покупка</t>
        </is>
      </c>
      <c r="B1614" s="21" t="inlineStr">
        <is>
          <t>Коммерческая</t>
        </is>
      </c>
      <c r="C1614" s="21" t="inlineStr">
        <is>
          <t>Сургут</t>
        </is>
      </c>
      <c r="D1614" s="22" t="n">
        <v>551</v>
      </c>
    </row>
    <row r="1615">
      <c r="A1615" s="21" t="inlineStr">
        <is>
          <t>Покупка</t>
        </is>
      </c>
      <c r="B1615" s="21" t="inlineStr">
        <is>
          <t>Коммерческая</t>
        </is>
      </c>
      <c r="C1615" s="21" t="inlineStr">
        <is>
          <t>Сыктывкар</t>
        </is>
      </c>
      <c r="D1615" s="22" t="n">
        <v>261</v>
      </c>
    </row>
    <row r="1616">
      <c r="A1616" s="21" t="inlineStr">
        <is>
          <t>Покупка</t>
        </is>
      </c>
      <c r="B1616" s="21" t="inlineStr">
        <is>
          <t>Коммерческая</t>
        </is>
      </c>
      <c r="C1616" s="21" t="inlineStr">
        <is>
          <t>Тамбов</t>
        </is>
      </c>
      <c r="D1616" s="22" t="n">
        <v>156</v>
      </c>
    </row>
    <row r="1617">
      <c r="A1617" s="21" t="inlineStr">
        <is>
          <t>Покупка</t>
        </is>
      </c>
      <c r="B1617" s="21" t="inlineStr">
        <is>
          <t>Коммерческая</t>
        </is>
      </c>
      <c r="C1617" s="21" t="inlineStr">
        <is>
          <t>Тольятти</t>
        </is>
      </c>
      <c r="D1617" s="22" t="n">
        <v>258</v>
      </c>
    </row>
    <row r="1618">
      <c r="A1618" s="21" t="inlineStr">
        <is>
          <t>Покупка</t>
        </is>
      </c>
      <c r="B1618" s="21" t="inlineStr">
        <is>
          <t>Коммерческая</t>
        </is>
      </c>
      <c r="C1618" s="21" t="inlineStr">
        <is>
          <t>Томск</t>
        </is>
      </c>
      <c r="D1618" s="22" t="n">
        <v>314</v>
      </c>
    </row>
    <row r="1619">
      <c r="A1619" s="21" t="inlineStr">
        <is>
          <t>Покупка</t>
        </is>
      </c>
      <c r="B1619" s="21" t="inlineStr">
        <is>
          <t>Коммерческая</t>
        </is>
      </c>
      <c r="C1619" s="21" t="inlineStr">
        <is>
          <t>Тула</t>
        </is>
      </c>
      <c r="D1619" s="22" t="n">
        <v>170</v>
      </c>
    </row>
    <row r="1620">
      <c r="A1620" s="21" t="inlineStr">
        <is>
          <t>Покупка</t>
        </is>
      </c>
      <c r="B1620" s="21" t="inlineStr">
        <is>
          <t>Коммерческая</t>
        </is>
      </c>
      <c r="C1620" s="21" t="inlineStr">
        <is>
          <t>Тверь</t>
        </is>
      </c>
      <c r="D1620" s="22" t="n">
        <v>167</v>
      </c>
    </row>
    <row r="1621">
      <c r="A1621" s="21" t="inlineStr">
        <is>
          <t>Покупка</t>
        </is>
      </c>
      <c r="B1621" s="21" t="inlineStr">
        <is>
          <t>Коммерческая</t>
        </is>
      </c>
      <c r="C1621" s="21" t="inlineStr">
        <is>
          <t>Тюмень</t>
        </is>
      </c>
      <c r="D1621" s="22" t="n">
        <v>4913</v>
      </c>
    </row>
    <row r="1622">
      <c r="A1622" s="21" t="inlineStr">
        <is>
          <t>Покупка</t>
        </is>
      </c>
      <c r="B1622" s="21" t="inlineStr">
        <is>
          <t>Коммерческая</t>
        </is>
      </c>
      <c r="C1622" s="21" t="inlineStr">
        <is>
          <t>Уфа</t>
        </is>
      </c>
      <c r="D1622" s="22" t="n">
        <v>837</v>
      </c>
    </row>
    <row r="1623">
      <c r="A1623" s="21" t="inlineStr">
        <is>
          <t>Покупка</t>
        </is>
      </c>
      <c r="B1623" s="21" t="inlineStr">
        <is>
          <t>Коммерческая</t>
        </is>
      </c>
      <c r="C1623" s="21" t="inlineStr">
        <is>
          <t>Улан-Удэ</t>
        </is>
      </c>
      <c r="D1623" s="22" t="n">
        <v>356</v>
      </c>
    </row>
    <row r="1624">
      <c r="A1624" s="21" t="inlineStr">
        <is>
          <t>Покупка</t>
        </is>
      </c>
      <c r="B1624" s="21" t="inlineStr">
        <is>
          <t>Коммерческая</t>
        </is>
      </c>
      <c r="C1624" s="21" t="inlineStr">
        <is>
          <t>Ульяновск</t>
        </is>
      </c>
      <c r="D1624" s="22" t="n">
        <v>697</v>
      </c>
    </row>
    <row r="1625">
      <c r="A1625" s="21" t="inlineStr">
        <is>
          <t>Покупка</t>
        </is>
      </c>
      <c r="B1625" s="21" t="inlineStr">
        <is>
          <t>Коммерческая</t>
        </is>
      </c>
      <c r="C1625" s="21" t="inlineStr">
        <is>
          <t>Великий Новгород</t>
        </is>
      </c>
      <c r="D1625" s="22" t="n">
        <v>93</v>
      </c>
    </row>
    <row r="1626">
      <c r="A1626" s="21" t="inlineStr">
        <is>
          <t>Покупка</t>
        </is>
      </c>
      <c r="B1626" s="21" t="inlineStr">
        <is>
          <t>Коммерческая</t>
        </is>
      </c>
      <c r="C1626" s="21" t="inlineStr">
        <is>
          <t>Владикавказ</t>
        </is>
      </c>
      <c r="D1626" s="22" t="n">
        <v>122</v>
      </c>
    </row>
    <row r="1627">
      <c r="A1627" s="21" t="inlineStr">
        <is>
          <t>Покупка</t>
        </is>
      </c>
      <c r="B1627" s="21" t="inlineStr">
        <is>
          <t>Коммерческая</t>
        </is>
      </c>
      <c r="C1627" s="21" t="inlineStr">
        <is>
          <t>Владимир</t>
        </is>
      </c>
      <c r="D1627" s="22" t="n">
        <v>326</v>
      </c>
    </row>
    <row r="1628">
      <c r="A1628" s="21" t="inlineStr">
        <is>
          <t>Покупка</t>
        </is>
      </c>
      <c r="B1628" s="21" t="inlineStr">
        <is>
          <t>Коммерческая</t>
        </is>
      </c>
      <c r="C1628" s="21" t="inlineStr">
        <is>
          <t>Владивосток</t>
        </is>
      </c>
      <c r="D1628" s="22" t="n">
        <v>195</v>
      </c>
    </row>
    <row r="1629">
      <c r="A1629" s="21" t="inlineStr">
        <is>
          <t>Покупка</t>
        </is>
      </c>
      <c r="B1629" s="21" t="inlineStr">
        <is>
          <t>Коммерческая</t>
        </is>
      </c>
      <c r="C1629" s="21" t="inlineStr">
        <is>
          <t>Волгоград</t>
        </is>
      </c>
      <c r="D1629" s="22" t="n">
        <v>449</v>
      </c>
    </row>
    <row r="1630">
      <c r="A1630" s="21" t="inlineStr">
        <is>
          <t>Покупка</t>
        </is>
      </c>
      <c r="B1630" s="21" t="inlineStr">
        <is>
          <t>Коммерческая</t>
        </is>
      </c>
      <c r="C1630" s="21" t="inlineStr">
        <is>
          <t>Вологда</t>
        </is>
      </c>
      <c r="D1630" s="22" t="n">
        <v>123</v>
      </c>
    </row>
    <row r="1631">
      <c r="A1631" s="21" t="inlineStr">
        <is>
          <t>Покупка</t>
        </is>
      </c>
      <c r="B1631" s="21" t="inlineStr">
        <is>
          <t>Коммерческая</t>
        </is>
      </c>
      <c r="C1631" s="21" t="inlineStr">
        <is>
          <t>Волжский</t>
        </is>
      </c>
      <c r="D1631" s="22" t="n">
        <v>95</v>
      </c>
    </row>
    <row r="1632">
      <c r="A1632" s="21" t="inlineStr">
        <is>
          <t>Покупка</t>
        </is>
      </c>
      <c r="B1632" s="21" t="inlineStr">
        <is>
          <t>Коммерческая</t>
        </is>
      </c>
      <c r="C1632" s="21" t="inlineStr">
        <is>
          <t>Воронеж</t>
        </is>
      </c>
      <c r="D1632" s="22" t="n">
        <v>465</v>
      </c>
    </row>
    <row r="1633">
      <c r="A1633" s="21" t="inlineStr">
        <is>
          <t>Покупка</t>
        </is>
      </c>
      <c r="B1633" s="21" t="inlineStr">
        <is>
          <t>Коммерческая</t>
        </is>
      </c>
      <c r="C1633" s="21" t="inlineStr">
        <is>
          <t>Хабаровск</t>
        </is>
      </c>
      <c r="D1633" s="22" t="n">
        <v>358</v>
      </c>
    </row>
    <row r="1634">
      <c r="A1634" s="21" t="inlineStr">
        <is>
          <t>Покупка</t>
        </is>
      </c>
      <c r="B1634" s="21" t="inlineStr">
        <is>
          <t>Коммерческая</t>
        </is>
      </c>
      <c r="C1634" s="21" t="inlineStr">
        <is>
          <t>Ханты-Мансийск</t>
        </is>
      </c>
      <c r="D1634" s="22" t="n">
        <v>173</v>
      </c>
    </row>
    <row r="1635">
      <c r="A1635" s="21" t="inlineStr">
        <is>
          <t>Покупка</t>
        </is>
      </c>
      <c r="B1635" s="21" t="inlineStr">
        <is>
          <t>Коммерческая</t>
        </is>
      </c>
      <c r="C1635" s="21" t="inlineStr">
        <is>
          <t>Химки</t>
        </is>
      </c>
      <c r="D1635" s="22" t="n">
        <v>598</v>
      </c>
    </row>
    <row r="1636">
      <c r="A1636" s="21" t="inlineStr">
        <is>
          <t>Покупка</t>
        </is>
      </c>
      <c r="B1636" s="21" t="inlineStr">
        <is>
          <t>Коммерческая</t>
        </is>
      </c>
      <c r="C1636" s="21" t="inlineStr">
        <is>
          <t>Якутск</t>
        </is>
      </c>
      <c r="D1636" s="22" t="n">
        <v>232</v>
      </c>
    </row>
    <row r="1637">
      <c r="A1637" s="21" t="inlineStr">
        <is>
          <t>Покупка</t>
        </is>
      </c>
      <c r="B1637" s="21" t="inlineStr">
        <is>
          <t>Коммерческая</t>
        </is>
      </c>
      <c r="C1637" s="21" t="inlineStr">
        <is>
          <t>Ярославль</t>
        </is>
      </c>
      <c r="D1637" s="22" t="n">
        <v>223</v>
      </c>
    </row>
    <row r="1638">
      <c r="A1638" s="21" t="inlineStr">
        <is>
          <t>Покупка</t>
        </is>
      </c>
      <c r="B1638" s="21" t="inlineStr">
        <is>
          <t>Коммерческая</t>
        </is>
      </c>
      <c r="C1638" s="21" t="inlineStr">
        <is>
          <t>Южно-Сахалинск</t>
        </is>
      </c>
      <c r="D1638" s="22" t="n">
        <v>241</v>
      </c>
    </row>
    <row r="1639">
      <c r="A1639" s="21" t="inlineStr">
        <is>
          <t>Покупка</t>
        </is>
      </c>
      <c r="B1639" s="21" t="inlineStr">
        <is>
          <t>Коммерческая</t>
        </is>
      </c>
      <c r="C1639" s="21" t="inlineStr">
        <is>
          <t>Жуковский</t>
        </is>
      </c>
      <c r="D1639" s="22" t="n">
        <v>104</v>
      </c>
    </row>
    <row r="1640">
      <c r="A1640" s="27" t="inlineStr">
        <is>
          <t>Аренда</t>
        </is>
      </c>
      <c r="B1640" s="17" t="inlineStr">
        <is>
          <t>Квартиры</t>
        </is>
      </c>
      <c r="C1640" s="28" t="inlineStr">
        <is>
          <t>Абакан</t>
        </is>
      </c>
      <c r="D1640" s="19" t="n">
        <v>97</v>
      </c>
    </row>
    <row r="1641">
      <c r="A1641" s="21" t="inlineStr">
        <is>
          <t>Аренда</t>
        </is>
      </c>
      <c r="B1641" s="21" t="inlineStr">
        <is>
          <t>Квартиры</t>
        </is>
      </c>
      <c r="C1641" s="21" t="inlineStr">
        <is>
          <t>Архангельск</t>
        </is>
      </c>
      <c r="D1641" s="22" t="n">
        <v>129</v>
      </c>
    </row>
    <row r="1642">
      <c r="A1642" s="21" t="inlineStr">
        <is>
          <t>Аренда</t>
        </is>
      </c>
      <c r="B1642" s="21" t="inlineStr">
        <is>
          <t>Квартиры</t>
        </is>
      </c>
      <c r="C1642" s="21" t="inlineStr">
        <is>
          <t>Астрахань</t>
        </is>
      </c>
      <c r="D1642" s="22" t="n">
        <v>89</v>
      </c>
    </row>
    <row r="1643">
      <c r="A1643" s="21" t="inlineStr">
        <is>
          <t>Аренда</t>
        </is>
      </c>
      <c r="B1643" s="21" t="inlineStr">
        <is>
          <t>Квартиры</t>
        </is>
      </c>
      <c r="C1643" s="21" t="inlineStr">
        <is>
          <t>Балашиха</t>
        </is>
      </c>
      <c r="D1643" s="22" t="n">
        <v>186</v>
      </c>
    </row>
    <row r="1644">
      <c r="A1644" s="21" t="inlineStr">
        <is>
          <t>Аренда</t>
        </is>
      </c>
      <c r="B1644" s="21" t="inlineStr">
        <is>
          <t>Квартиры</t>
        </is>
      </c>
      <c r="C1644" s="21" t="inlineStr">
        <is>
          <t>Барнаул</t>
        </is>
      </c>
      <c r="D1644" s="22" t="n">
        <v>213</v>
      </c>
    </row>
    <row r="1645">
      <c r="A1645" s="21" t="inlineStr">
        <is>
          <t>Аренда</t>
        </is>
      </c>
      <c r="B1645" s="21" t="inlineStr">
        <is>
          <t>Квартиры</t>
        </is>
      </c>
      <c r="C1645" s="21" t="inlineStr">
        <is>
          <t>Белгород</t>
        </is>
      </c>
      <c r="D1645" s="22" t="n">
        <v>132</v>
      </c>
    </row>
    <row r="1646">
      <c r="A1646" s="21" t="inlineStr">
        <is>
          <t>Аренда</t>
        </is>
      </c>
      <c r="B1646" s="21" t="inlineStr">
        <is>
          <t>Квартиры</t>
        </is>
      </c>
      <c r="C1646" s="21" t="inlineStr">
        <is>
          <t>Благовещенск</t>
        </is>
      </c>
      <c r="D1646" s="22" t="n">
        <v>74</v>
      </c>
    </row>
    <row r="1647">
      <c r="A1647" s="21" t="inlineStr">
        <is>
          <t>Аренда</t>
        </is>
      </c>
      <c r="B1647" s="21" t="inlineStr">
        <is>
          <t>Квартиры</t>
        </is>
      </c>
      <c r="C1647" s="21" t="inlineStr">
        <is>
          <t>Братск</t>
        </is>
      </c>
      <c r="D1647" s="22" t="n">
        <v>55</v>
      </c>
    </row>
    <row r="1648">
      <c r="A1648" s="21" t="inlineStr">
        <is>
          <t>Аренда</t>
        </is>
      </c>
      <c r="B1648" s="21" t="inlineStr">
        <is>
          <t>Квартиры</t>
        </is>
      </c>
      <c r="C1648" s="21" t="inlineStr">
        <is>
          <t>Брянск</t>
        </is>
      </c>
      <c r="D1648" s="22" t="n">
        <v>128</v>
      </c>
    </row>
    <row r="1649">
      <c r="A1649" s="21" t="inlineStr">
        <is>
          <t>Аренда</t>
        </is>
      </c>
      <c r="B1649" s="21" t="inlineStr">
        <is>
          <t>Квартиры</t>
        </is>
      </c>
      <c r="C1649" s="21" t="inlineStr">
        <is>
          <t>Чебоксары</t>
        </is>
      </c>
      <c r="D1649" s="22" t="n">
        <v>474</v>
      </c>
    </row>
    <row r="1650">
      <c r="A1650" s="21" t="inlineStr">
        <is>
          <t>Аренда</t>
        </is>
      </c>
      <c r="B1650" s="21" t="inlineStr">
        <is>
          <t>Квартиры</t>
        </is>
      </c>
      <c r="C1650" s="21" t="inlineStr">
        <is>
          <t>Челябинск</t>
        </is>
      </c>
      <c r="D1650" s="22" t="n">
        <v>768</v>
      </c>
    </row>
    <row r="1651">
      <c r="A1651" s="21" t="inlineStr">
        <is>
          <t>Аренда</t>
        </is>
      </c>
      <c r="B1651" s="21" t="inlineStr">
        <is>
          <t>Квартиры</t>
        </is>
      </c>
      <c r="C1651" s="21" t="inlineStr">
        <is>
          <t>Череповец</t>
        </is>
      </c>
      <c r="D1651" s="22" t="n">
        <v>146</v>
      </c>
    </row>
    <row r="1652">
      <c r="A1652" s="21" t="inlineStr">
        <is>
          <t>Аренда</t>
        </is>
      </c>
      <c r="B1652" s="21" t="inlineStr">
        <is>
          <t>Квартиры</t>
        </is>
      </c>
      <c r="C1652" s="21" t="inlineStr">
        <is>
          <t>Черкесск</t>
        </is>
      </c>
      <c r="D1652" s="22" t="n">
        <v>36</v>
      </c>
    </row>
    <row r="1653">
      <c r="A1653" s="21" t="inlineStr">
        <is>
          <t>Аренда</t>
        </is>
      </c>
      <c r="B1653" s="21" t="inlineStr">
        <is>
          <t>Квартиры</t>
        </is>
      </c>
      <c r="C1653" s="21" t="inlineStr">
        <is>
          <t>Чита</t>
        </is>
      </c>
      <c r="D1653" s="22" t="n">
        <v>142</v>
      </c>
    </row>
    <row r="1654">
      <c r="A1654" s="21" t="inlineStr">
        <is>
          <t>Аренда</t>
        </is>
      </c>
      <c r="B1654" s="21" t="inlineStr">
        <is>
          <t>Квартиры</t>
        </is>
      </c>
      <c r="C1654" s="21" t="inlineStr">
        <is>
          <t>Долгопрудный</t>
        </is>
      </c>
      <c r="D1654" s="22" t="n">
        <v>22</v>
      </c>
    </row>
    <row r="1655">
      <c r="A1655" s="21" t="inlineStr">
        <is>
          <t>Аренда</t>
        </is>
      </c>
      <c r="B1655" s="21" t="inlineStr">
        <is>
          <t>Квартиры</t>
        </is>
      </c>
      <c r="C1655" s="21" t="inlineStr">
        <is>
          <t>Домодедово</t>
        </is>
      </c>
      <c r="D1655" s="22" t="n">
        <v>36</v>
      </c>
    </row>
    <row r="1656">
      <c r="A1656" s="21" t="inlineStr">
        <is>
          <t>Аренда</t>
        </is>
      </c>
      <c r="B1656" s="21" t="inlineStr">
        <is>
          <t>Квартиры</t>
        </is>
      </c>
      <c r="C1656" s="21" t="inlineStr">
        <is>
          <t>Дзержинск</t>
        </is>
      </c>
      <c r="D1656" s="22" t="n">
        <v>14</v>
      </c>
    </row>
    <row r="1657">
      <c r="A1657" s="21" t="inlineStr">
        <is>
          <t>Аренда</t>
        </is>
      </c>
      <c r="B1657" s="21" t="inlineStr">
        <is>
          <t>Квартиры</t>
        </is>
      </c>
      <c r="C1657" s="21" t="inlineStr">
        <is>
          <t>Екатеринбург</t>
        </is>
      </c>
      <c r="D1657" s="22" t="n">
        <v>1448</v>
      </c>
    </row>
    <row r="1658">
      <c r="A1658" s="21" t="inlineStr">
        <is>
          <t>Аренда</t>
        </is>
      </c>
      <c r="B1658" s="21" t="inlineStr">
        <is>
          <t>Квартиры</t>
        </is>
      </c>
      <c r="C1658" s="21" t="inlineStr">
        <is>
          <t>Электросталь</t>
        </is>
      </c>
      <c r="D1658" s="22" t="n">
        <v>22</v>
      </c>
    </row>
    <row r="1659">
      <c r="A1659" s="21" t="inlineStr">
        <is>
          <t>Аренда</t>
        </is>
      </c>
      <c r="B1659" s="21" t="inlineStr">
        <is>
          <t>Квартиры</t>
        </is>
      </c>
      <c r="C1659" s="21" t="inlineStr">
        <is>
          <t>Энгельс</t>
        </is>
      </c>
      <c r="D1659" s="22" t="n">
        <v>55</v>
      </c>
    </row>
    <row r="1660">
      <c r="A1660" s="21" t="inlineStr">
        <is>
          <t>Аренда</t>
        </is>
      </c>
      <c r="B1660" s="21" t="inlineStr">
        <is>
          <t>Квартиры</t>
        </is>
      </c>
      <c r="C1660" s="21" t="inlineStr">
        <is>
          <t>Горно-Алтайск</t>
        </is>
      </c>
      <c r="D1660" s="22" t="n">
        <v>21</v>
      </c>
    </row>
    <row r="1661">
      <c r="A1661" s="21" t="inlineStr">
        <is>
          <t>Аренда</t>
        </is>
      </c>
      <c r="B1661" s="21" t="inlineStr">
        <is>
          <t>Квартиры</t>
        </is>
      </c>
      <c r="C1661" s="21" t="inlineStr">
        <is>
          <t>Иркутск</t>
        </is>
      </c>
      <c r="D1661" s="22" t="n">
        <v>470</v>
      </c>
    </row>
    <row r="1662">
      <c r="A1662" s="21" t="inlineStr">
        <is>
          <t>Аренда</t>
        </is>
      </c>
      <c r="B1662" s="21" t="inlineStr">
        <is>
          <t>Квартиры</t>
        </is>
      </c>
      <c r="C1662" s="21" t="inlineStr">
        <is>
          <t>Иваново</t>
        </is>
      </c>
      <c r="D1662" s="22" t="n">
        <v>156</v>
      </c>
    </row>
    <row r="1663">
      <c r="A1663" s="21" t="inlineStr">
        <is>
          <t>Аренда</t>
        </is>
      </c>
      <c r="B1663" s="21" t="inlineStr">
        <is>
          <t>Квартиры</t>
        </is>
      </c>
      <c r="C1663" s="21" t="inlineStr">
        <is>
          <t>Ижевск</t>
        </is>
      </c>
      <c r="D1663" s="22" t="n">
        <v>381</v>
      </c>
    </row>
    <row r="1664">
      <c r="A1664" s="21" t="inlineStr">
        <is>
          <t>Аренда</t>
        </is>
      </c>
      <c r="B1664" s="21" t="inlineStr">
        <is>
          <t>Квартиры</t>
        </is>
      </c>
      <c r="C1664" s="21" t="inlineStr">
        <is>
          <t>Йошкар-Ола</t>
        </is>
      </c>
      <c r="D1664" s="22" t="n">
        <v>28</v>
      </c>
    </row>
    <row r="1665">
      <c r="A1665" s="21" t="inlineStr">
        <is>
          <t>Аренда</t>
        </is>
      </c>
      <c r="B1665" s="21" t="inlineStr">
        <is>
          <t>Квартиры</t>
        </is>
      </c>
      <c r="C1665" s="21" t="inlineStr">
        <is>
          <t>Калининград</t>
        </is>
      </c>
      <c r="D1665" s="22" t="n">
        <v>264</v>
      </c>
    </row>
    <row r="1666">
      <c r="A1666" s="21" t="inlineStr">
        <is>
          <t>Аренда</t>
        </is>
      </c>
      <c r="B1666" s="21" t="inlineStr">
        <is>
          <t>Квартиры</t>
        </is>
      </c>
      <c r="C1666" s="21" t="inlineStr">
        <is>
          <t>Калуга</t>
        </is>
      </c>
      <c r="D1666" s="22" t="n">
        <v>85</v>
      </c>
    </row>
    <row r="1667">
      <c r="A1667" s="21" t="inlineStr">
        <is>
          <t>Аренда</t>
        </is>
      </c>
      <c r="B1667" s="21" t="inlineStr">
        <is>
          <t>Квартиры</t>
        </is>
      </c>
      <c r="C1667" s="21" t="inlineStr">
        <is>
          <t>Казань</t>
        </is>
      </c>
      <c r="D1667" s="22" t="n">
        <v>2898</v>
      </c>
    </row>
    <row r="1668">
      <c r="A1668" s="21" t="inlineStr">
        <is>
          <t>Аренда</t>
        </is>
      </c>
      <c r="B1668" s="21" t="inlineStr">
        <is>
          <t>Квартиры</t>
        </is>
      </c>
      <c r="C1668" s="21" t="inlineStr">
        <is>
          <t>Кемерово</t>
        </is>
      </c>
      <c r="D1668" s="22" t="n">
        <v>378</v>
      </c>
    </row>
    <row r="1669">
      <c r="A1669" s="21" t="inlineStr">
        <is>
          <t>Аренда</t>
        </is>
      </c>
      <c r="B1669" s="21" t="inlineStr">
        <is>
          <t>Квартиры</t>
        </is>
      </c>
      <c r="C1669" s="21" t="inlineStr">
        <is>
          <t>Киров</t>
        </is>
      </c>
      <c r="D1669" s="22" t="n">
        <v>151</v>
      </c>
    </row>
    <row r="1670">
      <c r="A1670" s="21" t="inlineStr">
        <is>
          <t>Аренда</t>
        </is>
      </c>
      <c r="B1670" s="21" t="inlineStr">
        <is>
          <t>Квартиры</t>
        </is>
      </c>
      <c r="C1670" s="21" t="inlineStr">
        <is>
          <t>Коломна</t>
        </is>
      </c>
      <c r="D1670" s="22" t="n">
        <v>6</v>
      </c>
    </row>
    <row r="1671">
      <c r="A1671" s="21" t="inlineStr">
        <is>
          <t>Аренда</t>
        </is>
      </c>
      <c r="B1671" s="21" t="inlineStr">
        <is>
          <t>Квартиры</t>
        </is>
      </c>
      <c r="C1671" s="21" t="inlineStr">
        <is>
          <t>Комсомольск-на-Амуре</t>
        </is>
      </c>
      <c r="D1671" s="22" t="n">
        <v>33</v>
      </c>
    </row>
    <row r="1672">
      <c r="A1672" s="21" t="inlineStr">
        <is>
          <t>Аренда</t>
        </is>
      </c>
      <c r="B1672" s="21" t="inlineStr">
        <is>
          <t>Квартиры</t>
        </is>
      </c>
      <c r="C1672" s="21" t="inlineStr">
        <is>
          <t>Королёв</t>
        </is>
      </c>
      <c r="D1672" s="22" t="n">
        <v>139</v>
      </c>
    </row>
    <row r="1673">
      <c r="A1673" s="21" t="inlineStr">
        <is>
          <t>Аренда</t>
        </is>
      </c>
      <c r="B1673" s="21" t="inlineStr">
        <is>
          <t>Квартиры</t>
        </is>
      </c>
      <c r="C1673" s="21" t="inlineStr">
        <is>
          <t>Кострома</t>
        </is>
      </c>
      <c r="D1673" s="22" t="n">
        <v>99</v>
      </c>
    </row>
    <row r="1674">
      <c r="A1674" s="21" t="inlineStr">
        <is>
          <t>Аренда</t>
        </is>
      </c>
      <c r="B1674" s="21" t="inlineStr">
        <is>
          <t>Квартиры</t>
        </is>
      </c>
      <c r="C1674" s="21" t="inlineStr">
        <is>
          <t>Краснодар</t>
        </is>
      </c>
      <c r="D1674" s="22" t="n">
        <v>1577</v>
      </c>
    </row>
    <row r="1675">
      <c r="A1675" s="21" t="inlineStr">
        <is>
          <t>Аренда</t>
        </is>
      </c>
      <c r="B1675" s="21" t="inlineStr">
        <is>
          <t>Квартиры</t>
        </is>
      </c>
      <c r="C1675" s="21" t="inlineStr">
        <is>
          <t>Красногорск</t>
        </is>
      </c>
      <c r="D1675" s="22" t="n">
        <v>72</v>
      </c>
    </row>
    <row r="1676">
      <c r="A1676" s="21" t="inlineStr">
        <is>
          <t>Аренда</t>
        </is>
      </c>
      <c r="B1676" s="21" t="inlineStr">
        <is>
          <t>Квартиры</t>
        </is>
      </c>
      <c r="C1676" s="21" t="inlineStr">
        <is>
          <t>Красноярск</t>
        </is>
      </c>
      <c r="D1676" s="22" t="n">
        <v>1982</v>
      </c>
    </row>
    <row r="1677">
      <c r="A1677" s="21" t="inlineStr">
        <is>
          <t>Аренда</t>
        </is>
      </c>
      <c r="B1677" s="21" t="inlineStr">
        <is>
          <t>Квартиры</t>
        </is>
      </c>
      <c r="C1677" s="21" t="inlineStr">
        <is>
          <t>Курган</t>
        </is>
      </c>
      <c r="D1677" s="22" t="n">
        <v>134</v>
      </c>
    </row>
    <row r="1678">
      <c r="A1678" s="21" t="inlineStr">
        <is>
          <t>Аренда</t>
        </is>
      </c>
      <c r="B1678" s="21" t="inlineStr">
        <is>
          <t>Квартиры</t>
        </is>
      </c>
      <c r="C1678" s="21" t="inlineStr">
        <is>
          <t>Курск</t>
        </is>
      </c>
      <c r="D1678" s="22" t="n">
        <v>101</v>
      </c>
    </row>
    <row r="1679">
      <c r="A1679" s="21" t="inlineStr">
        <is>
          <t>Аренда</t>
        </is>
      </c>
      <c r="B1679" s="21" t="inlineStr">
        <is>
          <t>Квартиры</t>
        </is>
      </c>
      <c r="C1679" s="21" t="inlineStr">
        <is>
          <t>Кызыл</t>
        </is>
      </c>
      <c r="D1679" s="22" t="n">
        <v>28</v>
      </c>
    </row>
    <row r="1680">
      <c r="A1680" s="21" t="inlineStr">
        <is>
          <t>Аренда</t>
        </is>
      </c>
      <c r="B1680" s="21" t="inlineStr">
        <is>
          <t>Квартиры</t>
        </is>
      </c>
      <c r="C1680" s="21" t="inlineStr">
        <is>
          <t>Липецк</t>
        </is>
      </c>
      <c r="D1680" s="22" t="n">
        <v>544</v>
      </c>
    </row>
    <row r="1681">
      <c r="A1681" s="21" t="inlineStr">
        <is>
          <t>Аренда</t>
        </is>
      </c>
      <c r="B1681" s="21" t="inlineStr">
        <is>
          <t>Квартиры</t>
        </is>
      </c>
      <c r="C1681" s="21" t="inlineStr">
        <is>
          <t>Люберцы</t>
        </is>
      </c>
      <c r="D1681" s="22" t="n">
        <v>112</v>
      </c>
    </row>
    <row r="1682">
      <c r="A1682" s="21" t="inlineStr">
        <is>
          <t>Аренда</t>
        </is>
      </c>
      <c r="B1682" s="21" t="inlineStr">
        <is>
          <t>Квартиры</t>
        </is>
      </c>
      <c r="C1682" s="21" t="inlineStr">
        <is>
          <t>Магадан</t>
        </is>
      </c>
      <c r="D1682" s="22" t="n">
        <v>9</v>
      </c>
    </row>
    <row r="1683">
      <c r="A1683" s="21" t="inlineStr">
        <is>
          <t>Аренда</t>
        </is>
      </c>
      <c r="B1683" s="21" t="inlineStr">
        <is>
          <t>Квартиры</t>
        </is>
      </c>
      <c r="C1683" s="21" t="inlineStr">
        <is>
          <t>Магнитогорск</t>
        </is>
      </c>
      <c r="D1683" s="22" t="n">
        <v>56</v>
      </c>
    </row>
    <row r="1684">
      <c r="A1684" s="21" t="inlineStr">
        <is>
          <t>Аренда</t>
        </is>
      </c>
      <c r="B1684" s="21" t="inlineStr">
        <is>
          <t>Квартиры</t>
        </is>
      </c>
      <c r="C1684" s="21" t="inlineStr">
        <is>
          <t>Майкоп</t>
        </is>
      </c>
      <c r="D1684" s="22" t="n">
        <v>6</v>
      </c>
    </row>
    <row r="1685">
      <c r="A1685" s="21" t="inlineStr">
        <is>
          <t>Аренда</t>
        </is>
      </c>
      <c r="B1685" s="21" t="inlineStr">
        <is>
          <t>Квартиры</t>
        </is>
      </c>
      <c r="C1685" s="21" t="inlineStr">
        <is>
          <t>Махачкала</t>
        </is>
      </c>
      <c r="D1685" s="22" t="n">
        <v>113</v>
      </c>
    </row>
    <row r="1686">
      <c r="A1686" s="21" t="inlineStr">
        <is>
          <t>Аренда</t>
        </is>
      </c>
      <c r="B1686" s="21" t="inlineStr">
        <is>
          <t>Квартиры</t>
        </is>
      </c>
      <c r="C1686" s="21" t="inlineStr">
        <is>
          <t>Москва</t>
        </is>
      </c>
      <c r="D1686" s="22" t="n">
        <v>4243</v>
      </c>
    </row>
    <row r="1687">
      <c r="A1687" s="21" t="inlineStr">
        <is>
          <t>Аренда</t>
        </is>
      </c>
      <c r="B1687" s="21" t="inlineStr">
        <is>
          <t>Квартиры</t>
        </is>
      </c>
      <c r="C1687" s="21" t="inlineStr">
        <is>
          <t>Мурманск</t>
        </is>
      </c>
      <c r="D1687" s="22" t="n">
        <v>91</v>
      </c>
    </row>
    <row r="1688">
      <c r="A1688" s="21" t="inlineStr">
        <is>
          <t>Аренда</t>
        </is>
      </c>
      <c r="B1688" s="21" t="inlineStr">
        <is>
          <t>Квартиры</t>
        </is>
      </c>
      <c r="C1688" s="21" t="inlineStr">
        <is>
          <t>Мытищи</t>
        </is>
      </c>
      <c r="D1688" s="22" t="n">
        <v>163</v>
      </c>
    </row>
    <row r="1689">
      <c r="A1689" s="21" t="inlineStr">
        <is>
          <t>Аренда</t>
        </is>
      </c>
      <c r="B1689" s="21" t="inlineStr">
        <is>
          <t>Квартиры</t>
        </is>
      </c>
      <c r="C1689" s="21" t="inlineStr">
        <is>
          <t>Набережные Челны</t>
        </is>
      </c>
      <c r="D1689" s="22" t="n">
        <v>139</v>
      </c>
    </row>
    <row r="1690">
      <c r="A1690" s="21" t="inlineStr">
        <is>
          <t>Аренда</t>
        </is>
      </c>
      <c r="B1690" s="21" t="inlineStr">
        <is>
          <t>Квартиры</t>
        </is>
      </c>
      <c r="C1690" s="21" t="inlineStr">
        <is>
          <t>Нальчик</t>
        </is>
      </c>
      <c r="D1690" s="22" t="n">
        <v>45</v>
      </c>
    </row>
    <row r="1691">
      <c r="A1691" s="21" t="inlineStr">
        <is>
          <t>Аренда</t>
        </is>
      </c>
      <c r="B1691" s="21" t="inlineStr">
        <is>
          <t>Квартиры</t>
        </is>
      </c>
      <c r="C1691" s="21" t="inlineStr">
        <is>
          <t>Нефтеюганск</t>
        </is>
      </c>
      <c r="D1691" s="22" t="n">
        <v>223</v>
      </c>
    </row>
    <row r="1692">
      <c r="A1692" s="21" t="inlineStr">
        <is>
          <t>Аренда</t>
        </is>
      </c>
      <c r="B1692" s="21" t="inlineStr">
        <is>
          <t>Квартиры</t>
        </is>
      </c>
      <c r="C1692" s="21" t="inlineStr">
        <is>
          <t>Нижневартовск</t>
        </is>
      </c>
      <c r="D1692" s="22" t="n">
        <v>108</v>
      </c>
    </row>
    <row r="1693">
      <c r="A1693" s="21" t="inlineStr">
        <is>
          <t>Аренда</t>
        </is>
      </c>
      <c r="B1693" s="21" t="inlineStr">
        <is>
          <t>Квартиры</t>
        </is>
      </c>
      <c r="C1693" s="21" t="inlineStr">
        <is>
          <t>Нижний Тагил</t>
        </is>
      </c>
      <c r="D1693" s="22" t="n">
        <v>136</v>
      </c>
    </row>
    <row r="1694">
      <c r="A1694" s="21" t="inlineStr">
        <is>
          <t>Аренда</t>
        </is>
      </c>
      <c r="B1694" s="21" t="inlineStr">
        <is>
          <t>Квартиры</t>
        </is>
      </c>
      <c r="C1694" s="21" t="inlineStr">
        <is>
          <t>Нижний Новгород</t>
        </is>
      </c>
      <c r="D1694" s="22" t="n">
        <v>349</v>
      </c>
    </row>
    <row r="1695">
      <c r="A1695" s="21" t="inlineStr">
        <is>
          <t>Аренда</t>
        </is>
      </c>
      <c r="B1695" s="21" t="inlineStr">
        <is>
          <t>Квартиры</t>
        </is>
      </c>
      <c r="C1695" s="21" t="inlineStr">
        <is>
          <t>Ногинск</t>
        </is>
      </c>
      <c r="D1695" s="22" t="n">
        <v>45</v>
      </c>
    </row>
    <row r="1696">
      <c r="A1696" s="21" t="inlineStr">
        <is>
          <t>Аренда</t>
        </is>
      </c>
      <c r="B1696" s="21" t="inlineStr">
        <is>
          <t>Квартиры</t>
        </is>
      </c>
      <c r="C1696" s="21" t="inlineStr">
        <is>
          <t>Норильск</t>
        </is>
      </c>
      <c r="D1696" s="22" t="n">
        <v>202</v>
      </c>
    </row>
    <row r="1697">
      <c r="A1697" s="21" t="inlineStr">
        <is>
          <t>Аренда</t>
        </is>
      </c>
      <c r="B1697" s="21" t="inlineStr">
        <is>
          <t>Квартиры</t>
        </is>
      </c>
      <c r="C1697" s="21" t="inlineStr">
        <is>
          <t>Новокузнецк</t>
        </is>
      </c>
      <c r="D1697" s="22" t="n">
        <v>155</v>
      </c>
    </row>
    <row r="1698">
      <c r="A1698" s="21" t="inlineStr">
        <is>
          <t>Аренда</t>
        </is>
      </c>
      <c r="B1698" s="21" t="inlineStr">
        <is>
          <t>Квартиры</t>
        </is>
      </c>
      <c r="C1698" s="21" t="inlineStr">
        <is>
          <t>Новороссийск</t>
        </is>
      </c>
      <c r="D1698" s="22" t="n">
        <v>152</v>
      </c>
    </row>
    <row r="1699">
      <c r="A1699" s="21" t="inlineStr">
        <is>
          <t>Аренда</t>
        </is>
      </c>
      <c r="B1699" s="21" t="inlineStr">
        <is>
          <t>Квартиры</t>
        </is>
      </c>
      <c r="C1699" s="21" t="inlineStr">
        <is>
          <t>Новосибирск</t>
        </is>
      </c>
      <c r="D1699" s="22" t="n">
        <v>6907</v>
      </c>
    </row>
    <row r="1700">
      <c r="A1700" s="21" t="inlineStr">
        <is>
          <t>Аренда</t>
        </is>
      </c>
      <c r="B1700" s="21" t="inlineStr">
        <is>
          <t>Квартиры</t>
        </is>
      </c>
      <c r="C1700" s="21" t="inlineStr">
        <is>
          <t>Новый Уренгой</t>
        </is>
      </c>
      <c r="D1700" s="22" t="n">
        <v>484</v>
      </c>
    </row>
    <row r="1701">
      <c r="A1701" s="21" t="inlineStr">
        <is>
          <t>Аренда</t>
        </is>
      </c>
      <c r="B1701" s="21" t="inlineStr">
        <is>
          <t>Квартиры</t>
        </is>
      </c>
      <c r="C1701" s="21" t="inlineStr">
        <is>
          <t>Обнинск</t>
        </is>
      </c>
      <c r="D1701" s="22" t="n">
        <v>72</v>
      </c>
    </row>
    <row r="1702">
      <c r="A1702" s="21" t="inlineStr">
        <is>
          <t>Аренда</t>
        </is>
      </c>
      <c r="B1702" s="21" t="inlineStr">
        <is>
          <t>Квартиры</t>
        </is>
      </c>
      <c r="C1702" s="21" t="inlineStr">
        <is>
          <t>Одинцово</t>
        </is>
      </c>
      <c r="D1702" s="22" t="n">
        <v>58</v>
      </c>
    </row>
    <row r="1703">
      <c r="A1703" s="21" t="inlineStr">
        <is>
          <t>Аренда</t>
        </is>
      </c>
      <c r="B1703" s="21" t="inlineStr">
        <is>
          <t>Квартиры</t>
        </is>
      </c>
      <c r="C1703" s="21" t="inlineStr">
        <is>
          <t>Омск</t>
        </is>
      </c>
      <c r="D1703" s="22" t="n">
        <v>459</v>
      </c>
    </row>
    <row r="1704">
      <c r="A1704" s="21" t="inlineStr">
        <is>
          <t>Аренда</t>
        </is>
      </c>
      <c r="B1704" s="21" t="inlineStr">
        <is>
          <t>Квартиры</t>
        </is>
      </c>
      <c r="C1704" s="21" t="inlineStr">
        <is>
          <t>Оренбург</t>
        </is>
      </c>
      <c r="D1704" s="22" t="n">
        <v>138</v>
      </c>
    </row>
    <row r="1705">
      <c r="A1705" s="21" t="inlineStr">
        <is>
          <t>Аренда</t>
        </is>
      </c>
      <c r="B1705" s="21" t="inlineStr">
        <is>
          <t>Квартиры</t>
        </is>
      </c>
      <c r="C1705" s="21" t="inlineStr">
        <is>
          <t>Орехово-Зуево</t>
        </is>
      </c>
      <c r="D1705" s="22" t="n">
        <v>40</v>
      </c>
    </row>
    <row r="1706">
      <c r="A1706" s="21" t="inlineStr">
        <is>
          <t>Аренда</t>
        </is>
      </c>
      <c r="B1706" s="21" t="inlineStr">
        <is>
          <t>Квартиры</t>
        </is>
      </c>
      <c r="C1706" s="21" t="inlineStr">
        <is>
          <t>Орёл</t>
        </is>
      </c>
      <c r="D1706" s="22" t="n">
        <v>67</v>
      </c>
    </row>
    <row r="1707">
      <c r="A1707" s="21" t="inlineStr">
        <is>
          <t>Аренда</t>
        </is>
      </c>
      <c r="B1707" s="21" t="inlineStr">
        <is>
          <t>Квартиры</t>
        </is>
      </c>
      <c r="C1707" s="21" t="inlineStr">
        <is>
          <t>Пенза</t>
        </is>
      </c>
      <c r="D1707" s="22" t="n">
        <v>147</v>
      </c>
    </row>
    <row r="1708">
      <c r="A1708" s="21" t="inlineStr">
        <is>
          <t>Аренда</t>
        </is>
      </c>
      <c r="B1708" s="21" t="inlineStr">
        <is>
          <t>Квартиры</t>
        </is>
      </c>
      <c r="C1708" s="21" t="inlineStr">
        <is>
          <t>Пермь</t>
        </is>
      </c>
      <c r="D1708" s="22" t="n">
        <v>346</v>
      </c>
    </row>
    <row r="1709">
      <c r="A1709" s="21" t="inlineStr">
        <is>
          <t>Аренда</t>
        </is>
      </c>
      <c r="B1709" s="21" t="inlineStr">
        <is>
          <t>Квартиры</t>
        </is>
      </c>
      <c r="C1709" s="21" t="inlineStr">
        <is>
          <t>Петропавловск-Камчатский</t>
        </is>
      </c>
      <c r="D1709" s="22" t="n">
        <v>20</v>
      </c>
    </row>
    <row r="1710">
      <c r="A1710" s="21" t="inlineStr">
        <is>
          <t>Аренда</t>
        </is>
      </c>
      <c r="B1710" s="21" t="inlineStr">
        <is>
          <t>Квартиры</t>
        </is>
      </c>
      <c r="C1710" s="21" t="inlineStr">
        <is>
          <t>Петрозаводск</t>
        </is>
      </c>
      <c r="D1710" s="22" t="n">
        <v>21</v>
      </c>
    </row>
    <row r="1711">
      <c r="A1711" s="21" t="inlineStr">
        <is>
          <t>Аренда</t>
        </is>
      </c>
      <c r="B1711" s="21" t="inlineStr">
        <is>
          <t>Квартиры</t>
        </is>
      </c>
      <c r="C1711" s="21" t="inlineStr">
        <is>
          <t>Подольск</t>
        </is>
      </c>
      <c r="D1711" s="22" t="n">
        <v>56</v>
      </c>
    </row>
    <row r="1712">
      <c r="A1712" s="21" t="inlineStr">
        <is>
          <t>Аренда</t>
        </is>
      </c>
      <c r="B1712" s="21" t="inlineStr">
        <is>
          <t>Квартиры</t>
        </is>
      </c>
      <c r="C1712" s="21" t="inlineStr">
        <is>
          <t>Прокопьевск</t>
        </is>
      </c>
      <c r="D1712" s="22" t="n">
        <v>45</v>
      </c>
    </row>
    <row r="1713">
      <c r="A1713" s="21" t="inlineStr">
        <is>
          <t>Аренда</t>
        </is>
      </c>
      <c r="B1713" s="21" t="inlineStr">
        <is>
          <t>Квартиры</t>
        </is>
      </c>
      <c r="C1713" s="21" t="inlineStr">
        <is>
          <t>Псков</t>
        </is>
      </c>
      <c r="D1713" s="22" t="n">
        <v>36</v>
      </c>
    </row>
    <row r="1714">
      <c r="A1714" s="21" t="inlineStr">
        <is>
          <t>Аренда</t>
        </is>
      </c>
      <c r="B1714" s="21" t="inlineStr">
        <is>
          <t>Квартиры</t>
        </is>
      </c>
      <c r="C1714" s="21" t="inlineStr">
        <is>
          <t>Пушкино</t>
        </is>
      </c>
      <c r="D1714" s="22" t="n">
        <v>122</v>
      </c>
    </row>
    <row r="1715">
      <c r="A1715" s="21" t="inlineStr">
        <is>
          <t>Аренда</t>
        </is>
      </c>
      <c r="B1715" s="21" t="inlineStr">
        <is>
          <t>Квартиры</t>
        </is>
      </c>
      <c r="C1715" s="21" t="inlineStr">
        <is>
          <t>Раменское</t>
        </is>
      </c>
      <c r="D1715" s="22" t="n">
        <v>20</v>
      </c>
    </row>
    <row r="1716">
      <c r="A1716" s="21" t="inlineStr">
        <is>
          <t>Аренда</t>
        </is>
      </c>
      <c r="B1716" s="21" t="inlineStr">
        <is>
          <t>Квартиры</t>
        </is>
      </c>
      <c r="C1716" s="21" t="inlineStr">
        <is>
          <t>Реутов</t>
        </is>
      </c>
      <c r="D1716" s="22" t="n">
        <v>32</v>
      </c>
    </row>
    <row r="1717">
      <c r="A1717" s="21" t="inlineStr">
        <is>
          <t>Аренда</t>
        </is>
      </c>
      <c r="B1717" s="21" t="inlineStr">
        <is>
          <t>Квартиры</t>
        </is>
      </c>
      <c r="C1717" s="21" t="inlineStr">
        <is>
          <t>Ростов-на-Дону</t>
        </is>
      </c>
      <c r="D1717" s="22" t="n">
        <v>1462</v>
      </c>
    </row>
    <row r="1718">
      <c r="A1718" s="21" t="inlineStr">
        <is>
          <t>Аренда</t>
        </is>
      </c>
      <c r="B1718" s="21" t="inlineStr">
        <is>
          <t>Квартиры</t>
        </is>
      </c>
      <c r="C1718" s="21" t="inlineStr">
        <is>
          <t>Рязань</t>
        </is>
      </c>
      <c r="D1718" s="22" t="n">
        <v>264</v>
      </c>
    </row>
    <row r="1719">
      <c r="A1719" s="21" t="inlineStr">
        <is>
          <t>Аренда</t>
        </is>
      </c>
      <c r="B1719" s="21" t="inlineStr">
        <is>
          <t>Квартиры</t>
        </is>
      </c>
      <c r="C1719" s="21" t="inlineStr">
        <is>
          <t>Салехард</t>
        </is>
      </c>
      <c r="D1719" s="22" t="n">
        <v>28</v>
      </c>
    </row>
    <row r="1720">
      <c r="A1720" s="21" t="inlineStr">
        <is>
          <t>Аренда</t>
        </is>
      </c>
      <c r="B1720" s="21" t="inlineStr">
        <is>
          <t>Квартиры</t>
        </is>
      </c>
      <c r="C1720" s="21" t="inlineStr">
        <is>
          <t>Самара</t>
        </is>
      </c>
      <c r="D1720" s="22" t="n">
        <v>556</v>
      </c>
    </row>
    <row r="1721">
      <c r="A1721" s="21" t="inlineStr">
        <is>
          <t>Аренда</t>
        </is>
      </c>
      <c r="B1721" s="21" t="inlineStr">
        <is>
          <t>Квартиры</t>
        </is>
      </c>
      <c r="C1721" s="21" t="inlineStr">
        <is>
          <t>Саранск</t>
        </is>
      </c>
      <c r="D1721" s="22" t="n">
        <v>75</v>
      </c>
    </row>
    <row r="1722">
      <c r="A1722" s="21" t="inlineStr">
        <is>
          <t>Аренда</t>
        </is>
      </c>
      <c r="B1722" s="21" t="inlineStr">
        <is>
          <t>Квартиры</t>
        </is>
      </c>
      <c r="C1722" s="21" t="inlineStr">
        <is>
          <t>Саратов</t>
        </is>
      </c>
      <c r="D1722" s="22" t="n">
        <v>199</v>
      </c>
    </row>
    <row r="1723">
      <c r="A1723" s="21" t="inlineStr">
        <is>
          <t>Аренда</t>
        </is>
      </c>
      <c r="B1723" s="21" t="inlineStr">
        <is>
          <t>Квартиры</t>
        </is>
      </c>
      <c r="C1723" s="21" t="inlineStr">
        <is>
          <t>Сергиев Посад</t>
        </is>
      </c>
      <c r="D1723" s="22" t="n">
        <v>11</v>
      </c>
    </row>
    <row r="1724">
      <c r="A1724" s="21" t="inlineStr">
        <is>
          <t>Аренда</t>
        </is>
      </c>
      <c r="B1724" s="21" t="inlineStr">
        <is>
          <t>Квартиры</t>
        </is>
      </c>
      <c r="C1724" s="21" t="inlineStr">
        <is>
          <t>Севастополь</t>
        </is>
      </c>
      <c r="D1724" s="22" t="n">
        <v>130</v>
      </c>
    </row>
    <row r="1725">
      <c r="A1725" s="21" t="inlineStr">
        <is>
          <t>Аренда</t>
        </is>
      </c>
      <c r="B1725" s="21" t="inlineStr">
        <is>
          <t>Квартиры</t>
        </is>
      </c>
      <c r="C1725" s="21" t="inlineStr">
        <is>
          <t>Северодвинск</t>
        </is>
      </c>
      <c r="D1725" s="22" t="n">
        <v>101</v>
      </c>
    </row>
    <row r="1726">
      <c r="A1726" s="21" t="inlineStr">
        <is>
          <t>Аренда</t>
        </is>
      </c>
      <c r="B1726" s="21" t="inlineStr">
        <is>
          <t>Квартиры</t>
        </is>
      </c>
      <c r="C1726" s="21" t="inlineStr">
        <is>
          <t>Симферополь</t>
        </is>
      </c>
      <c r="D1726" s="22" t="n">
        <v>111</v>
      </c>
    </row>
    <row r="1727">
      <c r="A1727" s="21" t="inlineStr">
        <is>
          <t>Аренда</t>
        </is>
      </c>
      <c r="B1727" s="21" t="inlineStr">
        <is>
          <t>Квартиры</t>
        </is>
      </c>
      <c r="C1727" s="21" t="inlineStr">
        <is>
          <t>Смоленск</t>
        </is>
      </c>
      <c r="D1727" s="22" t="n">
        <v>60</v>
      </c>
    </row>
    <row r="1728">
      <c r="A1728" s="21" t="inlineStr">
        <is>
          <t>Аренда</t>
        </is>
      </c>
      <c r="B1728" s="21" t="inlineStr">
        <is>
          <t>Квартиры</t>
        </is>
      </c>
      <c r="C1728" s="21" t="inlineStr">
        <is>
          <t>Сочи</t>
        </is>
      </c>
      <c r="D1728" s="22" t="n">
        <v>341</v>
      </c>
    </row>
    <row r="1729">
      <c r="A1729" s="21" t="inlineStr">
        <is>
          <t>Аренда</t>
        </is>
      </c>
      <c r="B1729" s="21" t="inlineStr">
        <is>
          <t>Квартиры</t>
        </is>
      </c>
      <c r="C1729" s="21" t="inlineStr">
        <is>
          <t>Санкт-Петербург</t>
        </is>
      </c>
      <c r="D1729" s="22" t="n">
        <v>2795</v>
      </c>
    </row>
    <row r="1730">
      <c r="A1730" s="21" t="inlineStr">
        <is>
          <t>Аренда</t>
        </is>
      </c>
      <c r="B1730" s="21" t="inlineStr">
        <is>
          <t>Квартиры</t>
        </is>
      </c>
      <c r="C1730" s="21" t="inlineStr">
        <is>
          <t>Старый Оскол</t>
        </is>
      </c>
      <c r="D1730" s="22" t="n">
        <v>1430</v>
      </c>
    </row>
    <row r="1731">
      <c r="A1731" s="21" t="inlineStr">
        <is>
          <t>Аренда</t>
        </is>
      </c>
      <c r="B1731" s="21" t="inlineStr">
        <is>
          <t>Квартиры</t>
        </is>
      </c>
      <c r="C1731" s="21" t="inlineStr">
        <is>
          <t>Ставрополь</t>
        </is>
      </c>
      <c r="D1731" s="22" t="n">
        <v>336</v>
      </c>
    </row>
    <row r="1732">
      <c r="A1732" s="21" t="inlineStr">
        <is>
          <t>Аренда</t>
        </is>
      </c>
      <c r="B1732" s="21" t="inlineStr">
        <is>
          <t>Квартиры</t>
        </is>
      </c>
      <c r="C1732" s="21" t="inlineStr">
        <is>
          <t>Стерлитамак</t>
        </is>
      </c>
      <c r="D1732" s="22" t="n">
        <v>117</v>
      </c>
    </row>
    <row r="1733">
      <c r="A1733" s="21" t="inlineStr">
        <is>
          <t>Аренда</t>
        </is>
      </c>
      <c r="B1733" s="21" t="inlineStr">
        <is>
          <t>Квартиры</t>
        </is>
      </c>
      <c r="C1733" s="21" t="inlineStr">
        <is>
          <t>Сургут</t>
        </is>
      </c>
      <c r="D1733" s="22" t="n">
        <v>405</v>
      </c>
    </row>
    <row r="1734">
      <c r="A1734" s="21" t="inlineStr">
        <is>
          <t>Аренда</t>
        </is>
      </c>
      <c r="B1734" s="21" t="inlineStr">
        <is>
          <t>Квартиры</t>
        </is>
      </c>
      <c r="C1734" s="21" t="inlineStr">
        <is>
          <t>Сыктывкар</t>
        </is>
      </c>
      <c r="D1734" s="22" t="n">
        <v>164</v>
      </c>
    </row>
    <row r="1735">
      <c r="A1735" s="21" t="inlineStr">
        <is>
          <t>Аренда</t>
        </is>
      </c>
      <c r="B1735" s="21" t="inlineStr">
        <is>
          <t>Квартиры</t>
        </is>
      </c>
      <c r="C1735" s="21" t="inlineStr">
        <is>
          <t>Тамбов</t>
        </is>
      </c>
      <c r="D1735" s="22" t="n">
        <v>110</v>
      </c>
    </row>
    <row r="1736">
      <c r="A1736" s="21" t="inlineStr">
        <is>
          <t>Аренда</t>
        </is>
      </c>
      <c r="B1736" s="21" t="inlineStr">
        <is>
          <t>Квартиры</t>
        </is>
      </c>
      <c r="C1736" s="21" t="inlineStr">
        <is>
          <t>Тольятти</t>
        </is>
      </c>
      <c r="D1736" s="22" t="n">
        <v>173</v>
      </c>
    </row>
    <row r="1737">
      <c r="A1737" s="21" t="inlineStr">
        <is>
          <t>Аренда</t>
        </is>
      </c>
      <c r="B1737" s="21" t="inlineStr">
        <is>
          <t>Квартиры</t>
        </is>
      </c>
      <c r="C1737" s="21" t="inlineStr">
        <is>
          <t>Томск</t>
        </is>
      </c>
      <c r="D1737" s="22" t="n">
        <v>544</v>
      </c>
    </row>
    <row r="1738">
      <c r="A1738" s="21" t="inlineStr">
        <is>
          <t>Аренда</t>
        </is>
      </c>
      <c r="B1738" s="21" t="inlineStr">
        <is>
          <t>Квартиры</t>
        </is>
      </c>
      <c r="C1738" s="21" t="inlineStr">
        <is>
          <t>Тула</t>
        </is>
      </c>
      <c r="D1738" s="22" t="n">
        <v>267</v>
      </c>
    </row>
    <row r="1739">
      <c r="A1739" s="21" t="inlineStr">
        <is>
          <t>Аренда</t>
        </is>
      </c>
      <c r="B1739" s="21" t="inlineStr">
        <is>
          <t>Квартиры</t>
        </is>
      </c>
      <c r="C1739" s="21" t="inlineStr">
        <is>
          <t>Тверь</t>
        </is>
      </c>
      <c r="D1739" s="22" t="n">
        <v>53</v>
      </c>
    </row>
    <row r="1740">
      <c r="A1740" s="21" t="inlineStr">
        <is>
          <t>Аренда</t>
        </is>
      </c>
      <c r="B1740" s="21" t="inlineStr">
        <is>
          <t>Квартиры</t>
        </is>
      </c>
      <c r="C1740" s="21" t="inlineStr">
        <is>
          <t>Тюмень</t>
        </is>
      </c>
      <c r="D1740" s="22" t="n">
        <v>3714</v>
      </c>
    </row>
    <row r="1741">
      <c r="A1741" s="21" t="inlineStr">
        <is>
          <t>Аренда</t>
        </is>
      </c>
      <c r="B1741" s="21" t="inlineStr">
        <is>
          <t>Квартиры</t>
        </is>
      </c>
      <c r="C1741" s="21" t="inlineStr">
        <is>
          <t>Уфа</t>
        </is>
      </c>
      <c r="D1741" s="22" t="n">
        <v>4410</v>
      </c>
    </row>
    <row r="1742">
      <c r="A1742" s="21" t="inlineStr">
        <is>
          <t>Аренда</t>
        </is>
      </c>
      <c r="B1742" s="21" t="inlineStr">
        <is>
          <t>Квартиры</t>
        </is>
      </c>
      <c r="C1742" s="21" t="inlineStr">
        <is>
          <t>Улан-Удэ</t>
        </is>
      </c>
      <c r="D1742" s="22" t="n">
        <v>60</v>
      </c>
    </row>
    <row r="1743">
      <c r="A1743" s="21" t="inlineStr">
        <is>
          <t>Аренда</t>
        </is>
      </c>
      <c r="B1743" s="21" t="inlineStr">
        <is>
          <t>Квартиры</t>
        </is>
      </c>
      <c r="C1743" s="21" t="inlineStr">
        <is>
          <t>Ульяновск</t>
        </is>
      </c>
      <c r="D1743" s="22" t="n">
        <v>151</v>
      </c>
    </row>
    <row r="1744">
      <c r="A1744" s="21" t="inlineStr">
        <is>
          <t>Аренда</t>
        </is>
      </c>
      <c r="B1744" s="21" t="inlineStr">
        <is>
          <t>Квартиры</t>
        </is>
      </c>
      <c r="C1744" s="21" t="inlineStr">
        <is>
          <t>Великий Новгород</t>
        </is>
      </c>
      <c r="D1744" s="22" t="n">
        <v>27</v>
      </c>
    </row>
    <row r="1745">
      <c r="A1745" s="21" t="inlineStr">
        <is>
          <t>Аренда</t>
        </is>
      </c>
      <c r="B1745" s="21" t="inlineStr">
        <is>
          <t>Квартиры</t>
        </is>
      </c>
      <c r="C1745" s="21" t="inlineStr">
        <is>
          <t>Владикавказ</t>
        </is>
      </c>
      <c r="D1745" s="22" t="n">
        <v>49</v>
      </c>
    </row>
    <row r="1746">
      <c r="A1746" s="21" t="inlineStr">
        <is>
          <t>Аренда</t>
        </is>
      </c>
      <c r="B1746" s="21" t="inlineStr">
        <is>
          <t>Квартиры</t>
        </is>
      </c>
      <c r="C1746" s="21" t="inlineStr">
        <is>
          <t>Владимир</t>
        </is>
      </c>
      <c r="D1746" s="22" t="n">
        <v>540</v>
      </c>
    </row>
    <row r="1747">
      <c r="A1747" s="21" t="inlineStr">
        <is>
          <t>Аренда</t>
        </is>
      </c>
      <c r="B1747" s="21" t="inlineStr">
        <is>
          <t>Квартиры</t>
        </is>
      </c>
      <c r="C1747" s="21" t="inlineStr">
        <is>
          <t>Владивосток</t>
        </is>
      </c>
      <c r="D1747" s="22" t="n">
        <v>386</v>
      </c>
    </row>
    <row r="1748">
      <c r="A1748" s="21" t="inlineStr">
        <is>
          <t>Аренда</t>
        </is>
      </c>
      <c r="B1748" s="21" t="inlineStr">
        <is>
          <t>Квартиры</t>
        </is>
      </c>
      <c r="C1748" s="21" t="inlineStr">
        <is>
          <t>Волгоград</t>
        </is>
      </c>
      <c r="D1748" s="22" t="n">
        <v>391</v>
      </c>
    </row>
    <row r="1749">
      <c r="A1749" s="21" t="inlineStr">
        <is>
          <t>Аренда</t>
        </is>
      </c>
      <c r="B1749" s="21" t="inlineStr">
        <is>
          <t>Квартиры</t>
        </is>
      </c>
      <c r="C1749" s="21" t="inlineStr">
        <is>
          <t>Вологда</t>
        </is>
      </c>
      <c r="D1749" s="22" t="n">
        <v>3744</v>
      </c>
    </row>
    <row r="1750">
      <c r="A1750" s="21" t="inlineStr">
        <is>
          <t>Аренда</t>
        </is>
      </c>
      <c r="B1750" s="21" t="inlineStr">
        <is>
          <t>Квартиры</t>
        </is>
      </c>
      <c r="C1750" s="21" t="inlineStr">
        <is>
          <t>Волжский</t>
        </is>
      </c>
      <c r="D1750" s="22" t="n">
        <v>74</v>
      </c>
    </row>
    <row r="1751">
      <c r="A1751" s="21" t="inlineStr">
        <is>
          <t>Аренда</t>
        </is>
      </c>
      <c r="B1751" s="21" t="inlineStr">
        <is>
          <t>Квартиры</t>
        </is>
      </c>
      <c r="C1751" s="21" t="inlineStr">
        <is>
          <t>Воронеж</t>
        </is>
      </c>
      <c r="D1751" s="22" t="n">
        <v>581</v>
      </c>
    </row>
    <row r="1752">
      <c r="A1752" s="21" t="inlineStr">
        <is>
          <t>Аренда</t>
        </is>
      </c>
      <c r="B1752" s="21" t="inlineStr">
        <is>
          <t>Квартиры</t>
        </is>
      </c>
      <c r="C1752" s="21" t="inlineStr">
        <is>
          <t>Хабаровск</t>
        </is>
      </c>
      <c r="D1752" s="22" t="n">
        <v>882</v>
      </c>
    </row>
    <row r="1753">
      <c r="A1753" s="21" t="inlineStr">
        <is>
          <t>Аренда</t>
        </is>
      </c>
      <c r="B1753" s="21" t="inlineStr">
        <is>
          <t>Квартиры</t>
        </is>
      </c>
      <c r="C1753" s="21" t="inlineStr">
        <is>
          <t>Ханты-Мансийск</t>
        </is>
      </c>
      <c r="D1753" s="22" t="n">
        <v>82</v>
      </c>
    </row>
    <row r="1754">
      <c r="A1754" s="21" t="inlineStr">
        <is>
          <t>Аренда</t>
        </is>
      </c>
      <c r="B1754" s="21" t="inlineStr">
        <is>
          <t>Квартиры</t>
        </is>
      </c>
      <c r="C1754" s="21" t="inlineStr">
        <is>
          <t>Химки</t>
        </is>
      </c>
      <c r="D1754" s="22" t="n">
        <v>77</v>
      </c>
    </row>
    <row r="1755">
      <c r="A1755" s="21" t="inlineStr">
        <is>
          <t>Аренда</t>
        </is>
      </c>
      <c r="B1755" s="21" t="inlineStr">
        <is>
          <t>Квартиры</t>
        </is>
      </c>
      <c r="C1755" s="21" t="inlineStr">
        <is>
          <t>Якутск</t>
        </is>
      </c>
      <c r="D1755" s="22" t="n">
        <v>10</v>
      </c>
    </row>
    <row r="1756">
      <c r="A1756" s="21" t="inlineStr">
        <is>
          <t>Аренда</t>
        </is>
      </c>
      <c r="B1756" s="21" t="inlineStr">
        <is>
          <t>Квартиры</t>
        </is>
      </c>
      <c r="C1756" s="21" t="inlineStr">
        <is>
          <t>Ярославль</t>
        </is>
      </c>
      <c r="D1756" s="22" t="n">
        <v>322</v>
      </c>
    </row>
    <row r="1757">
      <c r="A1757" s="21" t="inlineStr">
        <is>
          <t>Аренда</t>
        </is>
      </c>
      <c r="B1757" s="21" t="inlineStr">
        <is>
          <t>Квартиры</t>
        </is>
      </c>
      <c r="C1757" s="21" t="inlineStr">
        <is>
          <t>Южно-Сахалинск</t>
        </is>
      </c>
      <c r="D1757" s="22" t="n">
        <v>270</v>
      </c>
    </row>
    <row r="1758">
      <c r="A1758" s="21" t="inlineStr">
        <is>
          <t>Аренда</t>
        </is>
      </c>
      <c r="B1758" s="21" t="inlineStr">
        <is>
          <t>Квартиры</t>
        </is>
      </c>
      <c r="C1758" s="21" t="inlineStr">
        <is>
          <t>Жуковский</t>
        </is>
      </c>
      <c r="D1758" s="22" t="n">
        <v>20</v>
      </c>
    </row>
    <row r="1759">
      <c r="A1759" s="27" t="inlineStr">
        <is>
          <t>Аренда</t>
        </is>
      </c>
      <c r="B1759" s="17" t="inlineStr">
        <is>
          <t>Комнаты</t>
        </is>
      </c>
      <c r="C1759" s="28" t="inlineStr">
        <is>
          <t>Абакан</t>
        </is>
      </c>
      <c r="D1759" s="19" t="n">
        <v>6</v>
      </c>
    </row>
    <row r="1760">
      <c r="A1760" s="21" t="inlineStr">
        <is>
          <t>Аренда</t>
        </is>
      </c>
      <c r="B1760" s="21" t="inlineStr">
        <is>
          <t>Комнаты</t>
        </is>
      </c>
      <c r="C1760" s="21" t="inlineStr">
        <is>
          <t>Архангельск</t>
        </is>
      </c>
      <c r="D1760" s="22" t="n">
        <v>28</v>
      </c>
    </row>
    <row r="1761">
      <c r="A1761" s="21" t="inlineStr">
        <is>
          <t>Аренда</t>
        </is>
      </c>
      <c r="B1761" s="21" t="inlineStr">
        <is>
          <t>Комнаты</t>
        </is>
      </c>
      <c r="C1761" s="21" t="inlineStr">
        <is>
          <t>Барнаул</t>
        </is>
      </c>
      <c r="D1761" s="22" t="n">
        <v>13</v>
      </c>
    </row>
    <row r="1762">
      <c r="A1762" s="21" t="inlineStr">
        <is>
          <t>Аренда</t>
        </is>
      </c>
      <c r="B1762" s="21" t="inlineStr">
        <is>
          <t>Комнаты</t>
        </is>
      </c>
      <c r="C1762" s="21" t="inlineStr">
        <is>
          <t>Белгород</t>
        </is>
      </c>
      <c r="D1762" s="22" t="n">
        <v>48</v>
      </c>
    </row>
    <row r="1763">
      <c r="A1763" s="21" t="inlineStr">
        <is>
          <t>Аренда</t>
        </is>
      </c>
      <c r="B1763" s="21" t="inlineStr">
        <is>
          <t>Комнаты</t>
        </is>
      </c>
      <c r="C1763" s="21" t="inlineStr">
        <is>
          <t>Брянск</t>
        </is>
      </c>
      <c r="D1763" s="22" t="n">
        <v>10</v>
      </c>
    </row>
    <row r="1764">
      <c r="A1764" s="21" t="inlineStr">
        <is>
          <t>Аренда</t>
        </is>
      </c>
      <c r="B1764" s="21" t="inlineStr">
        <is>
          <t>Комнаты</t>
        </is>
      </c>
      <c r="C1764" s="21" t="inlineStr">
        <is>
          <t>Чебоксары</t>
        </is>
      </c>
      <c r="D1764" s="22" t="n">
        <v>53</v>
      </c>
    </row>
    <row r="1765">
      <c r="A1765" s="21" t="inlineStr">
        <is>
          <t>Аренда</t>
        </is>
      </c>
      <c r="B1765" s="21" t="inlineStr">
        <is>
          <t>Комнаты</t>
        </is>
      </c>
      <c r="C1765" s="21" t="inlineStr">
        <is>
          <t>Челябинск</t>
        </is>
      </c>
      <c r="D1765" s="22" t="n">
        <v>41</v>
      </c>
    </row>
    <row r="1766">
      <c r="A1766" s="21" t="inlineStr">
        <is>
          <t>Аренда</t>
        </is>
      </c>
      <c r="B1766" s="21" t="inlineStr">
        <is>
          <t>Комнаты</t>
        </is>
      </c>
      <c r="C1766" s="21" t="inlineStr">
        <is>
          <t>Екатеринбург</t>
        </is>
      </c>
      <c r="D1766" s="22" t="n">
        <v>78</v>
      </c>
    </row>
    <row r="1767">
      <c r="A1767" s="21" t="inlineStr">
        <is>
          <t>Аренда</t>
        </is>
      </c>
      <c r="B1767" s="21" t="inlineStr">
        <is>
          <t>Комнаты</t>
        </is>
      </c>
      <c r="C1767" s="21" t="inlineStr">
        <is>
          <t>Иркутск</t>
        </is>
      </c>
      <c r="D1767" s="22" t="n">
        <v>26</v>
      </c>
    </row>
    <row r="1768">
      <c r="A1768" s="21" t="inlineStr">
        <is>
          <t>Аренда</t>
        </is>
      </c>
      <c r="B1768" s="21" t="inlineStr">
        <is>
          <t>Комнаты</t>
        </is>
      </c>
      <c r="C1768" s="21" t="inlineStr">
        <is>
          <t>Иваново</t>
        </is>
      </c>
      <c r="D1768" s="22" t="n">
        <v>6</v>
      </c>
    </row>
    <row r="1769">
      <c r="A1769" s="21" t="inlineStr">
        <is>
          <t>Аренда</t>
        </is>
      </c>
      <c r="B1769" s="21" t="inlineStr">
        <is>
          <t>Комнаты</t>
        </is>
      </c>
      <c r="C1769" s="21" t="inlineStr">
        <is>
          <t>Ижевск</t>
        </is>
      </c>
      <c r="D1769" s="22" t="n">
        <v>19</v>
      </c>
    </row>
    <row r="1770">
      <c r="A1770" s="21" t="inlineStr">
        <is>
          <t>Аренда</t>
        </is>
      </c>
      <c r="B1770" s="21" t="inlineStr">
        <is>
          <t>Комнаты</t>
        </is>
      </c>
      <c r="C1770" s="21" t="inlineStr">
        <is>
          <t>Калининград</t>
        </is>
      </c>
      <c r="D1770" s="22" t="n">
        <v>5</v>
      </c>
    </row>
    <row r="1771">
      <c r="A1771" s="21" t="inlineStr">
        <is>
          <t>Аренда</t>
        </is>
      </c>
      <c r="B1771" s="21" t="inlineStr">
        <is>
          <t>Комнаты</t>
        </is>
      </c>
      <c r="C1771" s="21" t="inlineStr">
        <is>
          <t>Калуга</t>
        </is>
      </c>
      <c r="D1771" s="22" t="n">
        <v>8</v>
      </c>
    </row>
    <row r="1772">
      <c r="A1772" s="21" t="inlineStr">
        <is>
          <t>Аренда</t>
        </is>
      </c>
      <c r="B1772" s="21" t="inlineStr">
        <is>
          <t>Комнаты</t>
        </is>
      </c>
      <c r="C1772" s="21" t="inlineStr">
        <is>
          <t>Казань</t>
        </is>
      </c>
      <c r="D1772" s="22" t="n">
        <v>63</v>
      </c>
    </row>
    <row r="1773">
      <c r="A1773" s="21" t="inlineStr">
        <is>
          <t>Аренда</t>
        </is>
      </c>
      <c r="B1773" s="21" t="inlineStr">
        <is>
          <t>Комнаты</t>
        </is>
      </c>
      <c r="C1773" s="21" t="inlineStr">
        <is>
          <t>Кемерово</t>
        </is>
      </c>
      <c r="D1773" s="22" t="n">
        <v>6</v>
      </c>
    </row>
    <row r="1774">
      <c r="A1774" s="21" t="inlineStr">
        <is>
          <t>Аренда</t>
        </is>
      </c>
      <c r="B1774" s="21" t="inlineStr">
        <is>
          <t>Комнаты</t>
        </is>
      </c>
      <c r="C1774" s="21" t="inlineStr">
        <is>
          <t>Киров</t>
        </is>
      </c>
      <c r="D1774" s="22" t="n">
        <v>23</v>
      </c>
    </row>
    <row r="1775">
      <c r="A1775" s="21" t="inlineStr">
        <is>
          <t>Аренда</t>
        </is>
      </c>
      <c r="B1775" s="21" t="inlineStr">
        <is>
          <t>Комнаты</t>
        </is>
      </c>
      <c r="C1775" s="21" t="inlineStr">
        <is>
          <t>Королёв</t>
        </is>
      </c>
      <c r="D1775" s="22" t="n">
        <v>5</v>
      </c>
    </row>
    <row r="1776">
      <c r="A1776" s="21" t="inlineStr">
        <is>
          <t>Аренда</t>
        </is>
      </c>
      <c r="B1776" s="21" t="inlineStr">
        <is>
          <t>Комнаты</t>
        </is>
      </c>
      <c r="C1776" s="21" t="inlineStr">
        <is>
          <t>Кострома</t>
        </is>
      </c>
      <c r="D1776" s="22" t="n">
        <v>12</v>
      </c>
    </row>
    <row r="1777">
      <c r="A1777" s="21" t="inlineStr">
        <is>
          <t>Аренда</t>
        </is>
      </c>
      <c r="B1777" s="21" t="inlineStr">
        <is>
          <t>Комнаты</t>
        </is>
      </c>
      <c r="C1777" s="21" t="inlineStr">
        <is>
          <t>Краснодар</t>
        </is>
      </c>
      <c r="D1777" s="22" t="n">
        <v>19</v>
      </c>
    </row>
    <row r="1778">
      <c r="A1778" s="21" t="inlineStr">
        <is>
          <t>Аренда</t>
        </is>
      </c>
      <c r="B1778" s="21" t="inlineStr">
        <is>
          <t>Комнаты</t>
        </is>
      </c>
      <c r="C1778" s="21" t="inlineStr">
        <is>
          <t>Красноярск</t>
        </is>
      </c>
      <c r="D1778" s="22" t="n">
        <v>93</v>
      </c>
    </row>
    <row r="1779">
      <c r="A1779" s="21" t="inlineStr">
        <is>
          <t>Аренда</t>
        </is>
      </c>
      <c r="B1779" s="21" t="inlineStr">
        <is>
          <t>Комнаты</t>
        </is>
      </c>
      <c r="C1779" s="21" t="inlineStr">
        <is>
          <t>Курган</t>
        </is>
      </c>
      <c r="D1779" s="22" t="n">
        <v>35</v>
      </c>
    </row>
    <row r="1780">
      <c r="A1780" s="21" t="inlineStr">
        <is>
          <t>Аренда</t>
        </is>
      </c>
      <c r="B1780" s="21" t="inlineStr">
        <is>
          <t>Комнаты</t>
        </is>
      </c>
      <c r="C1780" s="21" t="inlineStr">
        <is>
          <t>Курск</t>
        </is>
      </c>
      <c r="D1780" s="22" t="n">
        <v>10</v>
      </c>
    </row>
    <row r="1781">
      <c r="A1781" s="21" t="inlineStr">
        <is>
          <t>Аренда</t>
        </is>
      </c>
      <c r="B1781" s="21" t="inlineStr">
        <is>
          <t>Комнаты</t>
        </is>
      </c>
      <c r="C1781" s="21" t="inlineStr">
        <is>
          <t>Липецк</t>
        </is>
      </c>
      <c r="D1781" s="22" t="n">
        <v>5</v>
      </c>
    </row>
    <row r="1782">
      <c r="A1782" s="21" t="inlineStr">
        <is>
          <t>Аренда</t>
        </is>
      </c>
      <c r="B1782" s="21" t="inlineStr">
        <is>
          <t>Комнаты</t>
        </is>
      </c>
      <c r="C1782" s="21" t="inlineStr">
        <is>
          <t>Москва</t>
        </is>
      </c>
      <c r="D1782" s="22" t="n">
        <v>294</v>
      </c>
    </row>
    <row r="1783">
      <c r="A1783" s="21" t="inlineStr">
        <is>
          <t>Аренда</t>
        </is>
      </c>
      <c r="B1783" s="21" t="inlineStr">
        <is>
          <t>Комнаты</t>
        </is>
      </c>
      <c r="C1783" s="21" t="inlineStr">
        <is>
          <t>Набережные Челны</t>
        </is>
      </c>
      <c r="D1783" s="22" t="n">
        <v>6</v>
      </c>
    </row>
    <row r="1784">
      <c r="A1784" s="21" t="inlineStr">
        <is>
          <t>Аренда</t>
        </is>
      </c>
      <c r="B1784" s="21" t="inlineStr">
        <is>
          <t>Комнаты</t>
        </is>
      </c>
      <c r="C1784" s="21" t="inlineStr">
        <is>
          <t>Нефтеюганск</t>
        </is>
      </c>
      <c r="D1784" s="22" t="n">
        <v>17</v>
      </c>
    </row>
    <row r="1785">
      <c r="A1785" s="21" t="inlineStr">
        <is>
          <t>Аренда</t>
        </is>
      </c>
      <c r="B1785" s="21" t="inlineStr">
        <is>
          <t>Комнаты</t>
        </is>
      </c>
      <c r="C1785" s="21" t="inlineStr">
        <is>
          <t>Нижневартовск</t>
        </is>
      </c>
      <c r="D1785" s="22" t="n">
        <v>6</v>
      </c>
    </row>
    <row r="1786">
      <c r="A1786" s="21" t="inlineStr">
        <is>
          <t>Аренда</t>
        </is>
      </c>
      <c r="B1786" s="21" t="inlineStr">
        <is>
          <t>Комнаты</t>
        </is>
      </c>
      <c r="C1786" s="21" t="inlineStr">
        <is>
          <t>Нижний Тагил</t>
        </is>
      </c>
      <c r="D1786" s="22" t="n">
        <v>5</v>
      </c>
    </row>
    <row r="1787">
      <c r="A1787" s="21" t="inlineStr">
        <is>
          <t>Аренда</t>
        </is>
      </c>
      <c r="B1787" s="21" t="inlineStr">
        <is>
          <t>Комнаты</t>
        </is>
      </c>
      <c r="C1787" s="21" t="inlineStr">
        <is>
          <t>Нижний Новгород</t>
        </is>
      </c>
      <c r="D1787" s="22" t="n">
        <v>19</v>
      </c>
    </row>
    <row r="1788">
      <c r="A1788" s="21" t="inlineStr">
        <is>
          <t>Аренда</t>
        </is>
      </c>
      <c r="B1788" s="21" t="inlineStr">
        <is>
          <t>Комнаты</t>
        </is>
      </c>
      <c r="C1788" s="21" t="inlineStr">
        <is>
          <t>Новокузнецк</t>
        </is>
      </c>
      <c r="D1788" s="22" t="n">
        <v>10</v>
      </c>
    </row>
    <row r="1789">
      <c r="A1789" s="21" t="inlineStr">
        <is>
          <t>Аренда</t>
        </is>
      </c>
      <c r="B1789" s="21" t="inlineStr">
        <is>
          <t>Комнаты</t>
        </is>
      </c>
      <c r="C1789" s="21" t="inlineStr">
        <is>
          <t>Новороссийск</t>
        </is>
      </c>
      <c r="D1789" s="22" t="n">
        <v>6</v>
      </c>
    </row>
    <row r="1790">
      <c r="A1790" s="21" t="inlineStr">
        <is>
          <t>Аренда</t>
        </is>
      </c>
      <c r="B1790" s="21" t="inlineStr">
        <is>
          <t>Комнаты</t>
        </is>
      </c>
      <c r="C1790" s="21" t="inlineStr">
        <is>
          <t>Новосибирск</t>
        </is>
      </c>
      <c r="D1790" s="22" t="n">
        <v>124</v>
      </c>
    </row>
    <row r="1791">
      <c r="A1791" s="21" t="inlineStr">
        <is>
          <t>Аренда</t>
        </is>
      </c>
      <c r="B1791" s="21" t="inlineStr">
        <is>
          <t>Комнаты</t>
        </is>
      </c>
      <c r="C1791" s="21" t="inlineStr">
        <is>
          <t>Новый Уренгой</t>
        </is>
      </c>
      <c r="D1791" s="22" t="n">
        <v>15</v>
      </c>
    </row>
    <row r="1792">
      <c r="A1792" s="21" t="inlineStr">
        <is>
          <t>Аренда</t>
        </is>
      </c>
      <c r="B1792" s="21" t="inlineStr">
        <is>
          <t>Комнаты</t>
        </is>
      </c>
      <c r="C1792" s="21" t="inlineStr">
        <is>
          <t>Обнинск</t>
        </is>
      </c>
      <c r="D1792" s="22" t="n">
        <v>7</v>
      </c>
    </row>
    <row r="1793">
      <c r="A1793" s="21" t="inlineStr">
        <is>
          <t>Аренда</t>
        </is>
      </c>
      <c r="B1793" s="21" t="inlineStr">
        <is>
          <t>Комнаты</t>
        </is>
      </c>
      <c r="C1793" s="21" t="inlineStr">
        <is>
          <t>Омск</t>
        </is>
      </c>
      <c r="D1793" s="22" t="n">
        <v>40</v>
      </c>
    </row>
    <row r="1794">
      <c r="A1794" s="21" t="inlineStr">
        <is>
          <t>Аренда</t>
        </is>
      </c>
      <c r="B1794" s="21" t="inlineStr">
        <is>
          <t>Комнаты</t>
        </is>
      </c>
      <c r="C1794" s="21" t="inlineStr">
        <is>
          <t>Оренбург</t>
        </is>
      </c>
      <c r="D1794" s="22" t="n">
        <v>5</v>
      </c>
    </row>
    <row r="1795">
      <c r="A1795" s="21" t="inlineStr">
        <is>
          <t>Аренда</t>
        </is>
      </c>
      <c r="B1795" s="21" t="inlineStr">
        <is>
          <t>Комнаты</t>
        </is>
      </c>
      <c r="C1795" s="21" t="inlineStr">
        <is>
          <t>Пенза</t>
        </is>
      </c>
      <c r="D1795" s="22" t="n">
        <v>21</v>
      </c>
    </row>
    <row r="1796">
      <c r="A1796" s="21" t="inlineStr">
        <is>
          <t>Аренда</t>
        </is>
      </c>
      <c r="B1796" s="21" t="inlineStr">
        <is>
          <t>Комнаты</t>
        </is>
      </c>
      <c r="C1796" s="21" t="inlineStr">
        <is>
          <t>Пермь</t>
        </is>
      </c>
      <c r="D1796" s="22" t="n">
        <v>33</v>
      </c>
    </row>
    <row r="1797">
      <c r="A1797" s="21" t="inlineStr">
        <is>
          <t>Аренда</t>
        </is>
      </c>
      <c r="B1797" s="21" t="inlineStr">
        <is>
          <t>Комнаты</t>
        </is>
      </c>
      <c r="C1797" s="21" t="inlineStr">
        <is>
          <t>Петропавловск-Камчатский</t>
        </is>
      </c>
      <c r="D1797" s="22" t="n">
        <v>5</v>
      </c>
    </row>
    <row r="1798">
      <c r="A1798" s="21" t="inlineStr">
        <is>
          <t>Аренда</t>
        </is>
      </c>
      <c r="B1798" s="21" t="inlineStr">
        <is>
          <t>Комнаты</t>
        </is>
      </c>
      <c r="C1798" s="21" t="inlineStr">
        <is>
          <t>Петрозаводск</t>
        </is>
      </c>
      <c r="D1798" s="22" t="n">
        <v>5</v>
      </c>
    </row>
    <row r="1799">
      <c r="A1799" s="21" t="inlineStr">
        <is>
          <t>Аренда</t>
        </is>
      </c>
      <c r="B1799" s="21" t="inlineStr">
        <is>
          <t>Комнаты</t>
        </is>
      </c>
      <c r="C1799" s="21" t="inlineStr">
        <is>
          <t>Подольск</t>
        </is>
      </c>
      <c r="D1799" s="22" t="n">
        <v>8</v>
      </c>
    </row>
    <row r="1800">
      <c r="A1800" s="21" t="inlineStr">
        <is>
          <t>Аренда</t>
        </is>
      </c>
      <c r="B1800" s="21" t="inlineStr">
        <is>
          <t>Комнаты</t>
        </is>
      </c>
      <c r="C1800" s="21" t="inlineStr">
        <is>
          <t>Псков</t>
        </is>
      </c>
      <c r="D1800" s="22" t="n">
        <v>5</v>
      </c>
    </row>
    <row r="1801">
      <c r="A1801" s="21" t="inlineStr">
        <is>
          <t>Аренда</t>
        </is>
      </c>
      <c r="B1801" s="21" t="inlineStr">
        <is>
          <t>Комнаты</t>
        </is>
      </c>
      <c r="C1801" s="21" t="inlineStr">
        <is>
          <t>Ростов-на-Дону</t>
        </is>
      </c>
      <c r="D1801" s="22" t="n">
        <v>35</v>
      </c>
    </row>
    <row r="1802">
      <c r="A1802" s="21" t="inlineStr">
        <is>
          <t>Аренда</t>
        </is>
      </c>
      <c r="B1802" s="21" t="inlineStr">
        <is>
          <t>Комнаты</t>
        </is>
      </c>
      <c r="C1802" s="21" t="inlineStr">
        <is>
          <t>Рязань</t>
        </is>
      </c>
      <c r="D1802" s="22" t="n">
        <v>15</v>
      </c>
    </row>
    <row r="1803">
      <c r="A1803" s="21" t="inlineStr">
        <is>
          <t>Аренда</t>
        </is>
      </c>
      <c r="B1803" s="21" t="inlineStr">
        <is>
          <t>Комнаты</t>
        </is>
      </c>
      <c r="C1803" s="21" t="inlineStr">
        <is>
          <t>Самара</t>
        </is>
      </c>
      <c r="D1803" s="22" t="n">
        <v>27</v>
      </c>
    </row>
    <row r="1804">
      <c r="A1804" s="21" t="inlineStr">
        <is>
          <t>Аренда</t>
        </is>
      </c>
      <c r="B1804" s="21" t="inlineStr">
        <is>
          <t>Комнаты</t>
        </is>
      </c>
      <c r="C1804" s="21" t="inlineStr">
        <is>
          <t>Саранск</t>
        </is>
      </c>
      <c r="D1804" s="22" t="n">
        <v>10</v>
      </c>
    </row>
    <row r="1805">
      <c r="A1805" s="21" t="inlineStr">
        <is>
          <t>Аренда</t>
        </is>
      </c>
      <c r="B1805" s="21" t="inlineStr">
        <is>
          <t>Комнаты</t>
        </is>
      </c>
      <c r="C1805" s="21" t="inlineStr">
        <is>
          <t>Севастополь</t>
        </is>
      </c>
      <c r="D1805" s="22" t="n">
        <v>13</v>
      </c>
    </row>
    <row r="1806">
      <c r="A1806" s="21" t="inlineStr">
        <is>
          <t>Аренда</t>
        </is>
      </c>
      <c r="B1806" s="21" t="inlineStr">
        <is>
          <t>Комнаты</t>
        </is>
      </c>
      <c r="C1806" s="21" t="inlineStr">
        <is>
          <t>Северодвинск</t>
        </is>
      </c>
      <c r="D1806" s="22" t="n">
        <v>31</v>
      </c>
    </row>
    <row r="1807">
      <c r="A1807" s="21" t="inlineStr">
        <is>
          <t>Аренда</t>
        </is>
      </c>
      <c r="B1807" s="21" t="inlineStr">
        <is>
          <t>Комнаты</t>
        </is>
      </c>
      <c r="C1807" s="21" t="inlineStr">
        <is>
          <t>Симферополь</t>
        </is>
      </c>
      <c r="D1807" s="22" t="n">
        <v>5</v>
      </c>
    </row>
    <row r="1808">
      <c r="A1808" s="21" t="inlineStr">
        <is>
          <t>Аренда</t>
        </is>
      </c>
      <c r="B1808" s="21" t="inlineStr">
        <is>
          <t>Комнаты</t>
        </is>
      </c>
      <c r="C1808" s="21" t="inlineStr">
        <is>
          <t>Смоленск</t>
        </is>
      </c>
      <c r="D1808" s="22" t="n">
        <v>6</v>
      </c>
    </row>
    <row r="1809">
      <c r="A1809" s="21" t="inlineStr">
        <is>
          <t>Аренда</t>
        </is>
      </c>
      <c r="B1809" s="21" t="inlineStr">
        <is>
          <t>Комнаты</t>
        </is>
      </c>
      <c r="C1809" s="21" t="inlineStr">
        <is>
          <t>Санкт-Петербург</t>
        </is>
      </c>
      <c r="D1809" s="22" t="n">
        <v>194</v>
      </c>
    </row>
    <row r="1810">
      <c r="A1810" s="21" t="inlineStr">
        <is>
          <t>Аренда</t>
        </is>
      </c>
      <c r="B1810" s="21" t="inlineStr">
        <is>
          <t>Комнаты</t>
        </is>
      </c>
      <c r="C1810" s="21" t="inlineStr">
        <is>
          <t>Старый Оскол</t>
        </is>
      </c>
      <c r="D1810" s="22" t="n">
        <v>25</v>
      </c>
    </row>
    <row r="1811">
      <c r="A1811" s="21" t="inlineStr">
        <is>
          <t>Аренда</t>
        </is>
      </c>
      <c r="B1811" s="21" t="inlineStr">
        <is>
          <t>Комнаты</t>
        </is>
      </c>
      <c r="C1811" s="21" t="inlineStr">
        <is>
          <t>Ставрополь</t>
        </is>
      </c>
      <c r="D1811" s="22" t="n">
        <v>19</v>
      </c>
    </row>
    <row r="1812">
      <c r="A1812" s="21" t="inlineStr">
        <is>
          <t>Аренда</t>
        </is>
      </c>
      <c r="B1812" s="21" t="inlineStr">
        <is>
          <t>Комнаты</t>
        </is>
      </c>
      <c r="C1812" s="21" t="inlineStr">
        <is>
          <t>Стерлитамак</t>
        </is>
      </c>
      <c r="D1812" s="22" t="n">
        <v>11</v>
      </c>
    </row>
    <row r="1813">
      <c r="A1813" s="21" t="inlineStr">
        <is>
          <t>Аренда</t>
        </is>
      </c>
      <c r="B1813" s="21" t="inlineStr">
        <is>
          <t>Комнаты</t>
        </is>
      </c>
      <c r="C1813" s="21" t="inlineStr">
        <is>
          <t>Сургут</t>
        </is>
      </c>
      <c r="D1813" s="22" t="n">
        <v>28</v>
      </c>
    </row>
    <row r="1814">
      <c r="A1814" s="21" t="inlineStr">
        <is>
          <t>Аренда</t>
        </is>
      </c>
      <c r="B1814" s="21" t="inlineStr">
        <is>
          <t>Комнаты</t>
        </is>
      </c>
      <c r="C1814" s="21" t="inlineStr">
        <is>
          <t>Сыктывкар</t>
        </is>
      </c>
      <c r="D1814" s="22" t="n">
        <v>31</v>
      </c>
    </row>
    <row r="1815">
      <c r="A1815" s="21" t="inlineStr">
        <is>
          <t>Аренда</t>
        </is>
      </c>
      <c r="B1815" s="21" t="inlineStr">
        <is>
          <t>Комнаты</t>
        </is>
      </c>
      <c r="C1815" s="21" t="inlineStr">
        <is>
          <t>Тамбов</t>
        </is>
      </c>
      <c r="D1815" s="22" t="n">
        <v>5</v>
      </c>
    </row>
    <row r="1816">
      <c r="A1816" s="21" t="inlineStr">
        <is>
          <t>Аренда</t>
        </is>
      </c>
      <c r="B1816" s="21" t="inlineStr">
        <is>
          <t>Комнаты</t>
        </is>
      </c>
      <c r="C1816" s="21" t="inlineStr">
        <is>
          <t>Тольятти</t>
        </is>
      </c>
      <c r="D1816" s="22" t="n">
        <v>8</v>
      </c>
    </row>
    <row r="1817">
      <c r="A1817" s="21" t="inlineStr">
        <is>
          <t>Аренда</t>
        </is>
      </c>
      <c r="B1817" s="21" t="inlineStr">
        <is>
          <t>Комнаты</t>
        </is>
      </c>
      <c r="C1817" s="21" t="inlineStr">
        <is>
          <t>Томск</t>
        </is>
      </c>
      <c r="D1817" s="22" t="n">
        <v>7</v>
      </c>
    </row>
    <row r="1818">
      <c r="A1818" s="21" t="inlineStr">
        <is>
          <t>Аренда</t>
        </is>
      </c>
      <c r="B1818" s="21" t="inlineStr">
        <is>
          <t>Комнаты</t>
        </is>
      </c>
      <c r="C1818" s="21" t="inlineStr">
        <is>
          <t>Тула</t>
        </is>
      </c>
      <c r="D1818" s="22" t="n">
        <v>16</v>
      </c>
    </row>
    <row r="1819">
      <c r="A1819" s="21" t="inlineStr">
        <is>
          <t>Аренда</t>
        </is>
      </c>
      <c r="B1819" s="21" t="inlineStr">
        <is>
          <t>Комнаты</t>
        </is>
      </c>
      <c r="C1819" s="21" t="inlineStr">
        <is>
          <t>Тверь</t>
        </is>
      </c>
      <c r="D1819" s="22" t="n">
        <v>9</v>
      </c>
    </row>
    <row r="1820">
      <c r="A1820" s="21" t="inlineStr">
        <is>
          <t>Аренда</t>
        </is>
      </c>
      <c r="B1820" s="21" t="inlineStr">
        <is>
          <t>Комнаты</t>
        </is>
      </c>
      <c r="C1820" s="21" t="inlineStr">
        <is>
          <t>Тюмень</t>
        </is>
      </c>
      <c r="D1820" s="22" t="n">
        <v>80</v>
      </c>
    </row>
    <row r="1821">
      <c r="A1821" s="21" t="inlineStr">
        <is>
          <t>Аренда</t>
        </is>
      </c>
      <c r="B1821" s="21" t="inlineStr">
        <is>
          <t>Комнаты</t>
        </is>
      </c>
      <c r="C1821" s="21" t="inlineStr">
        <is>
          <t>Уфа</t>
        </is>
      </c>
      <c r="D1821" s="22" t="n">
        <v>347</v>
      </c>
    </row>
    <row r="1822">
      <c r="A1822" s="21" t="inlineStr">
        <is>
          <t>Аренда</t>
        </is>
      </c>
      <c r="B1822" s="21" t="inlineStr">
        <is>
          <t>Комнаты</t>
        </is>
      </c>
      <c r="C1822" s="21" t="inlineStr">
        <is>
          <t>Ульяновск</t>
        </is>
      </c>
      <c r="D1822" s="22" t="n">
        <v>5</v>
      </c>
    </row>
    <row r="1823">
      <c r="A1823" s="21" t="inlineStr">
        <is>
          <t>Аренда</t>
        </is>
      </c>
      <c r="B1823" s="21" t="inlineStr">
        <is>
          <t>Комнаты</t>
        </is>
      </c>
      <c r="C1823" s="21" t="inlineStr">
        <is>
          <t>Великий Новгород</t>
        </is>
      </c>
      <c r="D1823" s="22" t="n">
        <v>8</v>
      </c>
    </row>
    <row r="1824">
      <c r="A1824" s="21" t="inlineStr">
        <is>
          <t>Аренда</t>
        </is>
      </c>
      <c r="B1824" s="21" t="inlineStr">
        <is>
          <t>Комнаты</t>
        </is>
      </c>
      <c r="C1824" s="21" t="inlineStr">
        <is>
          <t>Владимир</t>
        </is>
      </c>
      <c r="D1824" s="22" t="n">
        <v>57</v>
      </c>
    </row>
    <row r="1825">
      <c r="A1825" s="21" t="inlineStr">
        <is>
          <t>Аренда</t>
        </is>
      </c>
      <c r="B1825" s="21" t="inlineStr">
        <is>
          <t>Комнаты</t>
        </is>
      </c>
      <c r="C1825" s="21" t="inlineStr">
        <is>
          <t>Владивосток</t>
        </is>
      </c>
      <c r="D1825" s="22" t="n">
        <v>7</v>
      </c>
    </row>
    <row r="1826">
      <c r="A1826" s="21" t="inlineStr">
        <is>
          <t>Аренда</t>
        </is>
      </c>
      <c r="B1826" s="21" t="inlineStr">
        <is>
          <t>Комнаты</t>
        </is>
      </c>
      <c r="C1826" s="21" t="inlineStr">
        <is>
          <t>Волгоград</t>
        </is>
      </c>
      <c r="D1826" s="22" t="n">
        <v>36</v>
      </c>
    </row>
    <row r="1827">
      <c r="A1827" s="21" t="inlineStr">
        <is>
          <t>Аренда</t>
        </is>
      </c>
      <c r="B1827" s="21" t="inlineStr">
        <is>
          <t>Комнаты</t>
        </is>
      </c>
      <c r="C1827" s="21" t="inlineStr">
        <is>
          <t>Вологда</t>
        </is>
      </c>
      <c r="D1827" s="22" t="n">
        <v>40</v>
      </c>
    </row>
    <row r="1828">
      <c r="A1828" s="21" t="inlineStr">
        <is>
          <t>Аренда</t>
        </is>
      </c>
      <c r="B1828" s="21" t="inlineStr">
        <is>
          <t>Комнаты</t>
        </is>
      </c>
      <c r="C1828" s="21" t="inlineStr">
        <is>
          <t>Волжский</t>
        </is>
      </c>
      <c r="D1828" s="22" t="n">
        <v>6</v>
      </c>
    </row>
    <row r="1829">
      <c r="A1829" s="21" t="inlineStr">
        <is>
          <t>Аренда</t>
        </is>
      </c>
      <c r="B1829" s="21" t="inlineStr">
        <is>
          <t>Комнаты</t>
        </is>
      </c>
      <c r="C1829" s="21" t="inlineStr">
        <is>
          <t>Воронеж</t>
        </is>
      </c>
      <c r="D1829" s="22" t="n">
        <v>18</v>
      </c>
    </row>
    <row r="1830">
      <c r="A1830" s="21" t="inlineStr">
        <is>
          <t>Аренда</t>
        </is>
      </c>
      <c r="B1830" s="21" t="inlineStr">
        <is>
          <t>Комнаты</t>
        </is>
      </c>
      <c r="C1830" s="21" t="inlineStr">
        <is>
          <t>Хабаровск</t>
        </is>
      </c>
      <c r="D1830" s="22" t="n">
        <v>18</v>
      </c>
    </row>
    <row r="1831">
      <c r="A1831" s="21" t="inlineStr">
        <is>
          <t>Аренда</t>
        </is>
      </c>
      <c r="B1831" s="21" t="inlineStr">
        <is>
          <t>Комнаты</t>
        </is>
      </c>
      <c r="C1831" s="21" t="inlineStr">
        <is>
          <t>Ярославль</t>
        </is>
      </c>
      <c r="D1831" s="22" t="n">
        <v>19</v>
      </c>
    </row>
    <row r="1832">
      <c r="A1832" s="27" t="inlineStr">
        <is>
          <t>Аренда</t>
        </is>
      </c>
      <c r="B1832" s="17" t="inlineStr">
        <is>
          <t>Дома</t>
        </is>
      </c>
      <c r="C1832" s="28" t="inlineStr">
        <is>
          <t>Челябинск</t>
        </is>
      </c>
      <c r="D1832" s="19" t="n">
        <v>6</v>
      </c>
    </row>
    <row r="1833">
      <c r="A1833" s="21" t="inlineStr">
        <is>
          <t>Аренда</t>
        </is>
      </c>
      <c r="B1833" s="21" t="inlineStr">
        <is>
          <t>Дома</t>
        </is>
      </c>
      <c r="C1833" s="21" t="inlineStr">
        <is>
          <t>Домодедово</t>
        </is>
      </c>
      <c r="D1833" s="22" t="n">
        <v>15</v>
      </c>
    </row>
    <row r="1834">
      <c r="A1834" s="21" t="inlineStr">
        <is>
          <t>Аренда</t>
        </is>
      </c>
      <c r="B1834" s="21" t="inlineStr">
        <is>
          <t>Дома</t>
        </is>
      </c>
      <c r="C1834" s="21" t="inlineStr">
        <is>
          <t>Екатеринбург</t>
        </is>
      </c>
      <c r="D1834" s="22" t="n">
        <v>12</v>
      </c>
    </row>
    <row r="1835">
      <c r="A1835" s="21" t="inlineStr">
        <is>
          <t>Аренда</t>
        </is>
      </c>
      <c r="B1835" s="21" t="inlineStr">
        <is>
          <t>Дома</t>
        </is>
      </c>
      <c r="C1835" s="21" t="inlineStr">
        <is>
          <t>Горно-Алтайск</t>
        </is>
      </c>
      <c r="D1835" s="22" t="n">
        <v>5</v>
      </c>
    </row>
    <row r="1836">
      <c r="A1836" s="21" t="inlineStr">
        <is>
          <t>Аренда</t>
        </is>
      </c>
      <c r="B1836" s="21" t="inlineStr">
        <is>
          <t>Дома</t>
        </is>
      </c>
      <c r="C1836" s="21" t="inlineStr">
        <is>
          <t>Иркутск</t>
        </is>
      </c>
      <c r="D1836" s="22" t="n">
        <v>9</v>
      </c>
    </row>
    <row r="1837">
      <c r="A1837" s="21" t="inlineStr">
        <is>
          <t>Аренда</t>
        </is>
      </c>
      <c r="B1837" s="21" t="inlineStr">
        <is>
          <t>Дома</t>
        </is>
      </c>
      <c r="C1837" s="21" t="inlineStr">
        <is>
          <t>Калуга</t>
        </is>
      </c>
      <c r="D1837" s="22" t="n">
        <v>5</v>
      </c>
    </row>
    <row r="1838">
      <c r="A1838" s="21" t="inlineStr">
        <is>
          <t>Аренда</t>
        </is>
      </c>
      <c r="B1838" s="21" t="inlineStr">
        <is>
          <t>Дома</t>
        </is>
      </c>
      <c r="C1838" s="21" t="inlineStr">
        <is>
          <t>Казань</t>
        </is>
      </c>
      <c r="D1838" s="22" t="n">
        <v>35</v>
      </c>
    </row>
    <row r="1839">
      <c r="A1839" s="21" t="inlineStr">
        <is>
          <t>Аренда</t>
        </is>
      </c>
      <c r="B1839" s="21" t="inlineStr">
        <is>
          <t>Дома</t>
        </is>
      </c>
      <c r="C1839" s="21" t="inlineStr">
        <is>
          <t>Кострома</t>
        </is>
      </c>
      <c r="D1839" s="22" t="n">
        <v>7</v>
      </c>
    </row>
    <row r="1840">
      <c r="A1840" s="21" t="inlineStr">
        <is>
          <t>Аренда</t>
        </is>
      </c>
      <c r="B1840" s="21" t="inlineStr">
        <is>
          <t>Дома</t>
        </is>
      </c>
      <c r="C1840" s="21" t="inlineStr">
        <is>
          <t>Краснодар</t>
        </is>
      </c>
      <c r="D1840" s="22" t="n">
        <v>57</v>
      </c>
    </row>
    <row r="1841">
      <c r="A1841" s="21" t="inlineStr">
        <is>
          <t>Аренда</t>
        </is>
      </c>
      <c r="B1841" s="21" t="inlineStr">
        <is>
          <t>Дома</t>
        </is>
      </c>
      <c r="C1841" s="21" t="inlineStr">
        <is>
          <t>Красноярск</t>
        </is>
      </c>
      <c r="D1841" s="22" t="n">
        <v>20</v>
      </c>
    </row>
    <row r="1842">
      <c r="A1842" s="21" t="inlineStr">
        <is>
          <t>Аренда</t>
        </is>
      </c>
      <c r="B1842" s="21" t="inlineStr">
        <is>
          <t>Дома</t>
        </is>
      </c>
      <c r="C1842" s="21" t="inlineStr">
        <is>
          <t>Липецк</t>
        </is>
      </c>
      <c r="D1842" s="22" t="n">
        <v>5</v>
      </c>
    </row>
    <row r="1843">
      <c r="A1843" s="21" t="inlineStr">
        <is>
          <t>Аренда</t>
        </is>
      </c>
      <c r="B1843" s="21" t="inlineStr">
        <is>
          <t>Дома</t>
        </is>
      </c>
      <c r="C1843" s="21" t="inlineStr">
        <is>
          <t>Махачкала</t>
        </is>
      </c>
      <c r="D1843" s="22" t="n">
        <v>14</v>
      </c>
    </row>
    <row r="1844">
      <c r="A1844" s="21" t="inlineStr">
        <is>
          <t>Аренда</t>
        </is>
      </c>
      <c r="B1844" s="21" t="inlineStr">
        <is>
          <t>Дома</t>
        </is>
      </c>
      <c r="C1844" s="21" t="inlineStr">
        <is>
          <t>Москва</t>
        </is>
      </c>
      <c r="D1844" s="22" t="n">
        <v>80</v>
      </c>
    </row>
    <row r="1845">
      <c r="A1845" s="21" t="inlineStr">
        <is>
          <t>Аренда</t>
        </is>
      </c>
      <c r="B1845" s="21" t="inlineStr">
        <is>
          <t>Дома</t>
        </is>
      </c>
      <c r="C1845" s="21" t="inlineStr">
        <is>
          <t>Нальчик</t>
        </is>
      </c>
      <c r="D1845" s="22" t="n">
        <v>9</v>
      </c>
    </row>
    <row r="1846">
      <c r="A1846" s="21" t="inlineStr">
        <is>
          <t>Аренда</t>
        </is>
      </c>
      <c r="B1846" s="21" t="inlineStr">
        <is>
          <t>Дома</t>
        </is>
      </c>
      <c r="C1846" s="21" t="inlineStr">
        <is>
          <t>Нижний Новгород</t>
        </is>
      </c>
      <c r="D1846" s="22" t="n">
        <v>5</v>
      </c>
    </row>
    <row r="1847">
      <c r="A1847" s="21" t="inlineStr">
        <is>
          <t>Аренда</t>
        </is>
      </c>
      <c r="B1847" s="21" t="inlineStr">
        <is>
          <t>Дома</t>
        </is>
      </c>
      <c r="C1847" s="21" t="inlineStr">
        <is>
          <t>Новороссийск</t>
        </is>
      </c>
      <c r="D1847" s="22" t="n">
        <v>12</v>
      </c>
    </row>
    <row r="1848">
      <c r="A1848" s="21" t="inlineStr">
        <is>
          <t>Аренда</t>
        </is>
      </c>
      <c r="B1848" s="21" t="inlineStr">
        <is>
          <t>Дома</t>
        </is>
      </c>
      <c r="C1848" s="21" t="inlineStr">
        <is>
          <t>Новосибирск</t>
        </is>
      </c>
      <c r="D1848" s="22" t="n">
        <v>38</v>
      </c>
    </row>
    <row r="1849">
      <c r="A1849" s="21" t="inlineStr">
        <is>
          <t>Аренда</t>
        </is>
      </c>
      <c r="B1849" s="21" t="inlineStr">
        <is>
          <t>Дома</t>
        </is>
      </c>
      <c r="C1849" s="21" t="inlineStr">
        <is>
          <t>Новый Уренгой</t>
        </is>
      </c>
      <c r="D1849" s="22" t="n">
        <v>21</v>
      </c>
    </row>
    <row r="1850">
      <c r="A1850" s="21" t="inlineStr">
        <is>
          <t>Аренда</t>
        </is>
      </c>
      <c r="B1850" s="21" t="inlineStr">
        <is>
          <t>Дома</t>
        </is>
      </c>
      <c r="C1850" s="21" t="inlineStr">
        <is>
          <t>Пермь</t>
        </is>
      </c>
      <c r="D1850" s="22" t="n">
        <v>5</v>
      </c>
    </row>
    <row r="1851">
      <c r="A1851" s="21" t="inlineStr">
        <is>
          <t>Аренда</t>
        </is>
      </c>
      <c r="B1851" s="21" t="inlineStr">
        <is>
          <t>Дома</t>
        </is>
      </c>
      <c r="C1851" s="21" t="inlineStr">
        <is>
          <t>Пушкино</t>
        </is>
      </c>
      <c r="D1851" s="22" t="n">
        <v>6</v>
      </c>
    </row>
    <row r="1852">
      <c r="A1852" s="21" t="inlineStr">
        <is>
          <t>Аренда</t>
        </is>
      </c>
      <c r="B1852" s="21" t="inlineStr">
        <is>
          <t>Дома</t>
        </is>
      </c>
      <c r="C1852" s="21" t="inlineStr">
        <is>
          <t>Ростов-на-Дону</t>
        </is>
      </c>
      <c r="D1852" s="22" t="n">
        <v>66</v>
      </c>
    </row>
    <row r="1853">
      <c r="A1853" s="21" t="inlineStr">
        <is>
          <t>Аренда</t>
        </is>
      </c>
      <c r="B1853" s="21" t="inlineStr">
        <is>
          <t>Дома</t>
        </is>
      </c>
      <c r="C1853" s="21" t="inlineStr">
        <is>
          <t>Рязань</t>
        </is>
      </c>
      <c r="D1853" s="22" t="n">
        <v>5</v>
      </c>
    </row>
    <row r="1854">
      <c r="A1854" s="21" t="inlineStr">
        <is>
          <t>Аренда</t>
        </is>
      </c>
      <c r="B1854" s="21" t="inlineStr">
        <is>
          <t>Дома</t>
        </is>
      </c>
      <c r="C1854" s="21" t="inlineStr">
        <is>
          <t>Салехард</t>
        </is>
      </c>
      <c r="D1854" s="22" t="n">
        <v>5</v>
      </c>
    </row>
    <row r="1855">
      <c r="A1855" s="21" t="inlineStr">
        <is>
          <t>Аренда</t>
        </is>
      </c>
      <c r="B1855" s="21" t="inlineStr">
        <is>
          <t>Дома</t>
        </is>
      </c>
      <c r="C1855" s="21" t="inlineStr">
        <is>
          <t>Самара</t>
        </is>
      </c>
      <c r="D1855" s="22" t="n">
        <v>18</v>
      </c>
    </row>
    <row r="1856">
      <c r="A1856" s="21" t="inlineStr">
        <is>
          <t>Аренда</t>
        </is>
      </c>
      <c r="B1856" s="21" t="inlineStr">
        <is>
          <t>Дома</t>
        </is>
      </c>
      <c r="C1856" s="21" t="inlineStr">
        <is>
          <t>Саратов</t>
        </is>
      </c>
      <c r="D1856" s="22" t="n">
        <v>7</v>
      </c>
    </row>
    <row r="1857">
      <c r="A1857" s="21" t="inlineStr">
        <is>
          <t>Аренда</t>
        </is>
      </c>
      <c r="B1857" s="21" t="inlineStr">
        <is>
          <t>Дома</t>
        </is>
      </c>
      <c r="C1857" s="21" t="inlineStr">
        <is>
          <t>Севастополь</t>
        </is>
      </c>
      <c r="D1857" s="22" t="n">
        <v>41</v>
      </c>
    </row>
    <row r="1858">
      <c r="A1858" s="21" t="inlineStr">
        <is>
          <t>Аренда</t>
        </is>
      </c>
      <c r="B1858" s="21" t="inlineStr">
        <is>
          <t>Дома</t>
        </is>
      </c>
      <c r="C1858" s="21" t="inlineStr">
        <is>
          <t>Симферополь</t>
        </is>
      </c>
      <c r="D1858" s="22" t="n">
        <v>17</v>
      </c>
    </row>
    <row r="1859">
      <c r="A1859" s="21" t="inlineStr">
        <is>
          <t>Аренда</t>
        </is>
      </c>
      <c r="B1859" s="21" t="inlineStr">
        <is>
          <t>Дома</t>
        </is>
      </c>
      <c r="C1859" s="21" t="inlineStr">
        <is>
          <t>Сочи</t>
        </is>
      </c>
      <c r="D1859" s="22" t="n">
        <v>29</v>
      </c>
    </row>
    <row r="1860">
      <c r="A1860" s="21" t="inlineStr">
        <is>
          <t>Аренда</t>
        </is>
      </c>
      <c r="B1860" s="21" t="inlineStr">
        <is>
          <t>Дома</t>
        </is>
      </c>
      <c r="C1860" s="21" t="inlineStr">
        <is>
          <t>Санкт-Петербург</t>
        </is>
      </c>
      <c r="D1860" s="22" t="n">
        <v>43</v>
      </c>
    </row>
    <row r="1861">
      <c r="A1861" s="21" t="inlineStr">
        <is>
          <t>Аренда</t>
        </is>
      </c>
      <c r="B1861" s="21" t="inlineStr">
        <is>
          <t>Дома</t>
        </is>
      </c>
      <c r="C1861" s="21" t="inlineStr">
        <is>
          <t>Старый Оскол</t>
        </is>
      </c>
      <c r="D1861" s="22" t="n">
        <v>38</v>
      </c>
    </row>
    <row r="1862">
      <c r="A1862" s="21" t="inlineStr">
        <is>
          <t>Аренда</t>
        </is>
      </c>
      <c r="B1862" s="21" t="inlineStr">
        <is>
          <t>Дома</t>
        </is>
      </c>
      <c r="C1862" s="21" t="inlineStr">
        <is>
          <t>Ставрополь</t>
        </is>
      </c>
      <c r="D1862" s="22" t="n">
        <v>11</v>
      </c>
    </row>
    <row r="1863">
      <c r="A1863" s="21" t="inlineStr">
        <is>
          <t>Аренда</t>
        </is>
      </c>
      <c r="B1863" s="21" t="inlineStr">
        <is>
          <t>Дома</t>
        </is>
      </c>
      <c r="C1863" s="21" t="inlineStr">
        <is>
          <t>Сургут</t>
        </is>
      </c>
      <c r="D1863" s="22" t="n">
        <v>12</v>
      </c>
    </row>
    <row r="1864">
      <c r="A1864" s="21" t="inlineStr">
        <is>
          <t>Аренда</t>
        </is>
      </c>
      <c r="B1864" s="21" t="inlineStr">
        <is>
          <t>Дома</t>
        </is>
      </c>
      <c r="C1864" s="21" t="inlineStr">
        <is>
          <t>Тула</t>
        </is>
      </c>
      <c r="D1864" s="22" t="n">
        <v>7</v>
      </c>
    </row>
    <row r="1865">
      <c r="A1865" s="21" t="inlineStr">
        <is>
          <t>Аренда</t>
        </is>
      </c>
      <c r="B1865" s="21" t="inlineStr">
        <is>
          <t>Дома</t>
        </is>
      </c>
      <c r="C1865" s="21" t="inlineStr">
        <is>
          <t>Тюмень</t>
        </is>
      </c>
      <c r="D1865" s="22" t="n">
        <v>68</v>
      </c>
    </row>
    <row r="1866">
      <c r="A1866" s="21" t="inlineStr">
        <is>
          <t>Аренда</t>
        </is>
      </c>
      <c r="B1866" s="21" t="inlineStr">
        <is>
          <t>Дома</t>
        </is>
      </c>
      <c r="C1866" s="21" t="inlineStr">
        <is>
          <t>Уфа</t>
        </is>
      </c>
      <c r="D1866" s="22" t="n">
        <v>17</v>
      </c>
    </row>
    <row r="1867">
      <c r="A1867" s="21" t="inlineStr">
        <is>
          <t>Аренда</t>
        </is>
      </c>
      <c r="B1867" s="21" t="inlineStr">
        <is>
          <t>Дома</t>
        </is>
      </c>
      <c r="C1867" s="21" t="inlineStr">
        <is>
          <t>Ульяновск</t>
        </is>
      </c>
      <c r="D1867" s="22" t="n">
        <v>7</v>
      </c>
    </row>
    <row r="1868">
      <c r="A1868" s="21" t="inlineStr">
        <is>
          <t>Аренда</t>
        </is>
      </c>
      <c r="B1868" s="21" t="inlineStr">
        <is>
          <t>Дома</t>
        </is>
      </c>
      <c r="C1868" s="21" t="inlineStr">
        <is>
          <t>Владикавказ</t>
        </is>
      </c>
      <c r="D1868" s="22" t="n">
        <v>6</v>
      </c>
    </row>
    <row r="1869">
      <c r="A1869" s="21" t="inlineStr">
        <is>
          <t>Аренда</t>
        </is>
      </c>
      <c r="B1869" s="21" t="inlineStr">
        <is>
          <t>Дома</t>
        </is>
      </c>
      <c r="C1869" s="21" t="inlineStr">
        <is>
          <t>Владимир</t>
        </is>
      </c>
      <c r="D1869" s="22" t="n">
        <v>17</v>
      </c>
    </row>
    <row r="1870">
      <c r="A1870" s="21" t="inlineStr">
        <is>
          <t>Аренда</t>
        </is>
      </c>
      <c r="B1870" s="21" t="inlineStr">
        <is>
          <t>Дома</t>
        </is>
      </c>
      <c r="C1870" s="21" t="inlineStr">
        <is>
          <t>Владивосток</t>
        </is>
      </c>
      <c r="D1870" s="22" t="n">
        <v>5</v>
      </c>
    </row>
    <row r="1871">
      <c r="A1871" s="21" t="inlineStr">
        <is>
          <t>Аренда</t>
        </is>
      </c>
      <c r="B1871" s="21" t="inlineStr">
        <is>
          <t>Дома</t>
        </is>
      </c>
      <c r="C1871" s="21" t="inlineStr">
        <is>
          <t>Волгоград</t>
        </is>
      </c>
      <c r="D1871" s="22" t="n">
        <v>16</v>
      </c>
    </row>
    <row r="1872">
      <c r="A1872" s="21" t="inlineStr">
        <is>
          <t>Аренда</t>
        </is>
      </c>
      <c r="B1872" s="21" t="inlineStr">
        <is>
          <t>Дома</t>
        </is>
      </c>
      <c r="C1872" s="21" t="inlineStr">
        <is>
          <t>Воронеж</t>
        </is>
      </c>
      <c r="D1872" s="22" t="n">
        <v>5</v>
      </c>
    </row>
    <row r="1873">
      <c r="A1873" s="21" t="inlineStr">
        <is>
          <t>Аренда</t>
        </is>
      </c>
      <c r="B1873" s="21" t="inlineStr">
        <is>
          <t>Дома</t>
        </is>
      </c>
      <c r="C1873" s="21" t="inlineStr">
        <is>
          <t>Южно-Сахалинск</t>
        </is>
      </c>
      <c r="D1873" s="22" t="n">
        <v>15</v>
      </c>
    </row>
    <row r="1874">
      <c r="A1874" s="27" t="inlineStr">
        <is>
          <t>Аренда</t>
        </is>
      </c>
      <c r="B1874" s="17" t="inlineStr">
        <is>
          <t>Дачи</t>
        </is>
      </c>
      <c r="C1874" s="28" t="inlineStr">
        <is>
          <t>Челябинск</t>
        </is>
      </c>
      <c r="D1874" s="19" t="n">
        <v>5</v>
      </c>
    </row>
    <row r="1875">
      <c r="A1875" s="21" t="inlineStr">
        <is>
          <t>Аренда</t>
        </is>
      </c>
      <c r="B1875" s="21" t="inlineStr">
        <is>
          <t>Дачи</t>
        </is>
      </c>
      <c r="C1875" s="21" t="inlineStr">
        <is>
          <t>Домодедово</t>
        </is>
      </c>
      <c r="D1875" s="22" t="n">
        <v>15</v>
      </c>
    </row>
    <row r="1876">
      <c r="A1876" s="21" t="inlineStr">
        <is>
          <t>Аренда</t>
        </is>
      </c>
      <c r="B1876" s="21" t="inlineStr">
        <is>
          <t>Дачи</t>
        </is>
      </c>
      <c r="C1876" s="21" t="inlineStr">
        <is>
          <t>Екатеринбург</t>
        </is>
      </c>
      <c r="D1876" s="22" t="n">
        <v>12</v>
      </c>
    </row>
    <row r="1877">
      <c r="A1877" s="21" t="inlineStr">
        <is>
          <t>Аренда</t>
        </is>
      </c>
      <c r="B1877" s="21" t="inlineStr">
        <is>
          <t>Дачи</t>
        </is>
      </c>
      <c r="C1877" s="21" t="inlineStr">
        <is>
          <t>Горно-Алтайск</t>
        </is>
      </c>
      <c r="D1877" s="22" t="n">
        <v>5</v>
      </c>
    </row>
    <row r="1878">
      <c r="A1878" s="21" t="inlineStr">
        <is>
          <t>Аренда</t>
        </is>
      </c>
      <c r="B1878" s="21" t="inlineStr">
        <is>
          <t>Дачи</t>
        </is>
      </c>
      <c r="C1878" s="21" t="inlineStr">
        <is>
          <t>Иркутск</t>
        </is>
      </c>
      <c r="D1878" s="22" t="n">
        <v>8</v>
      </c>
    </row>
    <row r="1879">
      <c r="A1879" s="21" t="inlineStr">
        <is>
          <t>Аренда</t>
        </is>
      </c>
      <c r="B1879" s="21" t="inlineStr">
        <is>
          <t>Дачи</t>
        </is>
      </c>
      <c r="C1879" s="21" t="inlineStr">
        <is>
          <t>Калуга</t>
        </is>
      </c>
      <c r="D1879" s="22" t="n">
        <v>5</v>
      </c>
    </row>
    <row r="1880">
      <c r="A1880" s="21" t="inlineStr">
        <is>
          <t>Аренда</t>
        </is>
      </c>
      <c r="B1880" s="21" t="inlineStr">
        <is>
          <t>Дачи</t>
        </is>
      </c>
      <c r="C1880" s="21" t="inlineStr">
        <is>
          <t>Казань</t>
        </is>
      </c>
      <c r="D1880" s="22" t="n">
        <v>34</v>
      </c>
    </row>
    <row r="1881">
      <c r="A1881" s="21" t="inlineStr">
        <is>
          <t>Аренда</t>
        </is>
      </c>
      <c r="B1881" s="21" t="inlineStr">
        <is>
          <t>Дачи</t>
        </is>
      </c>
      <c r="C1881" s="21" t="inlineStr">
        <is>
          <t>Кострома</t>
        </is>
      </c>
      <c r="D1881" s="22" t="n">
        <v>7</v>
      </c>
    </row>
    <row r="1882">
      <c r="A1882" s="21" t="inlineStr">
        <is>
          <t>Аренда</t>
        </is>
      </c>
      <c r="B1882" s="21" t="inlineStr">
        <is>
          <t>Дачи</t>
        </is>
      </c>
      <c r="C1882" s="21" t="inlineStr">
        <is>
          <t>Краснодар</t>
        </is>
      </c>
      <c r="D1882" s="22" t="n">
        <v>54</v>
      </c>
    </row>
    <row r="1883">
      <c r="A1883" s="21" t="inlineStr">
        <is>
          <t>Аренда</t>
        </is>
      </c>
      <c r="B1883" s="21" t="inlineStr">
        <is>
          <t>Дачи</t>
        </is>
      </c>
      <c r="C1883" s="21" t="inlineStr">
        <is>
          <t>Красноярск</t>
        </is>
      </c>
      <c r="D1883" s="22" t="n">
        <v>19</v>
      </c>
    </row>
    <row r="1884">
      <c r="A1884" s="21" t="inlineStr">
        <is>
          <t>Аренда</t>
        </is>
      </c>
      <c r="B1884" s="21" t="inlineStr">
        <is>
          <t>Дачи</t>
        </is>
      </c>
      <c r="C1884" s="21" t="inlineStr">
        <is>
          <t>Липецк</t>
        </is>
      </c>
      <c r="D1884" s="22" t="n">
        <v>5</v>
      </c>
    </row>
    <row r="1885">
      <c r="A1885" s="21" t="inlineStr">
        <is>
          <t>Аренда</t>
        </is>
      </c>
      <c r="B1885" s="21" t="inlineStr">
        <is>
          <t>Дачи</t>
        </is>
      </c>
      <c r="C1885" s="21" t="inlineStr">
        <is>
          <t>Махачкала</t>
        </is>
      </c>
      <c r="D1885" s="22" t="n">
        <v>13</v>
      </c>
    </row>
    <row r="1886">
      <c r="A1886" s="21" t="inlineStr">
        <is>
          <t>Аренда</t>
        </is>
      </c>
      <c r="B1886" s="21" t="inlineStr">
        <is>
          <t>Дачи</t>
        </is>
      </c>
      <c r="C1886" s="21" t="inlineStr">
        <is>
          <t>Москва</t>
        </is>
      </c>
      <c r="D1886" s="22" t="n">
        <v>73</v>
      </c>
    </row>
    <row r="1887">
      <c r="A1887" s="21" t="inlineStr">
        <is>
          <t>Аренда</t>
        </is>
      </c>
      <c r="B1887" s="21" t="inlineStr">
        <is>
          <t>Дачи</t>
        </is>
      </c>
      <c r="C1887" s="21" t="inlineStr">
        <is>
          <t>Нальчик</t>
        </is>
      </c>
      <c r="D1887" s="22" t="n">
        <v>8</v>
      </c>
    </row>
    <row r="1888">
      <c r="A1888" s="21" t="inlineStr">
        <is>
          <t>Аренда</t>
        </is>
      </c>
      <c r="B1888" s="21" t="inlineStr">
        <is>
          <t>Дачи</t>
        </is>
      </c>
      <c r="C1888" s="21" t="inlineStr">
        <is>
          <t>Нижний Новгород</t>
        </is>
      </c>
      <c r="D1888" s="22" t="n">
        <v>5</v>
      </c>
    </row>
    <row r="1889">
      <c r="A1889" s="21" t="inlineStr">
        <is>
          <t>Аренда</t>
        </is>
      </c>
      <c r="B1889" s="21" t="inlineStr">
        <is>
          <t>Дачи</t>
        </is>
      </c>
      <c r="C1889" s="21" t="inlineStr">
        <is>
          <t>Новороссийск</t>
        </is>
      </c>
      <c r="D1889" s="22" t="n">
        <v>9</v>
      </c>
    </row>
    <row r="1890">
      <c r="A1890" s="21" t="inlineStr">
        <is>
          <t>Аренда</t>
        </is>
      </c>
      <c r="B1890" s="21" t="inlineStr">
        <is>
          <t>Дачи</t>
        </is>
      </c>
      <c r="C1890" s="21" t="inlineStr">
        <is>
          <t>Новосибирск</t>
        </is>
      </c>
      <c r="D1890" s="22" t="n">
        <v>36</v>
      </c>
    </row>
    <row r="1891">
      <c r="A1891" s="21" t="inlineStr">
        <is>
          <t>Аренда</t>
        </is>
      </c>
      <c r="B1891" s="21" t="inlineStr">
        <is>
          <t>Дачи</t>
        </is>
      </c>
      <c r="C1891" s="21" t="inlineStr">
        <is>
          <t>Новый Уренгой</t>
        </is>
      </c>
      <c r="D1891" s="22" t="n">
        <v>21</v>
      </c>
    </row>
    <row r="1892">
      <c r="A1892" s="21" t="inlineStr">
        <is>
          <t>Аренда</t>
        </is>
      </c>
      <c r="B1892" s="21" t="inlineStr">
        <is>
          <t>Дачи</t>
        </is>
      </c>
      <c r="C1892" s="21" t="inlineStr">
        <is>
          <t>Пушкино</t>
        </is>
      </c>
      <c r="D1892" s="22" t="n">
        <v>6</v>
      </c>
    </row>
    <row r="1893">
      <c r="A1893" s="21" t="inlineStr">
        <is>
          <t>Аренда</t>
        </is>
      </c>
      <c r="B1893" s="21" t="inlineStr">
        <is>
          <t>Дачи</t>
        </is>
      </c>
      <c r="C1893" s="21" t="inlineStr">
        <is>
          <t>Ростов-на-Дону</t>
        </is>
      </c>
      <c r="D1893" s="22" t="n">
        <v>65</v>
      </c>
    </row>
    <row r="1894">
      <c r="A1894" s="21" t="inlineStr">
        <is>
          <t>Аренда</t>
        </is>
      </c>
      <c r="B1894" s="21" t="inlineStr">
        <is>
          <t>Дачи</t>
        </is>
      </c>
      <c r="C1894" s="21" t="inlineStr">
        <is>
          <t>Рязань</t>
        </is>
      </c>
      <c r="D1894" s="22" t="n">
        <v>5</v>
      </c>
    </row>
    <row r="1895">
      <c r="A1895" s="21" t="inlineStr">
        <is>
          <t>Аренда</t>
        </is>
      </c>
      <c r="B1895" s="21" t="inlineStr">
        <is>
          <t>Дачи</t>
        </is>
      </c>
      <c r="C1895" s="21" t="inlineStr">
        <is>
          <t>Салехард</t>
        </is>
      </c>
      <c r="D1895" s="22" t="n">
        <v>5</v>
      </c>
    </row>
    <row r="1896">
      <c r="A1896" s="21" t="inlineStr">
        <is>
          <t>Аренда</t>
        </is>
      </c>
      <c r="B1896" s="21" t="inlineStr">
        <is>
          <t>Дачи</t>
        </is>
      </c>
      <c r="C1896" s="21" t="inlineStr">
        <is>
          <t>Самара</t>
        </is>
      </c>
      <c r="D1896" s="22" t="n">
        <v>18</v>
      </c>
    </row>
    <row r="1897">
      <c r="A1897" s="21" t="inlineStr">
        <is>
          <t>Аренда</t>
        </is>
      </c>
      <c r="B1897" s="21" t="inlineStr">
        <is>
          <t>Дачи</t>
        </is>
      </c>
      <c r="C1897" s="21" t="inlineStr">
        <is>
          <t>Саратов</t>
        </is>
      </c>
      <c r="D1897" s="22" t="n">
        <v>7</v>
      </c>
    </row>
    <row r="1898">
      <c r="A1898" s="21" t="inlineStr">
        <is>
          <t>Аренда</t>
        </is>
      </c>
      <c r="B1898" s="21" t="inlineStr">
        <is>
          <t>Дачи</t>
        </is>
      </c>
      <c r="C1898" s="21" t="inlineStr">
        <is>
          <t>Севастополь</t>
        </is>
      </c>
      <c r="D1898" s="22" t="n">
        <v>40</v>
      </c>
    </row>
    <row r="1899">
      <c r="A1899" s="21" t="inlineStr">
        <is>
          <t>Аренда</t>
        </is>
      </c>
      <c r="B1899" s="21" t="inlineStr">
        <is>
          <t>Дачи</t>
        </is>
      </c>
      <c r="C1899" s="21" t="inlineStr">
        <is>
          <t>Симферополь</t>
        </is>
      </c>
      <c r="D1899" s="22" t="n">
        <v>17</v>
      </c>
    </row>
    <row r="1900">
      <c r="A1900" s="21" t="inlineStr">
        <is>
          <t>Аренда</t>
        </is>
      </c>
      <c r="B1900" s="21" t="inlineStr">
        <is>
          <t>Дачи</t>
        </is>
      </c>
      <c r="C1900" s="21" t="inlineStr">
        <is>
          <t>Сочи</t>
        </is>
      </c>
      <c r="D1900" s="22" t="n">
        <v>26</v>
      </c>
    </row>
    <row r="1901">
      <c r="A1901" s="21" t="inlineStr">
        <is>
          <t>Аренда</t>
        </is>
      </c>
      <c r="B1901" s="21" t="inlineStr">
        <is>
          <t>Дачи</t>
        </is>
      </c>
      <c r="C1901" s="21" t="inlineStr">
        <is>
          <t>Санкт-Петербург</t>
        </is>
      </c>
      <c r="D1901" s="22" t="n">
        <v>40</v>
      </c>
    </row>
    <row r="1902">
      <c r="A1902" s="21" t="inlineStr">
        <is>
          <t>Аренда</t>
        </is>
      </c>
      <c r="B1902" s="21" t="inlineStr">
        <is>
          <t>Дачи</t>
        </is>
      </c>
      <c r="C1902" s="21" t="inlineStr">
        <is>
          <t>Старый Оскол</t>
        </is>
      </c>
      <c r="D1902" s="22" t="n">
        <v>36</v>
      </c>
    </row>
    <row r="1903">
      <c r="A1903" s="21" t="inlineStr">
        <is>
          <t>Аренда</t>
        </is>
      </c>
      <c r="B1903" s="21" t="inlineStr">
        <is>
          <t>Дачи</t>
        </is>
      </c>
      <c r="C1903" s="21" t="inlineStr">
        <is>
          <t>Ставрополь</t>
        </is>
      </c>
      <c r="D1903" s="22" t="n">
        <v>10</v>
      </c>
    </row>
    <row r="1904">
      <c r="A1904" s="21" t="inlineStr">
        <is>
          <t>Аренда</t>
        </is>
      </c>
      <c r="B1904" s="21" t="inlineStr">
        <is>
          <t>Дачи</t>
        </is>
      </c>
      <c r="C1904" s="21" t="inlineStr">
        <is>
          <t>Сургут</t>
        </is>
      </c>
      <c r="D1904" s="22" t="n">
        <v>11</v>
      </c>
    </row>
    <row r="1905">
      <c r="A1905" s="21" t="inlineStr">
        <is>
          <t>Аренда</t>
        </is>
      </c>
      <c r="B1905" s="21" t="inlineStr">
        <is>
          <t>Дачи</t>
        </is>
      </c>
      <c r="C1905" s="21" t="inlineStr">
        <is>
          <t>Тула</t>
        </is>
      </c>
      <c r="D1905" s="22" t="n">
        <v>6</v>
      </c>
    </row>
    <row r="1906">
      <c r="A1906" s="21" t="inlineStr">
        <is>
          <t>Аренда</t>
        </is>
      </c>
      <c r="B1906" s="21" t="inlineStr">
        <is>
          <t>Дачи</t>
        </is>
      </c>
      <c r="C1906" s="21" t="inlineStr">
        <is>
          <t>Тюмень</t>
        </is>
      </c>
      <c r="D1906" s="22" t="n">
        <v>67</v>
      </c>
    </row>
    <row r="1907">
      <c r="A1907" s="21" t="inlineStr">
        <is>
          <t>Аренда</t>
        </is>
      </c>
      <c r="B1907" s="21" t="inlineStr">
        <is>
          <t>Дачи</t>
        </is>
      </c>
      <c r="C1907" s="21" t="inlineStr">
        <is>
          <t>Уфа</t>
        </is>
      </c>
      <c r="D1907" s="22" t="n">
        <v>16</v>
      </c>
    </row>
    <row r="1908">
      <c r="A1908" s="21" t="inlineStr">
        <is>
          <t>Аренда</t>
        </is>
      </c>
      <c r="B1908" s="21" t="inlineStr">
        <is>
          <t>Дачи</t>
        </is>
      </c>
      <c r="C1908" s="21" t="inlineStr">
        <is>
          <t>Ульяновск</t>
        </is>
      </c>
      <c r="D1908" s="22" t="n">
        <v>7</v>
      </c>
    </row>
    <row r="1909">
      <c r="A1909" s="21" t="inlineStr">
        <is>
          <t>Аренда</t>
        </is>
      </c>
      <c r="B1909" s="21" t="inlineStr">
        <is>
          <t>Дачи</t>
        </is>
      </c>
      <c r="C1909" s="21" t="inlineStr">
        <is>
          <t>Владикавказ</t>
        </is>
      </c>
      <c r="D1909" s="22" t="n">
        <v>6</v>
      </c>
    </row>
    <row r="1910">
      <c r="A1910" s="21" t="inlineStr">
        <is>
          <t>Аренда</t>
        </is>
      </c>
      <c r="B1910" s="21" t="inlineStr">
        <is>
          <t>Дачи</t>
        </is>
      </c>
      <c r="C1910" s="21" t="inlineStr">
        <is>
          <t>Владимир</t>
        </is>
      </c>
      <c r="D1910" s="22" t="n">
        <v>17</v>
      </c>
    </row>
    <row r="1911">
      <c r="A1911" s="21" t="inlineStr">
        <is>
          <t>Аренда</t>
        </is>
      </c>
      <c r="B1911" s="21" t="inlineStr">
        <is>
          <t>Дачи</t>
        </is>
      </c>
      <c r="C1911" s="21" t="inlineStr">
        <is>
          <t>Волгоград</t>
        </is>
      </c>
      <c r="D1911" s="22" t="n">
        <v>15</v>
      </c>
    </row>
    <row r="1912">
      <c r="A1912" s="21" t="inlineStr">
        <is>
          <t>Аренда</t>
        </is>
      </c>
      <c r="B1912" s="21" t="inlineStr">
        <is>
          <t>Дачи</t>
        </is>
      </c>
      <c r="C1912" s="21" t="inlineStr">
        <is>
          <t>Южно-Сахалинск</t>
        </is>
      </c>
      <c r="D1912" s="22" t="n">
        <v>15</v>
      </c>
    </row>
    <row r="1913">
      <c r="A1913" s="27" t="inlineStr">
        <is>
          <t>Аренда</t>
        </is>
      </c>
      <c r="B1913" s="17" t="inlineStr">
        <is>
          <t>Коттеджи</t>
        </is>
      </c>
      <c r="C1913" s="28" t="inlineStr">
        <is>
          <t>Домодедово</t>
        </is>
      </c>
      <c r="D1913" s="19" t="n">
        <v>11</v>
      </c>
    </row>
    <row r="1914">
      <c r="A1914" s="21" t="inlineStr">
        <is>
          <t>Аренда</t>
        </is>
      </c>
      <c r="B1914" s="21" t="inlineStr">
        <is>
          <t>Коттеджи</t>
        </is>
      </c>
      <c r="C1914" s="21" t="inlineStr">
        <is>
          <t>Екатеринбург</t>
        </is>
      </c>
      <c r="D1914" s="22" t="n">
        <v>5</v>
      </c>
    </row>
    <row r="1915">
      <c r="A1915" s="21" t="inlineStr">
        <is>
          <t>Аренда</t>
        </is>
      </c>
      <c r="B1915" s="21" t="inlineStr">
        <is>
          <t>Коттеджи</t>
        </is>
      </c>
      <c r="C1915" s="21" t="inlineStr">
        <is>
          <t>Казань</t>
        </is>
      </c>
      <c r="D1915" s="22" t="n">
        <v>19</v>
      </c>
    </row>
    <row r="1916">
      <c r="A1916" s="21" t="inlineStr">
        <is>
          <t>Аренда</t>
        </is>
      </c>
      <c r="B1916" s="21" t="inlineStr">
        <is>
          <t>Коттеджи</t>
        </is>
      </c>
      <c r="C1916" s="21" t="inlineStr">
        <is>
          <t>Краснодар</t>
        </is>
      </c>
      <c r="D1916" s="22" t="n">
        <v>11</v>
      </c>
    </row>
    <row r="1917">
      <c r="A1917" s="21" t="inlineStr">
        <is>
          <t>Аренда</t>
        </is>
      </c>
      <c r="B1917" s="21" t="inlineStr">
        <is>
          <t>Коттеджи</t>
        </is>
      </c>
      <c r="C1917" s="21" t="inlineStr">
        <is>
          <t>Красноярск</t>
        </is>
      </c>
      <c r="D1917" s="22" t="n">
        <v>13</v>
      </c>
    </row>
    <row r="1918">
      <c r="A1918" s="21" t="inlineStr">
        <is>
          <t>Аренда</t>
        </is>
      </c>
      <c r="B1918" s="21" t="inlineStr">
        <is>
          <t>Коттеджи</t>
        </is>
      </c>
      <c r="C1918" s="21" t="inlineStr">
        <is>
          <t>Москва</t>
        </is>
      </c>
      <c r="D1918" s="22" t="n">
        <v>59</v>
      </c>
    </row>
    <row r="1919">
      <c r="A1919" s="21" t="inlineStr">
        <is>
          <t>Аренда</t>
        </is>
      </c>
      <c r="B1919" s="21" t="inlineStr">
        <is>
          <t>Коттеджи</t>
        </is>
      </c>
      <c r="C1919" s="21" t="inlineStr">
        <is>
          <t>Новосибирск</t>
        </is>
      </c>
      <c r="D1919" s="22" t="n">
        <v>18</v>
      </c>
    </row>
    <row r="1920">
      <c r="A1920" s="21" t="inlineStr">
        <is>
          <t>Аренда</t>
        </is>
      </c>
      <c r="B1920" s="21" t="inlineStr">
        <is>
          <t>Коттеджи</t>
        </is>
      </c>
      <c r="C1920" s="21" t="inlineStr">
        <is>
          <t>Новый Уренгой</t>
        </is>
      </c>
      <c r="D1920" s="22" t="n">
        <v>9</v>
      </c>
    </row>
    <row r="1921">
      <c r="A1921" s="21" t="inlineStr">
        <is>
          <t>Аренда</t>
        </is>
      </c>
      <c r="B1921" s="21" t="inlineStr">
        <is>
          <t>Коттеджи</t>
        </is>
      </c>
      <c r="C1921" s="21" t="inlineStr">
        <is>
          <t>Ростов-на-Дону</t>
        </is>
      </c>
      <c r="D1921" s="22" t="n">
        <v>13</v>
      </c>
    </row>
    <row r="1922">
      <c r="A1922" s="21" t="inlineStr">
        <is>
          <t>Аренда</t>
        </is>
      </c>
      <c r="B1922" s="21" t="inlineStr">
        <is>
          <t>Коттеджи</t>
        </is>
      </c>
      <c r="C1922" s="21" t="inlineStr">
        <is>
          <t>Севастополь</t>
        </is>
      </c>
      <c r="D1922" s="22" t="n">
        <v>16</v>
      </c>
    </row>
    <row r="1923">
      <c r="A1923" s="21" t="inlineStr">
        <is>
          <t>Аренда</t>
        </is>
      </c>
      <c r="B1923" s="21" t="inlineStr">
        <is>
          <t>Коттеджи</t>
        </is>
      </c>
      <c r="C1923" s="21" t="inlineStr">
        <is>
          <t>Сочи</t>
        </is>
      </c>
      <c r="D1923" s="22" t="n">
        <v>11</v>
      </c>
    </row>
    <row r="1924">
      <c r="A1924" s="21" t="inlineStr">
        <is>
          <t>Аренда</t>
        </is>
      </c>
      <c r="B1924" s="21" t="inlineStr">
        <is>
          <t>Коттеджи</t>
        </is>
      </c>
      <c r="C1924" s="21" t="inlineStr">
        <is>
          <t>Санкт-Петербург</t>
        </is>
      </c>
      <c r="D1924" s="22" t="n">
        <v>27</v>
      </c>
    </row>
    <row r="1925">
      <c r="A1925" s="21" t="inlineStr">
        <is>
          <t>Аренда</t>
        </is>
      </c>
      <c r="B1925" s="21" t="inlineStr">
        <is>
          <t>Коттеджи</t>
        </is>
      </c>
      <c r="C1925" s="21" t="inlineStr">
        <is>
          <t>Старый Оскол</t>
        </is>
      </c>
      <c r="D1925" s="22" t="n">
        <v>14</v>
      </c>
    </row>
    <row r="1926">
      <c r="A1926" s="21" t="inlineStr">
        <is>
          <t>Аренда</t>
        </is>
      </c>
      <c r="B1926" s="21" t="inlineStr">
        <is>
          <t>Коттеджи</t>
        </is>
      </c>
      <c r="C1926" s="21" t="inlineStr">
        <is>
          <t>Сургут</t>
        </is>
      </c>
      <c r="D1926" s="22" t="n">
        <v>9</v>
      </c>
    </row>
    <row r="1927">
      <c r="A1927" s="21" t="inlineStr">
        <is>
          <t>Аренда</t>
        </is>
      </c>
      <c r="B1927" s="21" t="inlineStr">
        <is>
          <t>Коттеджи</t>
        </is>
      </c>
      <c r="C1927" s="21" t="inlineStr">
        <is>
          <t>Тюмень</t>
        </is>
      </c>
      <c r="D1927" s="22" t="n">
        <v>35</v>
      </c>
    </row>
    <row r="1928">
      <c r="A1928" s="21" t="inlineStr">
        <is>
          <t>Аренда</t>
        </is>
      </c>
      <c r="B1928" s="21" t="inlineStr">
        <is>
          <t>Коттеджи</t>
        </is>
      </c>
      <c r="C1928" s="21" t="inlineStr">
        <is>
          <t>Уфа</t>
        </is>
      </c>
      <c r="D1928" s="22" t="n">
        <v>12</v>
      </c>
    </row>
    <row r="1929">
      <c r="A1929" s="21" t="inlineStr">
        <is>
          <t>Аренда</t>
        </is>
      </c>
      <c r="B1929" s="21" t="inlineStr">
        <is>
          <t>Коттеджи</t>
        </is>
      </c>
      <c r="C1929" s="21" t="inlineStr">
        <is>
          <t>Владимир</t>
        </is>
      </c>
      <c r="D1929" s="22" t="n">
        <v>5</v>
      </c>
    </row>
    <row r="1930">
      <c r="A1930" s="21" t="inlineStr">
        <is>
          <t>Аренда</t>
        </is>
      </c>
      <c r="B1930" s="21" t="inlineStr">
        <is>
          <t>Коттеджи</t>
        </is>
      </c>
      <c r="C1930" s="21" t="inlineStr">
        <is>
          <t>Южно-Сахалинск</t>
        </is>
      </c>
      <c r="D1930" s="22" t="n">
        <v>10</v>
      </c>
    </row>
    <row r="1931">
      <c r="A1931" s="27" t="inlineStr">
        <is>
          <t>Аренда</t>
        </is>
      </c>
      <c r="B1931" s="17" t="inlineStr">
        <is>
          <t>Таунхаусы</t>
        </is>
      </c>
      <c r="C1931" s="28" t="inlineStr">
        <is>
          <t>Казань</t>
        </is>
      </c>
      <c r="D1931" s="19" t="n">
        <v>6</v>
      </c>
    </row>
    <row r="1932">
      <c r="A1932" s="21" t="inlineStr">
        <is>
          <t>Аренда</t>
        </is>
      </c>
      <c r="B1932" s="21" t="inlineStr">
        <is>
          <t>Таунхаусы</t>
        </is>
      </c>
      <c r="C1932" s="21" t="inlineStr">
        <is>
          <t>Москва</t>
        </is>
      </c>
      <c r="D1932" s="22" t="n">
        <v>9</v>
      </c>
    </row>
    <row r="1933">
      <c r="A1933" s="21" t="inlineStr">
        <is>
          <t>Аренда</t>
        </is>
      </c>
      <c r="B1933" s="21" t="inlineStr">
        <is>
          <t>Таунхаусы</t>
        </is>
      </c>
      <c r="C1933" s="21" t="inlineStr">
        <is>
          <t>Сочи</t>
        </is>
      </c>
      <c r="D1933" s="22" t="n">
        <v>12</v>
      </c>
    </row>
    <row r="1934">
      <c r="A1934" s="21" t="inlineStr">
        <is>
          <t>Аренда</t>
        </is>
      </c>
      <c r="B1934" s="21" t="inlineStr">
        <is>
          <t>Таунхаусы</t>
        </is>
      </c>
      <c r="C1934" s="21" t="inlineStr">
        <is>
          <t>Санкт-Петербург</t>
        </is>
      </c>
      <c r="D1934" s="22" t="n">
        <v>10</v>
      </c>
    </row>
    <row r="1935">
      <c r="A1935" s="21" t="inlineStr">
        <is>
          <t>Аренда</t>
        </is>
      </c>
      <c r="B1935" s="21" t="inlineStr">
        <is>
          <t>Таунхаусы</t>
        </is>
      </c>
      <c r="C1935" s="21" t="inlineStr">
        <is>
          <t>Уфа</t>
        </is>
      </c>
      <c r="D1935" s="22" t="n">
        <v>8</v>
      </c>
    </row>
    <row r="1936">
      <c r="A1936" s="27" t="inlineStr">
        <is>
          <t>Аренда</t>
        </is>
      </c>
      <c r="B1936" s="17" t="inlineStr">
        <is>
          <t>Части дома</t>
        </is>
      </c>
      <c r="C1936" s="28" t="inlineStr">
        <is>
          <t>Иваново</t>
        </is>
      </c>
      <c r="D1936" s="19" t="n">
        <v>7</v>
      </c>
    </row>
    <row r="1937">
      <c r="A1937" s="21" t="inlineStr">
        <is>
          <t>Аренда</t>
        </is>
      </c>
      <c r="B1937" s="21" t="inlineStr">
        <is>
          <t>Части дома</t>
        </is>
      </c>
      <c r="C1937" s="21" t="inlineStr">
        <is>
          <t>Краснодар</t>
        </is>
      </c>
      <c r="D1937" s="22" t="n">
        <v>8</v>
      </c>
    </row>
    <row r="1938">
      <c r="A1938" s="21" t="inlineStr">
        <is>
          <t>Аренда</t>
        </is>
      </c>
      <c r="B1938" s="21" t="inlineStr">
        <is>
          <t>Части дома</t>
        </is>
      </c>
      <c r="C1938" s="21" t="inlineStr">
        <is>
          <t>Москва</t>
        </is>
      </c>
      <c r="D1938" s="22" t="n">
        <v>9</v>
      </c>
    </row>
    <row r="1939">
      <c r="A1939" s="21" t="inlineStr">
        <is>
          <t>Аренда</t>
        </is>
      </c>
      <c r="B1939" s="21" t="inlineStr">
        <is>
          <t>Части дома</t>
        </is>
      </c>
      <c r="C1939" s="21" t="inlineStr">
        <is>
          <t>Новороссийск</t>
        </is>
      </c>
      <c r="D1939" s="22" t="n">
        <v>12</v>
      </c>
    </row>
    <row r="1940">
      <c r="A1940" s="21" t="inlineStr">
        <is>
          <t>Аренда</t>
        </is>
      </c>
      <c r="B1940" s="21" t="inlineStr">
        <is>
          <t>Части дома</t>
        </is>
      </c>
      <c r="C1940" s="21" t="inlineStr">
        <is>
          <t>Ростов-на-Дону</t>
        </is>
      </c>
      <c r="D1940" s="22" t="n">
        <v>6</v>
      </c>
    </row>
    <row r="1941">
      <c r="A1941" s="21" t="inlineStr">
        <is>
          <t>Аренда</t>
        </is>
      </c>
      <c r="B1941" s="21" t="inlineStr">
        <is>
          <t>Части дома</t>
        </is>
      </c>
      <c r="C1941" s="21" t="inlineStr">
        <is>
          <t>Саратов</t>
        </is>
      </c>
      <c r="D1941" s="22" t="n">
        <v>5</v>
      </c>
    </row>
    <row r="1942">
      <c r="A1942" s="21" t="inlineStr">
        <is>
          <t>Аренда</t>
        </is>
      </c>
      <c r="B1942" s="21" t="inlineStr">
        <is>
          <t>Части дома</t>
        </is>
      </c>
      <c r="C1942" s="21" t="inlineStr">
        <is>
          <t>Севастополь</t>
        </is>
      </c>
      <c r="D1942" s="22" t="n">
        <v>19</v>
      </c>
    </row>
    <row r="1943">
      <c r="A1943" s="21" t="inlineStr">
        <is>
          <t>Аренда</t>
        </is>
      </c>
      <c r="B1943" s="21" t="inlineStr">
        <is>
          <t>Части дома</t>
        </is>
      </c>
      <c r="C1943" s="21" t="inlineStr">
        <is>
          <t>Сочи</t>
        </is>
      </c>
      <c r="D1943" s="22" t="n">
        <v>6</v>
      </c>
    </row>
    <row r="1944">
      <c r="A1944" s="21" t="inlineStr">
        <is>
          <t>Аренда</t>
        </is>
      </c>
      <c r="B1944" s="21" t="inlineStr">
        <is>
          <t>Части дома</t>
        </is>
      </c>
      <c r="C1944" s="21" t="inlineStr">
        <is>
          <t>Старый Оскол</t>
        </is>
      </c>
      <c r="D1944" s="22" t="n">
        <v>5</v>
      </c>
    </row>
    <row r="1945">
      <c r="A1945" s="27" t="inlineStr">
        <is>
          <t>Аренда</t>
        </is>
      </c>
      <c r="B1945" s="17" t="inlineStr">
        <is>
          <t>Апартаменты</t>
        </is>
      </c>
      <c r="C1945" s="28" t="inlineStr">
        <is>
          <t>Москва</t>
        </is>
      </c>
      <c r="D1945" s="19" t="n">
        <v>277</v>
      </c>
    </row>
    <row r="1946">
      <c r="A1946" s="21" t="inlineStr">
        <is>
          <t>Аренда</t>
        </is>
      </c>
      <c r="B1946" s="21" t="inlineStr">
        <is>
          <t>Апартаменты</t>
        </is>
      </c>
      <c r="C1946" s="21" t="inlineStr">
        <is>
          <t>Новосибирск</t>
        </is>
      </c>
      <c r="D1946" s="22" t="n">
        <v>17</v>
      </c>
    </row>
    <row r="1947">
      <c r="A1947" s="21" t="inlineStr">
        <is>
          <t>Аренда</t>
        </is>
      </c>
      <c r="B1947" s="21" t="inlineStr">
        <is>
          <t>Апартаменты</t>
        </is>
      </c>
      <c r="C1947" s="21" t="inlineStr">
        <is>
          <t>Севастополь</t>
        </is>
      </c>
      <c r="D1947" s="22" t="n">
        <v>12</v>
      </c>
    </row>
    <row r="1948">
      <c r="A1948" s="21" t="inlineStr">
        <is>
          <t>Аренда</t>
        </is>
      </c>
      <c r="B1948" s="21" t="inlineStr">
        <is>
          <t>Апартаменты</t>
        </is>
      </c>
      <c r="C1948" s="21" t="inlineStr">
        <is>
          <t>Сочи</t>
        </is>
      </c>
      <c r="D1948" s="22" t="n">
        <v>9</v>
      </c>
    </row>
    <row r="1949">
      <c r="A1949" s="21" t="inlineStr">
        <is>
          <t>Аренда</t>
        </is>
      </c>
      <c r="B1949" s="21" t="inlineStr">
        <is>
          <t>Апартаменты</t>
        </is>
      </c>
      <c r="C1949" s="21" t="inlineStr">
        <is>
          <t>Санкт-Петербург</t>
        </is>
      </c>
      <c r="D1949" s="22" t="n">
        <v>60</v>
      </c>
    </row>
    <row r="1950">
      <c r="A1950" s="21" t="inlineStr">
        <is>
          <t>Аренда</t>
        </is>
      </c>
      <c r="B1950" s="21" t="inlineStr">
        <is>
          <t>Апартаменты</t>
        </is>
      </c>
      <c r="C1950" s="21" t="inlineStr">
        <is>
          <t>Тюмень</t>
        </is>
      </c>
      <c r="D1950" s="22" t="n">
        <v>9</v>
      </c>
    </row>
    <row r="1951">
      <c r="A1951" s="21" t="inlineStr">
        <is>
          <t>Аренда</t>
        </is>
      </c>
      <c r="B1951" s="21" t="inlineStr">
        <is>
          <t>Апартаменты</t>
        </is>
      </c>
      <c r="C1951" s="21" t="inlineStr">
        <is>
          <t>Владивосток</t>
        </is>
      </c>
      <c r="D1951" s="22" t="n">
        <v>6</v>
      </c>
    </row>
    <row r="1952">
      <c r="A1952" s="27" t="inlineStr">
        <is>
          <t>Аренда</t>
        </is>
      </c>
      <c r="B1952" s="17" t="inlineStr">
        <is>
          <t>Загородная</t>
        </is>
      </c>
      <c r="C1952" s="28" t="inlineStr">
        <is>
          <t>Белгород</t>
        </is>
      </c>
      <c r="D1952" s="19" t="n">
        <v>6</v>
      </c>
    </row>
    <row r="1953">
      <c r="A1953" s="21" t="inlineStr">
        <is>
          <t>Аренда</t>
        </is>
      </c>
      <c r="B1953" s="21" t="inlineStr">
        <is>
          <t>Загородная</t>
        </is>
      </c>
      <c r="C1953" s="21" t="inlineStr">
        <is>
          <t>Челябинск</t>
        </is>
      </c>
      <c r="D1953" s="22" t="n">
        <v>6</v>
      </c>
    </row>
    <row r="1954">
      <c r="A1954" s="21" t="inlineStr">
        <is>
          <t>Аренда</t>
        </is>
      </c>
      <c r="B1954" s="21" t="inlineStr">
        <is>
          <t>Загородная</t>
        </is>
      </c>
      <c r="C1954" s="21" t="inlineStr">
        <is>
          <t>Домодедово</t>
        </is>
      </c>
      <c r="D1954" s="22" t="n">
        <v>16</v>
      </c>
    </row>
    <row r="1955">
      <c r="A1955" s="21" t="inlineStr">
        <is>
          <t>Аренда</t>
        </is>
      </c>
      <c r="B1955" s="21" t="inlineStr">
        <is>
          <t>Загородная</t>
        </is>
      </c>
      <c r="C1955" s="21" t="inlineStr">
        <is>
          <t>Екатеринбург</t>
        </is>
      </c>
      <c r="D1955" s="22" t="n">
        <v>13</v>
      </c>
    </row>
    <row r="1956">
      <c r="A1956" s="21" t="inlineStr">
        <is>
          <t>Аренда</t>
        </is>
      </c>
      <c r="B1956" s="21" t="inlineStr">
        <is>
          <t>Загородная</t>
        </is>
      </c>
      <c r="C1956" s="21" t="inlineStr">
        <is>
          <t>Горно-Алтайск</t>
        </is>
      </c>
      <c r="D1956" s="22" t="n">
        <v>5</v>
      </c>
    </row>
    <row r="1957">
      <c r="A1957" s="21" t="inlineStr">
        <is>
          <t>Аренда</t>
        </is>
      </c>
      <c r="B1957" s="21" t="inlineStr">
        <is>
          <t>Загородная</t>
        </is>
      </c>
      <c r="C1957" s="21" t="inlineStr">
        <is>
          <t>Иркутск</t>
        </is>
      </c>
      <c r="D1957" s="22" t="n">
        <v>10</v>
      </c>
    </row>
    <row r="1958">
      <c r="A1958" s="21" t="inlineStr">
        <is>
          <t>Аренда</t>
        </is>
      </c>
      <c r="B1958" s="21" t="inlineStr">
        <is>
          <t>Загородная</t>
        </is>
      </c>
      <c r="C1958" s="21" t="inlineStr">
        <is>
          <t>Иваново</t>
        </is>
      </c>
      <c r="D1958" s="22" t="n">
        <v>9</v>
      </c>
    </row>
    <row r="1959">
      <c r="A1959" s="21" t="inlineStr">
        <is>
          <t>Аренда</t>
        </is>
      </c>
      <c r="B1959" s="21" t="inlineStr">
        <is>
          <t>Загородная</t>
        </is>
      </c>
      <c r="C1959" s="21" t="inlineStr">
        <is>
          <t>Калининград</t>
        </is>
      </c>
      <c r="D1959" s="22" t="n">
        <v>7</v>
      </c>
    </row>
    <row r="1960">
      <c r="A1960" s="21" t="inlineStr">
        <is>
          <t>Аренда</t>
        </is>
      </c>
      <c r="B1960" s="21" t="inlineStr">
        <is>
          <t>Загородная</t>
        </is>
      </c>
      <c r="C1960" s="21" t="inlineStr">
        <is>
          <t>Калуга</t>
        </is>
      </c>
      <c r="D1960" s="22" t="n">
        <v>5</v>
      </c>
    </row>
    <row r="1961">
      <c r="A1961" s="21" t="inlineStr">
        <is>
          <t>Аренда</t>
        </is>
      </c>
      <c r="B1961" s="21" t="inlineStr">
        <is>
          <t>Загородная</t>
        </is>
      </c>
      <c r="C1961" s="21" t="inlineStr">
        <is>
          <t>Казань</t>
        </is>
      </c>
      <c r="D1961" s="22" t="n">
        <v>41</v>
      </c>
    </row>
    <row r="1962">
      <c r="A1962" s="21" t="inlineStr">
        <is>
          <t>Аренда</t>
        </is>
      </c>
      <c r="B1962" s="21" t="inlineStr">
        <is>
          <t>Загородная</t>
        </is>
      </c>
      <c r="C1962" s="21" t="inlineStr">
        <is>
          <t>Кострома</t>
        </is>
      </c>
      <c r="D1962" s="22" t="n">
        <v>12</v>
      </c>
    </row>
    <row r="1963">
      <c r="A1963" s="21" t="inlineStr">
        <is>
          <t>Аренда</t>
        </is>
      </c>
      <c r="B1963" s="21" t="inlineStr">
        <is>
          <t>Загородная</t>
        </is>
      </c>
      <c r="C1963" s="21" t="inlineStr">
        <is>
          <t>Краснодар</t>
        </is>
      </c>
      <c r="D1963" s="22" t="n">
        <v>69</v>
      </c>
    </row>
    <row r="1964">
      <c r="A1964" s="21" t="inlineStr">
        <is>
          <t>Аренда</t>
        </is>
      </c>
      <c r="B1964" s="21" t="inlineStr">
        <is>
          <t>Загородная</t>
        </is>
      </c>
      <c r="C1964" s="21" t="inlineStr">
        <is>
          <t>Красноярск</t>
        </is>
      </c>
      <c r="D1964" s="22" t="n">
        <v>20</v>
      </c>
    </row>
    <row r="1965">
      <c r="A1965" s="21" t="inlineStr">
        <is>
          <t>Аренда</t>
        </is>
      </c>
      <c r="B1965" s="21" t="inlineStr">
        <is>
          <t>Загородная</t>
        </is>
      </c>
      <c r="C1965" s="21" t="inlineStr">
        <is>
          <t>Липецк</t>
        </is>
      </c>
      <c r="D1965" s="22" t="n">
        <v>5</v>
      </c>
    </row>
    <row r="1966">
      <c r="A1966" s="21" t="inlineStr">
        <is>
          <t>Аренда</t>
        </is>
      </c>
      <c r="B1966" s="21" t="inlineStr">
        <is>
          <t>Загородная</t>
        </is>
      </c>
      <c r="C1966" s="21" t="inlineStr">
        <is>
          <t>Махачкала</t>
        </is>
      </c>
      <c r="D1966" s="22" t="n">
        <v>14</v>
      </c>
    </row>
    <row r="1967">
      <c r="A1967" s="21" t="inlineStr">
        <is>
          <t>Аренда</t>
        </is>
      </c>
      <c r="B1967" s="21" t="inlineStr">
        <is>
          <t>Загородная</t>
        </is>
      </c>
      <c r="C1967" s="21" t="inlineStr">
        <is>
          <t>Москва</t>
        </is>
      </c>
      <c r="D1967" s="22" t="n">
        <v>98</v>
      </c>
    </row>
    <row r="1968">
      <c r="A1968" s="21" t="inlineStr">
        <is>
          <t>Аренда</t>
        </is>
      </c>
      <c r="B1968" s="21" t="inlineStr">
        <is>
          <t>Загородная</t>
        </is>
      </c>
      <c r="C1968" s="21" t="inlineStr">
        <is>
          <t>Нальчик</t>
        </is>
      </c>
      <c r="D1968" s="22" t="n">
        <v>9</v>
      </c>
    </row>
    <row r="1969">
      <c r="A1969" s="21" t="inlineStr">
        <is>
          <t>Аренда</t>
        </is>
      </c>
      <c r="B1969" s="21" t="inlineStr">
        <is>
          <t>Загородная</t>
        </is>
      </c>
      <c r="C1969" s="21" t="inlineStr">
        <is>
          <t>Нижний Новгород</t>
        </is>
      </c>
      <c r="D1969" s="22" t="n">
        <v>6</v>
      </c>
    </row>
    <row r="1970">
      <c r="A1970" s="21" t="inlineStr">
        <is>
          <t>Аренда</t>
        </is>
      </c>
      <c r="B1970" s="21" t="inlineStr">
        <is>
          <t>Загородная</t>
        </is>
      </c>
      <c r="C1970" s="21" t="inlineStr">
        <is>
          <t>Новороссийск</t>
        </is>
      </c>
      <c r="D1970" s="22" t="n">
        <v>27</v>
      </c>
    </row>
    <row r="1971">
      <c r="A1971" s="21" t="inlineStr">
        <is>
          <t>Аренда</t>
        </is>
      </c>
      <c r="B1971" s="21" t="inlineStr">
        <is>
          <t>Загородная</t>
        </is>
      </c>
      <c r="C1971" s="21" t="inlineStr">
        <is>
          <t>Новосибирск</t>
        </is>
      </c>
      <c r="D1971" s="22" t="n">
        <v>43</v>
      </c>
    </row>
    <row r="1972">
      <c r="A1972" s="21" t="inlineStr">
        <is>
          <t>Аренда</t>
        </is>
      </c>
      <c r="B1972" s="21" t="inlineStr">
        <is>
          <t>Загородная</t>
        </is>
      </c>
      <c r="C1972" s="21" t="inlineStr">
        <is>
          <t>Новый Уренгой</t>
        </is>
      </c>
      <c r="D1972" s="22" t="n">
        <v>22</v>
      </c>
    </row>
    <row r="1973">
      <c r="A1973" s="21" t="inlineStr">
        <is>
          <t>Аренда</t>
        </is>
      </c>
      <c r="B1973" s="21" t="inlineStr">
        <is>
          <t>Загородная</t>
        </is>
      </c>
      <c r="C1973" s="21" t="inlineStr">
        <is>
          <t>Пенза</t>
        </is>
      </c>
      <c r="D1973" s="22" t="n">
        <v>6</v>
      </c>
    </row>
    <row r="1974">
      <c r="A1974" s="21" t="inlineStr">
        <is>
          <t>Аренда</t>
        </is>
      </c>
      <c r="B1974" s="21" t="inlineStr">
        <is>
          <t>Загородная</t>
        </is>
      </c>
      <c r="C1974" s="21" t="inlineStr">
        <is>
          <t>Пермь</t>
        </is>
      </c>
      <c r="D1974" s="22" t="n">
        <v>6</v>
      </c>
    </row>
    <row r="1975">
      <c r="A1975" s="21" t="inlineStr">
        <is>
          <t>Аренда</t>
        </is>
      </c>
      <c r="B1975" s="21" t="inlineStr">
        <is>
          <t>Загородная</t>
        </is>
      </c>
      <c r="C1975" s="21" t="inlineStr">
        <is>
          <t>Пушкино</t>
        </is>
      </c>
      <c r="D1975" s="22" t="n">
        <v>6</v>
      </c>
    </row>
    <row r="1976">
      <c r="A1976" s="21" t="inlineStr">
        <is>
          <t>Аренда</t>
        </is>
      </c>
      <c r="B1976" s="21" t="inlineStr">
        <is>
          <t>Загородная</t>
        </is>
      </c>
      <c r="C1976" s="21" t="inlineStr">
        <is>
          <t>Ростов-на-Дону</t>
        </is>
      </c>
      <c r="D1976" s="22" t="n">
        <v>74</v>
      </c>
    </row>
    <row r="1977">
      <c r="A1977" s="21" t="inlineStr">
        <is>
          <t>Аренда</t>
        </is>
      </c>
      <c r="B1977" s="21" t="inlineStr">
        <is>
          <t>Загородная</t>
        </is>
      </c>
      <c r="C1977" s="21" t="inlineStr">
        <is>
          <t>Рязань</t>
        </is>
      </c>
      <c r="D1977" s="22" t="n">
        <v>5</v>
      </c>
    </row>
    <row r="1978">
      <c r="A1978" s="21" t="inlineStr">
        <is>
          <t>Аренда</t>
        </is>
      </c>
      <c r="B1978" s="21" t="inlineStr">
        <is>
          <t>Загородная</t>
        </is>
      </c>
      <c r="C1978" s="21" t="inlineStr">
        <is>
          <t>Салехард</t>
        </is>
      </c>
      <c r="D1978" s="22" t="n">
        <v>6</v>
      </c>
    </row>
    <row r="1979">
      <c r="A1979" s="21" t="inlineStr">
        <is>
          <t>Аренда</t>
        </is>
      </c>
      <c r="B1979" s="21" t="inlineStr">
        <is>
          <t>Загородная</t>
        </is>
      </c>
      <c r="C1979" s="21" t="inlineStr">
        <is>
          <t>Самара</t>
        </is>
      </c>
      <c r="D1979" s="22" t="n">
        <v>18</v>
      </c>
    </row>
    <row r="1980">
      <c r="A1980" s="21" t="inlineStr">
        <is>
          <t>Аренда</t>
        </is>
      </c>
      <c r="B1980" s="21" t="inlineStr">
        <is>
          <t>Загородная</t>
        </is>
      </c>
      <c r="C1980" s="21" t="inlineStr">
        <is>
          <t>Саратов</t>
        </is>
      </c>
      <c r="D1980" s="22" t="n">
        <v>12</v>
      </c>
    </row>
    <row r="1981">
      <c r="A1981" s="21" t="inlineStr">
        <is>
          <t>Аренда</t>
        </is>
      </c>
      <c r="B1981" s="21" t="inlineStr">
        <is>
          <t>Загородная</t>
        </is>
      </c>
      <c r="C1981" s="21" t="inlineStr">
        <is>
          <t>Севастополь</t>
        </is>
      </c>
      <c r="D1981" s="22" t="n">
        <v>60</v>
      </c>
    </row>
    <row r="1982">
      <c r="A1982" s="21" t="inlineStr">
        <is>
          <t>Аренда</t>
        </is>
      </c>
      <c r="B1982" s="21" t="inlineStr">
        <is>
          <t>Загородная</t>
        </is>
      </c>
      <c r="C1982" s="21" t="inlineStr">
        <is>
          <t>Симферополь</t>
        </is>
      </c>
      <c r="D1982" s="22" t="n">
        <v>19</v>
      </c>
    </row>
    <row r="1983">
      <c r="A1983" s="21" t="inlineStr">
        <is>
          <t>Аренда</t>
        </is>
      </c>
      <c r="B1983" s="21" t="inlineStr">
        <is>
          <t>Загородная</t>
        </is>
      </c>
      <c r="C1983" s="21" t="inlineStr">
        <is>
          <t>Сочи</t>
        </is>
      </c>
      <c r="D1983" s="22" t="n">
        <v>47</v>
      </c>
    </row>
    <row r="1984">
      <c r="A1984" s="21" t="inlineStr">
        <is>
          <t>Аренда</t>
        </is>
      </c>
      <c r="B1984" s="21" t="inlineStr">
        <is>
          <t>Загородная</t>
        </is>
      </c>
      <c r="C1984" s="21" t="inlineStr">
        <is>
          <t>Санкт-Петербург</t>
        </is>
      </c>
      <c r="D1984" s="22" t="n">
        <v>57</v>
      </c>
    </row>
    <row r="1985">
      <c r="A1985" s="21" t="inlineStr">
        <is>
          <t>Аренда</t>
        </is>
      </c>
      <c r="B1985" s="21" t="inlineStr">
        <is>
          <t>Загородная</t>
        </is>
      </c>
      <c r="C1985" s="21" t="inlineStr">
        <is>
          <t>Старый Оскол</t>
        </is>
      </c>
      <c r="D1985" s="22" t="n">
        <v>43</v>
      </c>
    </row>
    <row r="1986">
      <c r="A1986" s="21" t="inlineStr">
        <is>
          <t>Аренда</t>
        </is>
      </c>
      <c r="B1986" s="21" t="inlineStr">
        <is>
          <t>Загородная</t>
        </is>
      </c>
      <c r="C1986" s="21" t="inlineStr">
        <is>
          <t>Ставрополь</t>
        </is>
      </c>
      <c r="D1986" s="22" t="n">
        <v>11</v>
      </c>
    </row>
    <row r="1987">
      <c r="A1987" s="21" t="inlineStr">
        <is>
          <t>Аренда</t>
        </is>
      </c>
      <c r="B1987" s="21" t="inlineStr">
        <is>
          <t>Загородная</t>
        </is>
      </c>
      <c r="C1987" s="21" t="inlineStr">
        <is>
          <t>Сургут</t>
        </is>
      </c>
      <c r="D1987" s="22" t="n">
        <v>12</v>
      </c>
    </row>
    <row r="1988">
      <c r="A1988" s="21" t="inlineStr">
        <is>
          <t>Аренда</t>
        </is>
      </c>
      <c r="B1988" s="21" t="inlineStr">
        <is>
          <t>Загородная</t>
        </is>
      </c>
      <c r="C1988" s="21" t="inlineStr">
        <is>
          <t>Томск</t>
        </is>
      </c>
      <c r="D1988" s="22" t="n">
        <v>9</v>
      </c>
    </row>
    <row r="1989">
      <c r="A1989" s="21" t="inlineStr">
        <is>
          <t>Аренда</t>
        </is>
      </c>
      <c r="B1989" s="21" t="inlineStr">
        <is>
          <t>Загородная</t>
        </is>
      </c>
      <c r="C1989" s="21" t="inlineStr">
        <is>
          <t>Тула</t>
        </is>
      </c>
      <c r="D1989" s="22" t="n">
        <v>7</v>
      </c>
    </row>
    <row r="1990">
      <c r="A1990" s="21" t="inlineStr">
        <is>
          <t>Аренда</t>
        </is>
      </c>
      <c r="B1990" s="21" t="inlineStr">
        <is>
          <t>Загородная</t>
        </is>
      </c>
      <c r="C1990" s="21" t="inlineStr">
        <is>
          <t>Тверь</t>
        </is>
      </c>
      <c r="D1990" s="22" t="n">
        <v>5</v>
      </c>
    </row>
    <row r="1991">
      <c r="A1991" s="21" t="inlineStr">
        <is>
          <t>Аренда</t>
        </is>
      </c>
      <c r="B1991" s="21" t="inlineStr">
        <is>
          <t>Загородная</t>
        </is>
      </c>
      <c r="C1991" s="21" t="inlineStr">
        <is>
          <t>Тюмень</t>
        </is>
      </c>
      <c r="D1991" s="22" t="n">
        <v>75</v>
      </c>
    </row>
    <row r="1992">
      <c r="A1992" s="21" t="inlineStr">
        <is>
          <t>Аренда</t>
        </is>
      </c>
      <c r="B1992" s="21" t="inlineStr">
        <is>
          <t>Загородная</t>
        </is>
      </c>
      <c r="C1992" s="21" t="inlineStr">
        <is>
          <t>Уфа</t>
        </is>
      </c>
      <c r="D1992" s="22" t="n">
        <v>25</v>
      </c>
    </row>
    <row r="1993">
      <c r="A1993" s="21" t="inlineStr">
        <is>
          <t>Аренда</t>
        </is>
      </c>
      <c r="B1993" s="21" t="inlineStr">
        <is>
          <t>Загородная</t>
        </is>
      </c>
      <c r="C1993" s="21" t="inlineStr">
        <is>
          <t>Ульяновск</t>
        </is>
      </c>
      <c r="D1993" s="22" t="n">
        <v>8</v>
      </c>
    </row>
    <row r="1994">
      <c r="A1994" s="21" t="inlineStr">
        <is>
          <t>Аренда</t>
        </is>
      </c>
      <c r="B1994" s="21" t="inlineStr">
        <is>
          <t>Загородная</t>
        </is>
      </c>
      <c r="C1994" s="21" t="inlineStr">
        <is>
          <t>Владикавказ</t>
        </is>
      </c>
      <c r="D1994" s="22" t="n">
        <v>6</v>
      </c>
    </row>
    <row r="1995">
      <c r="A1995" s="21" t="inlineStr">
        <is>
          <t>Аренда</t>
        </is>
      </c>
      <c r="B1995" s="21" t="inlineStr">
        <is>
          <t>Загородная</t>
        </is>
      </c>
      <c r="C1995" s="21" t="inlineStr">
        <is>
          <t>Владимир</t>
        </is>
      </c>
      <c r="D1995" s="22" t="n">
        <v>20</v>
      </c>
    </row>
    <row r="1996">
      <c r="A1996" s="21" t="inlineStr">
        <is>
          <t>Аренда</t>
        </is>
      </c>
      <c r="B1996" s="21" t="inlineStr">
        <is>
          <t>Загородная</t>
        </is>
      </c>
      <c r="C1996" s="21" t="inlineStr">
        <is>
          <t>Владивосток</t>
        </is>
      </c>
      <c r="D1996" s="22" t="n">
        <v>5</v>
      </c>
    </row>
    <row r="1997">
      <c r="A1997" s="21" t="inlineStr">
        <is>
          <t>Аренда</t>
        </is>
      </c>
      <c r="B1997" s="21" t="inlineStr">
        <is>
          <t>Загородная</t>
        </is>
      </c>
      <c r="C1997" s="21" t="inlineStr">
        <is>
          <t>Волгоград</t>
        </is>
      </c>
      <c r="D1997" s="22" t="n">
        <v>17</v>
      </c>
    </row>
    <row r="1998">
      <c r="A1998" s="21" t="inlineStr">
        <is>
          <t>Аренда</t>
        </is>
      </c>
      <c r="B1998" s="21" t="inlineStr">
        <is>
          <t>Загородная</t>
        </is>
      </c>
      <c r="C1998" s="21" t="inlineStr">
        <is>
          <t>Воронеж</t>
        </is>
      </c>
      <c r="D1998" s="22" t="n">
        <v>8</v>
      </c>
    </row>
    <row r="1999">
      <c r="A1999" s="21" t="inlineStr">
        <is>
          <t>Аренда</t>
        </is>
      </c>
      <c r="B1999" s="21" t="inlineStr">
        <is>
          <t>Загородная</t>
        </is>
      </c>
      <c r="C1999" s="21" t="inlineStr">
        <is>
          <t>Ярославль</t>
        </is>
      </c>
      <c r="D1999" s="22" t="n">
        <v>8</v>
      </c>
    </row>
    <row r="2000">
      <c r="A2000" s="21" t="inlineStr">
        <is>
          <t>Аренда</t>
        </is>
      </c>
      <c r="B2000" s="21" t="inlineStr">
        <is>
          <t>Загородная</t>
        </is>
      </c>
      <c r="C2000" s="21" t="inlineStr">
        <is>
          <t>Южно-Сахалинск</t>
        </is>
      </c>
      <c r="D2000" s="22" t="n">
        <v>19</v>
      </c>
    </row>
    <row r="2001">
      <c r="A2001" s="27" t="inlineStr">
        <is>
          <t>Аренда</t>
        </is>
      </c>
      <c r="B2001" s="17" t="inlineStr">
        <is>
          <t>Коммерческая</t>
        </is>
      </c>
      <c r="C2001" s="28" t="inlineStr">
        <is>
          <t>Абакан</t>
        </is>
      </c>
      <c r="D2001" s="19" t="n">
        <v>43</v>
      </c>
    </row>
    <row r="2002">
      <c r="A2002" s="21" t="inlineStr">
        <is>
          <t>Аренда</t>
        </is>
      </c>
      <c r="B2002" s="21" t="inlineStr">
        <is>
          <t>Коммерческая</t>
        </is>
      </c>
      <c r="C2002" s="21" t="inlineStr">
        <is>
          <t>Архангельск</t>
        </is>
      </c>
      <c r="D2002" s="22" t="n">
        <v>448</v>
      </c>
    </row>
    <row r="2003">
      <c r="A2003" s="21" t="inlineStr">
        <is>
          <t>Аренда</t>
        </is>
      </c>
      <c r="B2003" s="21" t="inlineStr">
        <is>
          <t>Коммерческая</t>
        </is>
      </c>
      <c r="C2003" s="21" t="inlineStr">
        <is>
          <t>Астрахань</t>
        </is>
      </c>
      <c r="D2003" s="22" t="n">
        <v>155</v>
      </c>
    </row>
    <row r="2004">
      <c r="A2004" s="21" t="inlineStr">
        <is>
          <t>Аренда</t>
        </is>
      </c>
      <c r="B2004" s="21" t="inlineStr">
        <is>
          <t>Коммерческая</t>
        </is>
      </c>
      <c r="C2004" s="21" t="inlineStr">
        <is>
          <t>Балашиха</t>
        </is>
      </c>
      <c r="D2004" s="22" t="n">
        <v>443</v>
      </c>
    </row>
    <row r="2005">
      <c r="A2005" s="21" t="inlineStr">
        <is>
          <t>Аренда</t>
        </is>
      </c>
      <c r="B2005" s="21" t="inlineStr">
        <is>
          <t>Коммерческая</t>
        </is>
      </c>
      <c r="C2005" s="21" t="inlineStr">
        <is>
          <t>Барнаул</t>
        </is>
      </c>
      <c r="D2005" s="22" t="n">
        <v>235</v>
      </c>
    </row>
    <row r="2006">
      <c r="A2006" s="21" t="inlineStr">
        <is>
          <t>Аренда</t>
        </is>
      </c>
      <c r="B2006" s="21" t="inlineStr">
        <is>
          <t>Коммерческая</t>
        </is>
      </c>
      <c r="C2006" s="21" t="inlineStr">
        <is>
          <t>Белгород</t>
        </is>
      </c>
      <c r="D2006" s="22" t="n">
        <v>126</v>
      </c>
    </row>
    <row r="2007">
      <c r="A2007" s="21" t="inlineStr">
        <is>
          <t>Аренда</t>
        </is>
      </c>
      <c r="B2007" s="21" t="inlineStr">
        <is>
          <t>Коммерческая</t>
        </is>
      </c>
      <c r="C2007" s="21" t="inlineStr">
        <is>
          <t>Биробиджан</t>
        </is>
      </c>
      <c r="D2007" s="22" t="n">
        <v>6</v>
      </c>
    </row>
    <row r="2008">
      <c r="A2008" s="21" t="inlineStr">
        <is>
          <t>Аренда</t>
        </is>
      </c>
      <c r="B2008" s="21" t="inlineStr">
        <is>
          <t>Коммерческая</t>
        </is>
      </c>
      <c r="C2008" s="21" t="inlineStr">
        <is>
          <t>Благовещенск</t>
        </is>
      </c>
      <c r="D2008" s="22" t="n">
        <v>22</v>
      </c>
    </row>
    <row r="2009">
      <c r="A2009" s="21" t="inlineStr">
        <is>
          <t>Аренда</t>
        </is>
      </c>
      <c r="B2009" s="21" t="inlineStr">
        <is>
          <t>Коммерческая</t>
        </is>
      </c>
      <c r="C2009" s="21" t="inlineStr">
        <is>
          <t>Братск</t>
        </is>
      </c>
      <c r="D2009" s="22" t="n">
        <v>10</v>
      </c>
    </row>
    <row r="2010">
      <c r="A2010" s="21" t="inlineStr">
        <is>
          <t>Аренда</t>
        </is>
      </c>
      <c r="B2010" s="21" t="inlineStr">
        <is>
          <t>Коммерческая</t>
        </is>
      </c>
      <c r="C2010" s="21" t="inlineStr">
        <is>
          <t>Брянск</t>
        </is>
      </c>
      <c r="D2010" s="22" t="n">
        <v>151</v>
      </c>
    </row>
    <row r="2011">
      <c r="A2011" s="21" t="inlineStr">
        <is>
          <t>Аренда</t>
        </is>
      </c>
      <c r="B2011" s="21" t="inlineStr">
        <is>
          <t>Коммерческая</t>
        </is>
      </c>
      <c r="C2011" s="21" t="inlineStr">
        <is>
          <t>Чебоксары</t>
        </is>
      </c>
      <c r="D2011" s="22" t="n">
        <v>86</v>
      </c>
    </row>
    <row r="2012">
      <c r="A2012" s="21" t="inlineStr">
        <is>
          <t>Аренда</t>
        </is>
      </c>
      <c r="B2012" s="21" t="inlineStr">
        <is>
          <t>Коммерческая</t>
        </is>
      </c>
      <c r="C2012" s="21" t="inlineStr">
        <is>
          <t>Челябинск</t>
        </is>
      </c>
      <c r="D2012" s="22" t="n">
        <v>1246</v>
      </c>
    </row>
    <row r="2013">
      <c r="A2013" s="21" t="inlineStr">
        <is>
          <t>Аренда</t>
        </is>
      </c>
      <c r="B2013" s="21" t="inlineStr">
        <is>
          <t>Коммерческая</t>
        </is>
      </c>
      <c r="C2013" s="21" t="inlineStr">
        <is>
          <t>Череповец</t>
        </is>
      </c>
      <c r="D2013" s="22" t="n">
        <v>54</v>
      </c>
    </row>
    <row r="2014">
      <c r="A2014" s="21" t="inlineStr">
        <is>
          <t>Аренда</t>
        </is>
      </c>
      <c r="B2014" s="21" t="inlineStr">
        <is>
          <t>Коммерческая</t>
        </is>
      </c>
      <c r="C2014" s="21" t="inlineStr">
        <is>
          <t>Черкесск</t>
        </is>
      </c>
      <c r="D2014" s="22" t="n">
        <v>42</v>
      </c>
    </row>
    <row r="2015">
      <c r="A2015" s="21" t="inlineStr">
        <is>
          <t>Аренда</t>
        </is>
      </c>
      <c r="B2015" s="21" t="inlineStr">
        <is>
          <t>Коммерческая</t>
        </is>
      </c>
      <c r="C2015" s="21" t="inlineStr">
        <is>
          <t>Чита</t>
        </is>
      </c>
      <c r="D2015" s="22" t="n">
        <v>82</v>
      </c>
    </row>
    <row r="2016">
      <c r="A2016" s="21" t="inlineStr">
        <is>
          <t>Аренда</t>
        </is>
      </c>
      <c r="B2016" s="21" t="inlineStr">
        <is>
          <t>Коммерческая</t>
        </is>
      </c>
      <c r="C2016" s="21" t="inlineStr">
        <is>
          <t>Долгопрудный</t>
        </is>
      </c>
      <c r="D2016" s="22" t="n">
        <v>142</v>
      </c>
    </row>
    <row r="2017">
      <c r="A2017" s="21" t="inlineStr">
        <is>
          <t>Аренда</t>
        </is>
      </c>
      <c r="B2017" s="21" t="inlineStr">
        <is>
          <t>Коммерческая</t>
        </is>
      </c>
      <c r="C2017" s="21" t="inlineStr">
        <is>
          <t>Домодедово</t>
        </is>
      </c>
      <c r="D2017" s="22" t="n">
        <v>340</v>
      </c>
    </row>
    <row r="2018">
      <c r="A2018" s="21" t="inlineStr">
        <is>
          <t>Аренда</t>
        </is>
      </c>
      <c r="B2018" s="21" t="inlineStr">
        <is>
          <t>Коммерческая</t>
        </is>
      </c>
      <c r="C2018" s="21" t="inlineStr">
        <is>
          <t>Дзержинск</t>
        </is>
      </c>
      <c r="D2018" s="22" t="n">
        <v>60</v>
      </c>
    </row>
    <row r="2019">
      <c r="A2019" s="21" t="inlineStr">
        <is>
          <t>Аренда</t>
        </is>
      </c>
      <c r="B2019" s="21" t="inlineStr">
        <is>
          <t>Коммерческая</t>
        </is>
      </c>
      <c r="C2019" s="21" t="inlineStr">
        <is>
          <t>Екатеринбург</t>
        </is>
      </c>
      <c r="D2019" s="22" t="n">
        <v>1645</v>
      </c>
    </row>
    <row r="2020">
      <c r="A2020" s="21" t="inlineStr">
        <is>
          <t>Аренда</t>
        </is>
      </c>
      <c r="B2020" s="21" t="inlineStr">
        <is>
          <t>Коммерческая</t>
        </is>
      </c>
      <c r="C2020" s="21" t="inlineStr">
        <is>
          <t>Электросталь</t>
        </is>
      </c>
      <c r="D2020" s="22" t="n">
        <v>46</v>
      </c>
    </row>
    <row r="2021">
      <c r="A2021" s="21" t="inlineStr">
        <is>
          <t>Аренда</t>
        </is>
      </c>
      <c r="B2021" s="21" t="inlineStr">
        <is>
          <t>Коммерческая</t>
        </is>
      </c>
      <c r="C2021" s="21" t="inlineStr">
        <is>
          <t>Элиста</t>
        </is>
      </c>
      <c r="D2021" s="22" t="n">
        <v>5</v>
      </c>
    </row>
    <row r="2022">
      <c r="A2022" s="21" t="inlineStr">
        <is>
          <t>Аренда</t>
        </is>
      </c>
      <c r="B2022" s="21" t="inlineStr">
        <is>
          <t>Коммерческая</t>
        </is>
      </c>
      <c r="C2022" s="21" t="inlineStr">
        <is>
          <t>Энгельс</t>
        </is>
      </c>
      <c r="D2022" s="22" t="n">
        <v>135</v>
      </c>
    </row>
    <row r="2023">
      <c r="A2023" s="21" t="inlineStr">
        <is>
          <t>Аренда</t>
        </is>
      </c>
      <c r="B2023" s="21" t="inlineStr">
        <is>
          <t>Коммерческая</t>
        </is>
      </c>
      <c r="C2023" s="21" t="inlineStr">
        <is>
          <t>Горно-Алтайск</t>
        </is>
      </c>
      <c r="D2023" s="22" t="n">
        <v>6</v>
      </c>
    </row>
    <row r="2024">
      <c r="A2024" s="21" t="inlineStr">
        <is>
          <t>Аренда</t>
        </is>
      </c>
      <c r="B2024" s="21" t="inlineStr">
        <is>
          <t>Коммерческая</t>
        </is>
      </c>
      <c r="C2024" s="21" t="inlineStr">
        <is>
          <t>Иркутск</t>
        </is>
      </c>
      <c r="D2024" s="22" t="n">
        <v>405</v>
      </c>
    </row>
    <row r="2025">
      <c r="A2025" s="21" t="inlineStr">
        <is>
          <t>Аренда</t>
        </is>
      </c>
      <c r="B2025" s="21" t="inlineStr">
        <is>
          <t>Коммерческая</t>
        </is>
      </c>
      <c r="C2025" s="21" t="inlineStr">
        <is>
          <t>Иваново</t>
        </is>
      </c>
      <c r="D2025" s="22" t="n">
        <v>58</v>
      </c>
    </row>
    <row r="2026">
      <c r="A2026" s="21" t="inlineStr">
        <is>
          <t>Аренда</t>
        </is>
      </c>
      <c r="B2026" s="21" t="inlineStr">
        <is>
          <t>Коммерческая</t>
        </is>
      </c>
      <c r="C2026" s="21" t="inlineStr">
        <is>
          <t>Ижевск</t>
        </is>
      </c>
      <c r="D2026" s="22" t="n">
        <v>424</v>
      </c>
    </row>
    <row r="2027">
      <c r="A2027" s="21" t="inlineStr">
        <is>
          <t>Аренда</t>
        </is>
      </c>
      <c r="B2027" s="21" t="inlineStr">
        <is>
          <t>Коммерческая</t>
        </is>
      </c>
      <c r="C2027" s="21" t="inlineStr">
        <is>
          <t>Йошкар-Ола</t>
        </is>
      </c>
      <c r="D2027" s="22" t="n">
        <v>162</v>
      </c>
    </row>
    <row r="2028">
      <c r="A2028" s="21" t="inlineStr">
        <is>
          <t>Аренда</t>
        </is>
      </c>
      <c r="B2028" s="21" t="inlineStr">
        <is>
          <t>Коммерческая</t>
        </is>
      </c>
      <c r="C2028" s="21" t="inlineStr">
        <is>
          <t>Калининград</t>
        </is>
      </c>
      <c r="D2028" s="22" t="n">
        <v>316</v>
      </c>
    </row>
    <row r="2029">
      <c r="A2029" s="21" t="inlineStr">
        <is>
          <t>Аренда</t>
        </is>
      </c>
      <c r="B2029" s="21" t="inlineStr">
        <is>
          <t>Коммерческая</t>
        </is>
      </c>
      <c r="C2029" s="21" t="inlineStr">
        <is>
          <t>Калуга</t>
        </is>
      </c>
      <c r="D2029" s="22" t="n">
        <v>299</v>
      </c>
    </row>
    <row r="2030">
      <c r="A2030" s="21" t="inlineStr">
        <is>
          <t>Аренда</t>
        </is>
      </c>
      <c r="B2030" s="21" t="inlineStr">
        <is>
          <t>Коммерческая</t>
        </is>
      </c>
      <c r="C2030" s="21" t="inlineStr">
        <is>
          <t>Казань</t>
        </is>
      </c>
      <c r="D2030" s="22" t="n">
        <v>2265</v>
      </c>
    </row>
    <row r="2031">
      <c r="A2031" s="21" t="inlineStr">
        <is>
          <t>Аренда</t>
        </is>
      </c>
      <c r="B2031" s="21" t="inlineStr">
        <is>
          <t>Коммерческая</t>
        </is>
      </c>
      <c r="C2031" s="21" t="inlineStr">
        <is>
          <t>Кемерово</t>
        </is>
      </c>
      <c r="D2031" s="22" t="n">
        <v>153</v>
      </c>
    </row>
    <row r="2032">
      <c r="A2032" s="21" t="inlineStr">
        <is>
          <t>Аренда</t>
        </is>
      </c>
      <c r="B2032" s="21" t="inlineStr">
        <is>
          <t>Коммерческая</t>
        </is>
      </c>
      <c r="C2032" s="21" t="inlineStr">
        <is>
          <t>Киров</t>
        </is>
      </c>
      <c r="D2032" s="22" t="n">
        <v>132</v>
      </c>
    </row>
    <row r="2033">
      <c r="A2033" s="21" t="inlineStr">
        <is>
          <t>Аренда</t>
        </is>
      </c>
      <c r="B2033" s="21" t="inlineStr">
        <is>
          <t>Коммерческая</t>
        </is>
      </c>
      <c r="C2033" s="21" t="inlineStr">
        <is>
          <t>Коломна</t>
        </is>
      </c>
      <c r="D2033" s="22" t="n">
        <v>22</v>
      </c>
    </row>
    <row r="2034">
      <c r="A2034" s="21" t="inlineStr">
        <is>
          <t>Аренда</t>
        </is>
      </c>
      <c r="B2034" s="21" t="inlineStr">
        <is>
          <t>Коммерческая</t>
        </is>
      </c>
      <c r="C2034" s="21" t="inlineStr">
        <is>
          <t>Комсомольск-на-Амуре</t>
        </is>
      </c>
      <c r="D2034" s="22" t="n">
        <v>57</v>
      </c>
    </row>
    <row r="2035">
      <c r="A2035" s="21" t="inlineStr">
        <is>
          <t>Аренда</t>
        </is>
      </c>
      <c r="B2035" s="21" t="inlineStr">
        <is>
          <t>Коммерческая</t>
        </is>
      </c>
      <c r="C2035" s="21" t="inlineStr">
        <is>
          <t>Королёв</t>
        </is>
      </c>
      <c r="D2035" s="22" t="n">
        <v>104</v>
      </c>
    </row>
    <row r="2036">
      <c r="A2036" s="21" t="inlineStr">
        <is>
          <t>Аренда</t>
        </is>
      </c>
      <c r="B2036" s="21" t="inlineStr">
        <is>
          <t>Коммерческая</t>
        </is>
      </c>
      <c r="C2036" s="21" t="inlineStr">
        <is>
          <t>Кострома</t>
        </is>
      </c>
      <c r="D2036" s="22" t="n">
        <v>396</v>
      </c>
    </row>
    <row r="2037">
      <c r="A2037" s="21" t="inlineStr">
        <is>
          <t>Аренда</t>
        </is>
      </c>
      <c r="B2037" s="21" t="inlineStr">
        <is>
          <t>Коммерческая</t>
        </is>
      </c>
      <c r="C2037" s="21" t="inlineStr">
        <is>
          <t>Краснодар</t>
        </is>
      </c>
      <c r="D2037" s="22" t="n">
        <v>2243</v>
      </c>
    </row>
    <row r="2038">
      <c r="A2038" s="21" t="inlineStr">
        <is>
          <t>Аренда</t>
        </is>
      </c>
      <c r="B2038" s="21" t="inlineStr">
        <is>
          <t>Коммерческая</t>
        </is>
      </c>
      <c r="C2038" s="21" t="inlineStr">
        <is>
          <t>Красногорск</t>
        </is>
      </c>
      <c r="D2038" s="22" t="n">
        <v>202</v>
      </c>
    </row>
    <row r="2039">
      <c r="A2039" s="21" t="inlineStr">
        <is>
          <t>Аренда</t>
        </is>
      </c>
      <c r="B2039" s="21" t="inlineStr">
        <is>
          <t>Коммерческая</t>
        </is>
      </c>
      <c r="C2039" s="21" t="inlineStr">
        <is>
          <t>Красноярск</t>
        </is>
      </c>
      <c r="D2039" s="22" t="n">
        <v>899</v>
      </c>
    </row>
    <row r="2040">
      <c r="A2040" s="21" t="inlineStr">
        <is>
          <t>Аренда</t>
        </is>
      </c>
      <c r="B2040" s="21" t="inlineStr">
        <is>
          <t>Коммерческая</t>
        </is>
      </c>
      <c r="C2040" s="21" t="inlineStr">
        <is>
          <t>Курган</t>
        </is>
      </c>
      <c r="D2040" s="22" t="n">
        <v>327</v>
      </c>
    </row>
    <row r="2041">
      <c r="A2041" s="21" t="inlineStr">
        <is>
          <t>Аренда</t>
        </is>
      </c>
      <c r="B2041" s="21" t="inlineStr">
        <is>
          <t>Коммерческая</t>
        </is>
      </c>
      <c r="C2041" s="21" t="inlineStr">
        <is>
          <t>Курск</t>
        </is>
      </c>
      <c r="D2041" s="22" t="n">
        <v>60</v>
      </c>
    </row>
    <row r="2042">
      <c r="A2042" s="21" t="inlineStr">
        <is>
          <t>Аренда</t>
        </is>
      </c>
      <c r="B2042" s="21" t="inlineStr">
        <is>
          <t>Коммерческая</t>
        </is>
      </c>
      <c r="C2042" s="21" t="inlineStr">
        <is>
          <t>Кызыл</t>
        </is>
      </c>
      <c r="D2042" s="22" t="n">
        <v>8</v>
      </c>
    </row>
    <row r="2043">
      <c r="A2043" s="21" t="inlineStr">
        <is>
          <t>Аренда</t>
        </is>
      </c>
      <c r="B2043" s="21" t="inlineStr">
        <is>
          <t>Коммерческая</t>
        </is>
      </c>
      <c r="C2043" s="21" t="inlineStr">
        <is>
          <t>Липецк</t>
        </is>
      </c>
      <c r="D2043" s="22" t="n">
        <v>200</v>
      </c>
    </row>
    <row r="2044">
      <c r="A2044" s="21" t="inlineStr">
        <is>
          <t>Аренда</t>
        </is>
      </c>
      <c r="B2044" s="21" t="inlineStr">
        <is>
          <t>Коммерческая</t>
        </is>
      </c>
      <c r="C2044" s="21" t="inlineStr">
        <is>
          <t>Люберцы</t>
        </is>
      </c>
      <c r="D2044" s="22" t="n">
        <v>343</v>
      </c>
    </row>
    <row r="2045">
      <c r="A2045" s="21" t="inlineStr">
        <is>
          <t>Аренда</t>
        </is>
      </c>
      <c r="B2045" s="21" t="inlineStr">
        <is>
          <t>Коммерческая</t>
        </is>
      </c>
      <c r="C2045" s="21" t="inlineStr">
        <is>
          <t>Магнитогорск</t>
        </is>
      </c>
      <c r="D2045" s="22" t="n">
        <v>48</v>
      </c>
    </row>
    <row r="2046">
      <c r="A2046" s="21" t="inlineStr">
        <is>
          <t>Аренда</t>
        </is>
      </c>
      <c r="B2046" s="21" t="inlineStr">
        <is>
          <t>Коммерческая</t>
        </is>
      </c>
      <c r="C2046" s="21" t="inlineStr">
        <is>
          <t>Майкоп</t>
        </is>
      </c>
      <c r="D2046" s="22" t="n">
        <v>18</v>
      </c>
    </row>
    <row r="2047">
      <c r="A2047" s="21" t="inlineStr">
        <is>
          <t>Аренда</t>
        </is>
      </c>
      <c r="B2047" s="21" t="inlineStr">
        <is>
          <t>Коммерческая</t>
        </is>
      </c>
      <c r="C2047" s="21" t="inlineStr">
        <is>
          <t>Махачкала</t>
        </is>
      </c>
      <c r="D2047" s="22" t="n">
        <v>135</v>
      </c>
    </row>
    <row r="2048">
      <c r="A2048" s="21" t="inlineStr">
        <is>
          <t>Аренда</t>
        </is>
      </c>
      <c r="B2048" s="21" t="inlineStr">
        <is>
          <t>Коммерческая</t>
        </is>
      </c>
      <c r="C2048" s="21" t="inlineStr">
        <is>
          <t>Москва</t>
        </is>
      </c>
      <c r="D2048" s="22" t="n">
        <v>89268</v>
      </c>
    </row>
    <row r="2049">
      <c r="A2049" s="21" t="inlineStr">
        <is>
          <t>Аренда</t>
        </is>
      </c>
      <c r="B2049" s="21" t="inlineStr">
        <is>
          <t>Коммерческая</t>
        </is>
      </c>
      <c r="C2049" s="21" t="inlineStr">
        <is>
          <t>Мурманск</t>
        </is>
      </c>
      <c r="D2049" s="22" t="n">
        <v>49</v>
      </c>
    </row>
    <row r="2050">
      <c r="A2050" s="21" t="inlineStr">
        <is>
          <t>Аренда</t>
        </is>
      </c>
      <c r="B2050" s="21" t="inlineStr">
        <is>
          <t>Коммерческая</t>
        </is>
      </c>
      <c r="C2050" s="21" t="inlineStr">
        <is>
          <t>Мытищи</t>
        </is>
      </c>
      <c r="D2050" s="22" t="n">
        <v>428</v>
      </c>
    </row>
    <row r="2051">
      <c r="A2051" s="21" t="inlineStr">
        <is>
          <t>Аренда</t>
        </is>
      </c>
      <c r="B2051" s="21" t="inlineStr">
        <is>
          <t>Коммерческая</t>
        </is>
      </c>
      <c r="C2051" s="21" t="inlineStr">
        <is>
          <t>Набережные Челны</t>
        </is>
      </c>
      <c r="D2051" s="22" t="n">
        <v>488</v>
      </c>
    </row>
    <row r="2052">
      <c r="A2052" s="21" t="inlineStr">
        <is>
          <t>Аренда</t>
        </is>
      </c>
      <c r="B2052" s="21" t="inlineStr">
        <is>
          <t>Коммерческая</t>
        </is>
      </c>
      <c r="C2052" s="21" t="inlineStr">
        <is>
          <t>Нальчик</t>
        </is>
      </c>
      <c r="D2052" s="22" t="n">
        <v>52</v>
      </c>
    </row>
    <row r="2053">
      <c r="A2053" s="21" t="inlineStr">
        <is>
          <t>Аренда</t>
        </is>
      </c>
      <c r="B2053" s="21" t="inlineStr">
        <is>
          <t>Коммерческая</t>
        </is>
      </c>
      <c r="C2053" s="21" t="inlineStr">
        <is>
          <t>Нефтеюганск</t>
        </is>
      </c>
      <c r="D2053" s="22" t="n">
        <v>65</v>
      </c>
    </row>
    <row r="2054">
      <c r="A2054" s="21" t="inlineStr">
        <is>
          <t>Аренда</t>
        </is>
      </c>
      <c r="B2054" s="21" t="inlineStr">
        <is>
          <t>Коммерческая</t>
        </is>
      </c>
      <c r="C2054" s="21" t="inlineStr">
        <is>
          <t>Нижневартовск</t>
        </is>
      </c>
      <c r="D2054" s="22" t="n">
        <v>108</v>
      </c>
    </row>
    <row r="2055">
      <c r="A2055" s="21" t="inlineStr">
        <is>
          <t>Аренда</t>
        </is>
      </c>
      <c r="B2055" s="21" t="inlineStr">
        <is>
          <t>Коммерческая</t>
        </is>
      </c>
      <c r="C2055" s="21" t="inlineStr">
        <is>
          <t>Нижний Тагил</t>
        </is>
      </c>
      <c r="D2055" s="22" t="n">
        <v>183</v>
      </c>
    </row>
    <row r="2056">
      <c r="A2056" s="21" t="inlineStr">
        <is>
          <t>Аренда</t>
        </is>
      </c>
      <c r="B2056" s="21" t="inlineStr">
        <is>
          <t>Коммерческая</t>
        </is>
      </c>
      <c r="C2056" s="21" t="inlineStr">
        <is>
          <t>Нижний Новгород</t>
        </is>
      </c>
      <c r="D2056" s="22" t="n">
        <v>5594</v>
      </c>
    </row>
    <row r="2057">
      <c r="A2057" s="21" t="inlineStr">
        <is>
          <t>Аренда</t>
        </is>
      </c>
      <c r="B2057" s="21" t="inlineStr">
        <is>
          <t>Коммерческая</t>
        </is>
      </c>
      <c r="C2057" s="21" t="inlineStr">
        <is>
          <t>Ногинск</t>
        </is>
      </c>
      <c r="D2057" s="22" t="n">
        <v>101</v>
      </c>
    </row>
    <row r="2058">
      <c r="A2058" s="21" t="inlineStr">
        <is>
          <t>Аренда</t>
        </is>
      </c>
      <c r="B2058" s="21" t="inlineStr">
        <is>
          <t>Коммерческая</t>
        </is>
      </c>
      <c r="C2058" s="21" t="inlineStr">
        <is>
          <t>Норильск</t>
        </is>
      </c>
      <c r="D2058" s="22" t="n">
        <v>7</v>
      </c>
    </row>
    <row r="2059">
      <c r="A2059" s="21" t="inlineStr">
        <is>
          <t>Аренда</t>
        </is>
      </c>
      <c r="B2059" s="21" t="inlineStr">
        <is>
          <t>Коммерческая</t>
        </is>
      </c>
      <c r="C2059" s="21" t="inlineStr">
        <is>
          <t>Новокузнецк</t>
        </is>
      </c>
      <c r="D2059" s="22" t="n">
        <v>48</v>
      </c>
    </row>
    <row r="2060">
      <c r="A2060" s="21" t="inlineStr">
        <is>
          <t>Аренда</t>
        </is>
      </c>
      <c r="B2060" s="21" t="inlineStr">
        <is>
          <t>Коммерческая</t>
        </is>
      </c>
      <c r="C2060" s="21" t="inlineStr">
        <is>
          <t>Новороссийск</t>
        </is>
      </c>
      <c r="D2060" s="22" t="n">
        <v>460</v>
      </c>
    </row>
    <row r="2061">
      <c r="A2061" s="21" t="inlineStr">
        <is>
          <t>Аренда</t>
        </is>
      </c>
      <c r="B2061" s="21" t="inlineStr">
        <is>
          <t>Коммерческая</t>
        </is>
      </c>
      <c r="C2061" s="21" t="inlineStr">
        <is>
          <t>Новосибирск</t>
        </is>
      </c>
      <c r="D2061" s="22" t="n">
        <v>2382</v>
      </c>
    </row>
    <row r="2062">
      <c r="A2062" s="21" t="inlineStr">
        <is>
          <t>Аренда</t>
        </is>
      </c>
      <c r="B2062" s="21" t="inlineStr">
        <is>
          <t>Коммерческая</t>
        </is>
      </c>
      <c r="C2062" s="21" t="inlineStr">
        <is>
          <t>Новый Уренгой</t>
        </is>
      </c>
      <c r="D2062" s="22" t="n">
        <v>206</v>
      </c>
    </row>
    <row r="2063">
      <c r="A2063" s="21" t="inlineStr">
        <is>
          <t>Аренда</t>
        </is>
      </c>
      <c r="B2063" s="21" t="inlineStr">
        <is>
          <t>Коммерческая</t>
        </is>
      </c>
      <c r="C2063" s="21" t="inlineStr">
        <is>
          <t>Обнинск</t>
        </is>
      </c>
      <c r="D2063" s="22" t="n">
        <v>64</v>
      </c>
    </row>
    <row r="2064">
      <c r="A2064" s="21" t="inlineStr">
        <is>
          <t>Аренда</t>
        </is>
      </c>
      <c r="B2064" s="21" t="inlineStr">
        <is>
          <t>Коммерческая</t>
        </is>
      </c>
      <c r="C2064" s="21" t="inlineStr">
        <is>
          <t>Одинцово</t>
        </is>
      </c>
      <c r="D2064" s="22" t="n">
        <v>230</v>
      </c>
    </row>
    <row r="2065">
      <c r="A2065" s="21" t="inlineStr">
        <is>
          <t>Аренда</t>
        </is>
      </c>
      <c r="B2065" s="21" t="inlineStr">
        <is>
          <t>Коммерческая</t>
        </is>
      </c>
      <c r="C2065" s="21" t="inlineStr">
        <is>
          <t>Омск</t>
        </is>
      </c>
      <c r="D2065" s="22" t="n">
        <v>2040</v>
      </c>
    </row>
    <row r="2066">
      <c r="A2066" s="21" t="inlineStr">
        <is>
          <t>Аренда</t>
        </is>
      </c>
      <c r="B2066" s="21" t="inlineStr">
        <is>
          <t>Коммерческая</t>
        </is>
      </c>
      <c r="C2066" s="21" t="inlineStr">
        <is>
          <t>Оренбург</t>
        </is>
      </c>
      <c r="D2066" s="22" t="n">
        <v>145</v>
      </c>
    </row>
    <row r="2067">
      <c r="A2067" s="21" t="inlineStr">
        <is>
          <t>Аренда</t>
        </is>
      </c>
      <c r="B2067" s="21" t="inlineStr">
        <is>
          <t>Коммерческая</t>
        </is>
      </c>
      <c r="C2067" s="21" t="inlineStr">
        <is>
          <t>Орехово-Зуево</t>
        </is>
      </c>
      <c r="D2067" s="22" t="n">
        <v>21</v>
      </c>
    </row>
    <row r="2068">
      <c r="A2068" s="21" t="inlineStr">
        <is>
          <t>Аренда</t>
        </is>
      </c>
      <c r="B2068" s="21" t="inlineStr">
        <is>
          <t>Коммерческая</t>
        </is>
      </c>
      <c r="C2068" s="21" t="inlineStr">
        <is>
          <t>Орёл</t>
        </is>
      </c>
      <c r="D2068" s="22" t="n">
        <v>52</v>
      </c>
    </row>
    <row r="2069">
      <c r="A2069" s="21" t="inlineStr">
        <is>
          <t>Аренда</t>
        </is>
      </c>
      <c r="B2069" s="21" t="inlineStr">
        <is>
          <t>Коммерческая</t>
        </is>
      </c>
      <c r="C2069" s="21" t="inlineStr">
        <is>
          <t>Пенза</t>
        </is>
      </c>
      <c r="D2069" s="22" t="n">
        <v>514</v>
      </c>
    </row>
    <row r="2070">
      <c r="A2070" s="21" t="inlineStr">
        <is>
          <t>Аренда</t>
        </is>
      </c>
      <c r="B2070" s="21" t="inlineStr">
        <is>
          <t>Коммерческая</t>
        </is>
      </c>
      <c r="C2070" s="21" t="inlineStr">
        <is>
          <t>Пермь</t>
        </is>
      </c>
      <c r="D2070" s="22" t="n">
        <v>269</v>
      </c>
    </row>
    <row r="2071">
      <c r="A2071" s="21" t="inlineStr">
        <is>
          <t>Аренда</t>
        </is>
      </c>
      <c r="B2071" s="21" t="inlineStr">
        <is>
          <t>Коммерческая</t>
        </is>
      </c>
      <c r="C2071" s="21" t="inlineStr">
        <is>
          <t>Петропавловск-Камчатский</t>
        </is>
      </c>
      <c r="D2071" s="22" t="n">
        <v>46</v>
      </c>
    </row>
    <row r="2072">
      <c r="A2072" s="21" t="inlineStr">
        <is>
          <t>Аренда</t>
        </is>
      </c>
      <c r="B2072" s="21" t="inlineStr">
        <is>
          <t>Коммерческая</t>
        </is>
      </c>
      <c r="C2072" s="21" t="inlineStr">
        <is>
          <t>Петрозаводск</t>
        </is>
      </c>
      <c r="D2072" s="22" t="n">
        <v>62</v>
      </c>
    </row>
    <row r="2073">
      <c r="A2073" s="21" t="inlineStr">
        <is>
          <t>Аренда</t>
        </is>
      </c>
      <c r="B2073" s="21" t="inlineStr">
        <is>
          <t>Коммерческая</t>
        </is>
      </c>
      <c r="C2073" s="21" t="inlineStr">
        <is>
          <t>Подольск</t>
        </is>
      </c>
      <c r="D2073" s="22" t="n">
        <v>785</v>
      </c>
    </row>
    <row r="2074">
      <c r="A2074" s="21" t="inlineStr">
        <is>
          <t>Аренда</t>
        </is>
      </c>
      <c r="B2074" s="21" t="inlineStr">
        <is>
          <t>Коммерческая</t>
        </is>
      </c>
      <c r="C2074" s="21" t="inlineStr">
        <is>
          <t>Прокопьевск</t>
        </is>
      </c>
      <c r="D2074" s="22" t="n">
        <v>42</v>
      </c>
    </row>
    <row r="2075">
      <c r="A2075" s="21" t="inlineStr">
        <is>
          <t>Аренда</t>
        </is>
      </c>
      <c r="B2075" s="21" t="inlineStr">
        <is>
          <t>Коммерческая</t>
        </is>
      </c>
      <c r="C2075" s="21" t="inlineStr">
        <is>
          <t>Псков</t>
        </is>
      </c>
      <c r="D2075" s="22" t="n">
        <v>113</v>
      </c>
    </row>
    <row r="2076">
      <c r="A2076" s="21" t="inlineStr">
        <is>
          <t>Аренда</t>
        </is>
      </c>
      <c r="B2076" s="21" t="inlineStr">
        <is>
          <t>Коммерческая</t>
        </is>
      </c>
      <c r="C2076" s="21" t="inlineStr">
        <is>
          <t>Пушкино</t>
        </is>
      </c>
      <c r="D2076" s="22" t="n">
        <v>131</v>
      </c>
    </row>
    <row r="2077">
      <c r="A2077" s="21" t="inlineStr">
        <is>
          <t>Аренда</t>
        </is>
      </c>
      <c r="B2077" s="21" t="inlineStr">
        <is>
          <t>Коммерческая</t>
        </is>
      </c>
      <c r="C2077" s="21" t="inlineStr">
        <is>
          <t>Раменское</t>
        </is>
      </c>
      <c r="D2077" s="22" t="n">
        <v>196</v>
      </c>
    </row>
    <row r="2078">
      <c r="A2078" s="21" t="inlineStr">
        <is>
          <t>Аренда</t>
        </is>
      </c>
      <c r="B2078" s="21" t="inlineStr">
        <is>
          <t>Коммерческая</t>
        </is>
      </c>
      <c r="C2078" s="21" t="inlineStr">
        <is>
          <t>Реутов</t>
        </is>
      </c>
      <c r="D2078" s="22" t="n">
        <v>164</v>
      </c>
    </row>
    <row r="2079">
      <c r="A2079" s="21" t="inlineStr">
        <is>
          <t>Аренда</t>
        </is>
      </c>
      <c r="B2079" s="21" t="inlineStr">
        <is>
          <t>Коммерческая</t>
        </is>
      </c>
      <c r="C2079" s="21" t="inlineStr">
        <is>
          <t>Ростов-на-Дону</t>
        </is>
      </c>
      <c r="D2079" s="22" t="n">
        <v>2208</v>
      </c>
    </row>
    <row r="2080">
      <c r="A2080" s="21" t="inlineStr">
        <is>
          <t>Аренда</t>
        </is>
      </c>
      <c r="B2080" s="21" t="inlineStr">
        <is>
          <t>Коммерческая</t>
        </is>
      </c>
      <c r="C2080" s="21" t="inlineStr">
        <is>
          <t>Рязань</t>
        </is>
      </c>
      <c r="D2080" s="22" t="n">
        <v>251</v>
      </c>
    </row>
    <row r="2081">
      <c r="A2081" s="21" t="inlineStr">
        <is>
          <t>Аренда</t>
        </is>
      </c>
      <c r="B2081" s="21" t="inlineStr">
        <is>
          <t>Коммерческая</t>
        </is>
      </c>
      <c r="C2081" s="21" t="inlineStr">
        <is>
          <t>Самара</t>
        </is>
      </c>
      <c r="D2081" s="22" t="n">
        <v>1298</v>
      </c>
    </row>
    <row r="2082">
      <c r="A2082" s="21" t="inlineStr">
        <is>
          <t>Аренда</t>
        </is>
      </c>
      <c r="B2082" s="21" t="inlineStr">
        <is>
          <t>Коммерческая</t>
        </is>
      </c>
      <c r="C2082" s="21" t="inlineStr">
        <is>
          <t>Саранск</t>
        </is>
      </c>
      <c r="D2082" s="22" t="n">
        <v>124</v>
      </c>
    </row>
    <row r="2083">
      <c r="A2083" s="21" t="inlineStr">
        <is>
          <t>Аренда</t>
        </is>
      </c>
      <c r="B2083" s="21" t="inlineStr">
        <is>
          <t>Коммерческая</t>
        </is>
      </c>
      <c r="C2083" s="21" t="inlineStr">
        <is>
          <t>Саратов</t>
        </is>
      </c>
      <c r="D2083" s="22" t="n">
        <v>660</v>
      </c>
    </row>
    <row r="2084">
      <c r="A2084" s="21" t="inlineStr">
        <is>
          <t>Аренда</t>
        </is>
      </c>
      <c r="B2084" s="21" t="inlineStr">
        <is>
          <t>Коммерческая</t>
        </is>
      </c>
      <c r="C2084" s="21" t="inlineStr">
        <is>
          <t>Сергиев Посад</t>
        </is>
      </c>
      <c r="D2084" s="22" t="n">
        <v>98</v>
      </c>
    </row>
    <row r="2085">
      <c r="A2085" s="21" t="inlineStr">
        <is>
          <t>Аренда</t>
        </is>
      </c>
      <c r="B2085" s="21" t="inlineStr">
        <is>
          <t>Коммерческая</t>
        </is>
      </c>
      <c r="C2085" s="21" t="inlineStr">
        <is>
          <t>Серпухов</t>
        </is>
      </c>
      <c r="D2085" s="22" t="n">
        <v>76</v>
      </c>
    </row>
    <row r="2086">
      <c r="A2086" s="21" t="inlineStr">
        <is>
          <t>Аренда</t>
        </is>
      </c>
      <c r="B2086" s="21" t="inlineStr">
        <is>
          <t>Коммерческая</t>
        </is>
      </c>
      <c r="C2086" s="21" t="inlineStr">
        <is>
          <t>Севастополь</t>
        </is>
      </c>
      <c r="D2086" s="22" t="n">
        <v>884</v>
      </c>
    </row>
    <row r="2087">
      <c r="A2087" s="21" t="inlineStr">
        <is>
          <t>Аренда</t>
        </is>
      </c>
      <c r="B2087" s="21" t="inlineStr">
        <is>
          <t>Коммерческая</t>
        </is>
      </c>
      <c r="C2087" s="21" t="inlineStr">
        <is>
          <t>Северодвинск</t>
        </is>
      </c>
      <c r="D2087" s="22" t="n">
        <v>185</v>
      </c>
    </row>
    <row r="2088">
      <c r="A2088" s="21" t="inlineStr">
        <is>
          <t>Аренда</t>
        </is>
      </c>
      <c r="B2088" s="21" t="inlineStr">
        <is>
          <t>Коммерческая</t>
        </is>
      </c>
      <c r="C2088" s="21" t="inlineStr">
        <is>
          <t>Симферополь</t>
        </is>
      </c>
      <c r="D2088" s="22" t="n">
        <v>328</v>
      </c>
    </row>
    <row r="2089">
      <c r="A2089" s="21" t="inlineStr">
        <is>
          <t>Аренда</t>
        </is>
      </c>
      <c r="B2089" s="21" t="inlineStr">
        <is>
          <t>Коммерческая</t>
        </is>
      </c>
      <c r="C2089" s="21" t="inlineStr">
        <is>
          <t>Смоленск</t>
        </is>
      </c>
      <c r="D2089" s="22" t="n">
        <v>153</v>
      </c>
    </row>
    <row r="2090">
      <c r="A2090" s="21" t="inlineStr">
        <is>
          <t>Аренда</t>
        </is>
      </c>
      <c r="B2090" s="21" t="inlineStr">
        <is>
          <t>Коммерческая</t>
        </is>
      </c>
      <c r="C2090" s="21" t="inlineStr">
        <is>
          <t>Сочи</t>
        </is>
      </c>
      <c r="D2090" s="22" t="n">
        <v>139</v>
      </c>
    </row>
    <row r="2091">
      <c r="A2091" s="21" t="inlineStr">
        <is>
          <t>Аренда</t>
        </is>
      </c>
      <c r="B2091" s="21" t="inlineStr">
        <is>
          <t>Коммерческая</t>
        </is>
      </c>
      <c r="C2091" s="21" t="inlineStr">
        <is>
          <t>Санкт-Петербург</t>
        </is>
      </c>
      <c r="D2091" s="22" t="n">
        <v>15151</v>
      </c>
    </row>
    <row r="2092">
      <c r="A2092" s="21" t="inlineStr">
        <is>
          <t>Аренда</t>
        </is>
      </c>
      <c r="B2092" s="21" t="inlineStr">
        <is>
          <t>Коммерческая</t>
        </is>
      </c>
      <c r="C2092" s="21" t="inlineStr">
        <is>
          <t>Старый Оскол</t>
        </is>
      </c>
      <c r="D2092" s="22" t="n">
        <v>245</v>
      </c>
    </row>
    <row r="2093">
      <c r="A2093" s="21" t="inlineStr">
        <is>
          <t>Аренда</t>
        </is>
      </c>
      <c r="B2093" s="21" t="inlineStr">
        <is>
          <t>Коммерческая</t>
        </is>
      </c>
      <c r="C2093" s="21" t="inlineStr">
        <is>
          <t>Ставрополь</t>
        </is>
      </c>
      <c r="D2093" s="22" t="n">
        <v>287</v>
      </c>
    </row>
    <row r="2094">
      <c r="A2094" s="21" t="inlineStr">
        <is>
          <t>Аренда</t>
        </is>
      </c>
      <c r="B2094" s="21" t="inlineStr">
        <is>
          <t>Коммерческая</t>
        </is>
      </c>
      <c r="C2094" s="21" t="inlineStr">
        <is>
          <t>Стерлитамак</t>
        </is>
      </c>
      <c r="D2094" s="22" t="n">
        <v>321</v>
      </c>
    </row>
    <row r="2095">
      <c r="A2095" s="21" t="inlineStr">
        <is>
          <t>Аренда</t>
        </is>
      </c>
      <c r="B2095" s="21" t="inlineStr">
        <is>
          <t>Коммерческая</t>
        </is>
      </c>
      <c r="C2095" s="21" t="inlineStr">
        <is>
          <t>Сургут</t>
        </is>
      </c>
      <c r="D2095" s="22" t="n">
        <v>47</v>
      </c>
    </row>
    <row r="2096">
      <c r="A2096" s="21" t="inlineStr">
        <is>
          <t>Аренда</t>
        </is>
      </c>
      <c r="B2096" s="21" t="inlineStr">
        <is>
          <t>Коммерческая</t>
        </is>
      </c>
      <c r="C2096" s="21" t="inlineStr">
        <is>
          <t>Сыктывкар</t>
        </is>
      </c>
      <c r="D2096" s="22" t="n">
        <v>211</v>
      </c>
    </row>
    <row r="2097">
      <c r="A2097" s="21" t="inlineStr">
        <is>
          <t>Аренда</t>
        </is>
      </c>
      <c r="B2097" s="21" t="inlineStr">
        <is>
          <t>Коммерческая</t>
        </is>
      </c>
      <c r="C2097" s="21" t="inlineStr">
        <is>
          <t>Тамбов</t>
        </is>
      </c>
      <c r="D2097" s="22" t="n">
        <v>107</v>
      </c>
    </row>
    <row r="2098">
      <c r="A2098" s="21" t="inlineStr">
        <is>
          <t>Аренда</t>
        </is>
      </c>
      <c r="B2098" s="21" t="inlineStr">
        <is>
          <t>Коммерческая</t>
        </is>
      </c>
      <c r="C2098" s="21" t="inlineStr">
        <is>
          <t>Тольятти</t>
        </is>
      </c>
      <c r="D2098" s="22" t="n">
        <v>194</v>
      </c>
    </row>
    <row r="2099">
      <c r="A2099" s="21" t="inlineStr">
        <is>
          <t>Аренда</t>
        </is>
      </c>
      <c r="B2099" s="21" t="inlineStr">
        <is>
          <t>Коммерческая</t>
        </is>
      </c>
      <c r="C2099" s="21" t="inlineStr">
        <is>
          <t>Томск</t>
        </is>
      </c>
      <c r="D2099" s="22" t="n">
        <v>305</v>
      </c>
    </row>
    <row r="2100">
      <c r="A2100" s="21" t="inlineStr">
        <is>
          <t>Аренда</t>
        </is>
      </c>
      <c r="B2100" s="21" t="inlineStr">
        <is>
          <t>Коммерческая</t>
        </is>
      </c>
      <c r="C2100" s="21" t="inlineStr">
        <is>
          <t>Тула</t>
        </is>
      </c>
      <c r="D2100" s="22" t="n">
        <v>135</v>
      </c>
    </row>
    <row r="2101">
      <c r="A2101" s="21" t="inlineStr">
        <is>
          <t>Аренда</t>
        </is>
      </c>
      <c r="B2101" s="21" t="inlineStr">
        <is>
          <t>Коммерческая</t>
        </is>
      </c>
      <c r="C2101" s="21" t="inlineStr">
        <is>
          <t>Тверь</t>
        </is>
      </c>
      <c r="D2101" s="22" t="n">
        <v>348</v>
      </c>
    </row>
    <row r="2102">
      <c r="A2102" s="21" t="inlineStr">
        <is>
          <t>Аренда</t>
        </is>
      </c>
      <c r="B2102" s="21" t="inlineStr">
        <is>
          <t>Коммерческая</t>
        </is>
      </c>
      <c r="C2102" s="21" t="inlineStr">
        <is>
          <t>Тюмень</t>
        </is>
      </c>
      <c r="D2102" s="22" t="n">
        <v>4488</v>
      </c>
    </row>
    <row r="2103">
      <c r="A2103" s="21" t="inlineStr">
        <is>
          <t>Аренда</t>
        </is>
      </c>
      <c r="B2103" s="21" t="inlineStr">
        <is>
          <t>Коммерческая</t>
        </is>
      </c>
      <c r="C2103" s="21" t="inlineStr">
        <is>
          <t>Уфа</t>
        </is>
      </c>
      <c r="D2103" s="22" t="n">
        <v>1316</v>
      </c>
    </row>
    <row r="2104">
      <c r="A2104" s="21" t="inlineStr">
        <is>
          <t>Аренда</t>
        </is>
      </c>
      <c r="B2104" s="21" t="inlineStr">
        <is>
          <t>Коммерческая</t>
        </is>
      </c>
      <c r="C2104" s="21" t="inlineStr">
        <is>
          <t>Улан-Удэ</t>
        </is>
      </c>
      <c r="D2104" s="22" t="n">
        <v>38</v>
      </c>
    </row>
    <row r="2105">
      <c r="A2105" s="21" t="inlineStr">
        <is>
          <t>Аренда</t>
        </is>
      </c>
      <c r="B2105" s="21" t="inlineStr">
        <is>
          <t>Коммерческая</t>
        </is>
      </c>
      <c r="C2105" s="21" t="inlineStr">
        <is>
          <t>Ульяновск</t>
        </is>
      </c>
      <c r="D2105" s="22" t="n">
        <v>2115</v>
      </c>
    </row>
    <row r="2106">
      <c r="A2106" s="21" t="inlineStr">
        <is>
          <t>Аренда</t>
        </is>
      </c>
      <c r="B2106" s="21" t="inlineStr">
        <is>
          <t>Коммерческая</t>
        </is>
      </c>
      <c r="C2106" s="21" t="inlineStr">
        <is>
          <t>Великий Новгород</t>
        </is>
      </c>
      <c r="D2106" s="22" t="n">
        <v>287</v>
      </c>
    </row>
    <row r="2107">
      <c r="A2107" s="21" t="inlineStr">
        <is>
          <t>Аренда</t>
        </is>
      </c>
      <c r="B2107" s="21" t="inlineStr">
        <is>
          <t>Коммерческая</t>
        </is>
      </c>
      <c r="C2107" s="21" t="inlineStr">
        <is>
          <t>Владикавказ</t>
        </is>
      </c>
      <c r="D2107" s="22" t="n">
        <v>62</v>
      </c>
    </row>
    <row r="2108">
      <c r="A2108" s="21" t="inlineStr">
        <is>
          <t>Аренда</t>
        </is>
      </c>
      <c r="B2108" s="21" t="inlineStr">
        <is>
          <t>Коммерческая</t>
        </is>
      </c>
      <c r="C2108" s="21" t="inlineStr">
        <is>
          <t>Владимир</t>
        </is>
      </c>
      <c r="D2108" s="22" t="n">
        <v>456</v>
      </c>
    </row>
    <row r="2109">
      <c r="A2109" s="21" t="inlineStr">
        <is>
          <t>Аренда</t>
        </is>
      </c>
      <c r="B2109" s="21" t="inlineStr">
        <is>
          <t>Коммерческая</t>
        </is>
      </c>
      <c r="C2109" s="21" t="inlineStr">
        <is>
          <t>Владивосток</t>
        </is>
      </c>
      <c r="D2109" s="22" t="n">
        <v>173</v>
      </c>
    </row>
    <row r="2110">
      <c r="A2110" s="21" t="inlineStr">
        <is>
          <t>Аренда</t>
        </is>
      </c>
      <c r="B2110" s="21" t="inlineStr">
        <is>
          <t>Коммерческая</t>
        </is>
      </c>
      <c r="C2110" s="21" t="inlineStr">
        <is>
          <t>Волгоград</t>
        </is>
      </c>
      <c r="D2110" s="22" t="n">
        <v>750</v>
      </c>
    </row>
    <row r="2111">
      <c r="A2111" s="21" t="inlineStr">
        <is>
          <t>Аренда</t>
        </is>
      </c>
      <c r="B2111" s="21" t="inlineStr">
        <is>
          <t>Коммерческая</t>
        </is>
      </c>
      <c r="C2111" s="21" t="inlineStr">
        <is>
          <t>Вологда</t>
        </is>
      </c>
      <c r="D2111" s="22" t="n">
        <v>32</v>
      </c>
    </row>
    <row r="2112">
      <c r="A2112" s="21" t="inlineStr">
        <is>
          <t>Аренда</t>
        </is>
      </c>
      <c r="B2112" s="21" t="inlineStr">
        <is>
          <t>Коммерческая</t>
        </is>
      </c>
      <c r="C2112" s="21" t="inlineStr">
        <is>
          <t>Волжский</t>
        </is>
      </c>
      <c r="D2112" s="22" t="n">
        <v>60</v>
      </c>
    </row>
    <row r="2113">
      <c r="A2113" s="21" t="inlineStr">
        <is>
          <t>Аренда</t>
        </is>
      </c>
      <c r="B2113" s="21" t="inlineStr">
        <is>
          <t>Коммерческая</t>
        </is>
      </c>
      <c r="C2113" s="21" t="inlineStr">
        <is>
          <t>Воронеж</t>
        </is>
      </c>
      <c r="D2113" s="22" t="n">
        <v>501</v>
      </c>
    </row>
    <row r="2114">
      <c r="A2114" s="21" t="inlineStr">
        <is>
          <t>Аренда</t>
        </is>
      </c>
      <c r="B2114" s="21" t="inlineStr">
        <is>
          <t>Коммерческая</t>
        </is>
      </c>
      <c r="C2114" s="21" t="inlineStr">
        <is>
          <t>Хабаровск</t>
        </is>
      </c>
      <c r="D2114" s="22" t="n">
        <v>431</v>
      </c>
    </row>
    <row r="2115">
      <c r="A2115" s="21" t="inlineStr">
        <is>
          <t>Аренда</t>
        </is>
      </c>
      <c r="B2115" s="21" t="inlineStr">
        <is>
          <t>Коммерческая</t>
        </is>
      </c>
      <c r="C2115" s="21" t="inlineStr">
        <is>
          <t>Ханты-Мансийск</t>
        </is>
      </c>
      <c r="D2115" s="22" t="n">
        <v>105</v>
      </c>
    </row>
    <row r="2116">
      <c r="A2116" s="21" t="inlineStr">
        <is>
          <t>Аренда</t>
        </is>
      </c>
      <c r="B2116" s="21" t="inlineStr">
        <is>
          <t>Коммерческая</t>
        </is>
      </c>
      <c r="C2116" s="21" t="inlineStr">
        <is>
          <t>Химки</t>
        </is>
      </c>
      <c r="D2116" s="22" t="n">
        <v>1817</v>
      </c>
    </row>
    <row r="2117">
      <c r="A2117" s="21" t="inlineStr">
        <is>
          <t>Аренда</t>
        </is>
      </c>
      <c r="B2117" s="21" t="inlineStr">
        <is>
          <t>Коммерческая</t>
        </is>
      </c>
      <c r="C2117" s="21" t="inlineStr">
        <is>
          <t>Якутск</t>
        </is>
      </c>
      <c r="D2117" s="22" t="n">
        <v>29</v>
      </c>
    </row>
    <row r="2118">
      <c r="A2118" s="21" t="inlineStr">
        <is>
          <t>Аренда</t>
        </is>
      </c>
      <c r="B2118" s="21" t="inlineStr">
        <is>
          <t>Коммерческая</t>
        </is>
      </c>
      <c r="C2118" s="21" t="inlineStr">
        <is>
          <t>Ярославль</t>
        </is>
      </c>
      <c r="D2118" s="22" t="n">
        <v>623</v>
      </c>
    </row>
    <row r="2119">
      <c r="A2119" s="21" t="inlineStr">
        <is>
          <t>Аренда</t>
        </is>
      </c>
      <c r="B2119" s="21" t="inlineStr">
        <is>
          <t>Коммерческая</t>
        </is>
      </c>
      <c r="C2119" s="21" t="inlineStr">
        <is>
          <t>Южно-Сахалинск</t>
        </is>
      </c>
      <c r="D2119" s="22" t="n">
        <v>202</v>
      </c>
    </row>
    <row r="2120">
      <c r="A2120" s="21" t="inlineStr">
        <is>
          <t>Аренда</t>
        </is>
      </c>
      <c r="B2120" s="21" t="inlineStr">
        <is>
          <t>Коммерческая</t>
        </is>
      </c>
      <c r="C2120" s="21" t="inlineStr">
        <is>
          <t>Жуковский</t>
        </is>
      </c>
      <c r="D2120" s="22" t="n">
        <v>144</v>
      </c>
    </row>
    <row r="2122">
      <c r="A2122" s="29" t="inlineStr">
        <is>
          <t>Итого (по фильтру)</t>
        </is>
      </c>
      <c r="C2122" s="30" t="inlineStr">
        <is>
          <t>← сумма видимых строк</t>
        </is>
      </c>
      <c r="D2122" s="31">
        <f>SUBTOTAL(109,D2:D2120)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7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B2" sqref="B2:B17"/>
    </sheetView>
  </sheetViews>
  <sheetFormatPr baseColWidth="8" defaultRowHeight="14.5"/>
  <cols>
    <col width="20" customWidth="1" min="1" max="1"/>
    <col width="13" customWidth="1" min="2" max="9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2" customWidth="1" min="10" max="10"/>
  </cols>
  <sheetData>
    <row r="1" ht="42" customHeight="1">
      <c r="A1" s="36" t="inlineStr">
        <is>
          <t>Город</t>
        </is>
      </c>
      <c r="B1" s="37" t="inlineStr">
        <is>
          <t>Публикация 14 дн</t>
        </is>
      </c>
      <c r="C1" s="37" t="inlineStr">
        <is>
          <t>Публикация 30 дн</t>
        </is>
      </c>
      <c r="D1" s="37" t="inlineStr">
        <is>
          <t>Публикация 60 дн</t>
        </is>
      </c>
      <c r="E1" s="37" t="inlineStr">
        <is>
          <t>Продвижение: Оценить (5 дн)</t>
        </is>
      </c>
      <c r="F1" s="37" t="inlineStr">
        <is>
          <t>Продвижение: Выбирают чаще (5 дн)</t>
        </is>
      </c>
      <c r="G1" s="37" t="inlineStr">
        <is>
          <t>Продвижение: Сильнее (5 дн)</t>
        </is>
      </c>
      <c r="H1" s="37" t="inlineStr">
        <is>
          <t>Выделение цветом (7 дн)</t>
        </is>
      </c>
      <c r="I1" s="37" t="inlineStr">
        <is>
          <t>XL (7 дн)</t>
        </is>
      </c>
      <c r="J1" s="37" t="inlineStr">
        <is>
          <t>Обновлено</t>
        </is>
      </c>
    </row>
    <row r="2">
      <c r="A2" s="38" t="inlineStr">
        <is>
          <t>Москва</t>
        </is>
      </c>
      <c r="B2" s="39" t="n">
        <v>641</v>
      </c>
      <c r="C2" s="39" t="n">
        <v>856</v>
      </c>
      <c r="D2" s="39" t="n">
        <v>1540</v>
      </c>
      <c r="E2" s="39" t="n">
        <v>1660</v>
      </c>
      <c r="F2" s="39" t="n">
        <v>3215</v>
      </c>
      <c r="G2" s="39" t="n">
        <v>6505</v>
      </c>
      <c r="H2" s="39" t="n">
        <v>373</v>
      </c>
      <c r="I2" s="39" t="n">
        <v>373</v>
      </c>
      <c r="J2" s="40" t="inlineStr">
        <is>
          <t>2026-06-16</t>
        </is>
      </c>
    </row>
    <row r="3">
      <c r="A3" s="38" t="inlineStr">
        <is>
          <t>Санкт-Петербург</t>
        </is>
      </c>
      <c r="B3" s="39" t="n">
        <v>1435</v>
      </c>
      <c r="C3" s="39" t="n">
        <v>1915</v>
      </c>
      <c r="D3" s="39" t="n">
        <v>3446</v>
      </c>
      <c r="E3" s="39" t="n">
        <v>1460</v>
      </c>
      <c r="F3" s="39" t="n">
        <v>2850</v>
      </c>
      <c r="G3" s="39" t="n">
        <v>5765</v>
      </c>
      <c r="H3" s="39" t="n">
        <v>329</v>
      </c>
      <c r="I3" s="39" t="n">
        <v>329</v>
      </c>
      <c r="J3" s="40" t="inlineStr">
        <is>
          <t>2026-06-16</t>
        </is>
      </c>
    </row>
    <row r="4">
      <c r="A4" s="38" t="inlineStr">
        <is>
          <t>Новосибирск</t>
        </is>
      </c>
      <c r="B4" s="39" t="n">
        <v>1378</v>
      </c>
      <c r="C4" s="39" t="n">
        <v>1836</v>
      </c>
      <c r="D4" s="39" t="n">
        <v>3305</v>
      </c>
      <c r="E4" s="39" t="n">
        <v>1255</v>
      </c>
      <c r="F4" s="39" t="n">
        <v>2465</v>
      </c>
      <c r="G4" s="39" t="n">
        <v>4940</v>
      </c>
      <c r="H4" s="39" t="n">
        <v>285</v>
      </c>
      <c r="I4" s="39" t="n">
        <v>285</v>
      </c>
      <c r="J4" s="40" t="inlineStr">
        <is>
          <t>2026-06-16</t>
        </is>
      </c>
    </row>
    <row r="5">
      <c r="A5" s="38" t="inlineStr">
        <is>
          <t>Екатеринбург</t>
        </is>
      </c>
      <c r="B5" s="39" t="n">
        <v>1282</v>
      </c>
      <c r="C5" s="39" t="n">
        <v>1708</v>
      </c>
      <c r="D5" s="39" t="n">
        <v>3073</v>
      </c>
      <c r="E5" s="39" t="n">
        <v>1255</v>
      </c>
      <c r="F5" s="39" t="n">
        <v>2465</v>
      </c>
      <c r="G5" s="39" t="n">
        <v>4940</v>
      </c>
      <c r="H5" s="39" t="n">
        <v>285</v>
      </c>
      <c r="I5" s="39" t="n">
        <v>285</v>
      </c>
      <c r="J5" s="40" t="inlineStr">
        <is>
          <t>2026-06-16</t>
        </is>
      </c>
    </row>
    <row r="6">
      <c r="A6" s="38" t="inlineStr">
        <is>
          <t>Казань</t>
        </is>
      </c>
      <c r="B6" s="39" t="n">
        <v>1625</v>
      </c>
      <c r="C6" s="39" t="n">
        <v>2167</v>
      </c>
      <c r="D6" s="39" t="n">
        <v>3900</v>
      </c>
      <c r="E6" s="39" t="n">
        <v>1515</v>
      </c>
      <c r="F6" s="39" t="n">
        <v>3060</v>
      </c>
      <c r="G6" s="39" t="n">
        <v>6175</v>
      </c>
      <c r="H6" s="39" t="n">
        <v>351</v>
      </c>
      <c r="I6" s="39" t="n">
        <v>351</v>
      </c>
      <c r="J6" s="40" t="inlineStr">
        <is>
          <t>2026-06-16</t>
        </is>
      </c>
    </row>
    <row r="7">
      <c r="A7" s="38" t="inlineStr">
        <is>
          <t>Красноярск</t>
        </is>
      </c>
      <c r="B7" s="39" t="n">
        <v>1949</v>
      </c>
      <c r="C7" s="39" t="n">
        <v>2600</v>
      </c>
      <c r="D7" s="39" t="n">
        <v>4677</v>
      </c>
      <c r="E7" s="39" t="n">
        <v>965</v>
      </c>
      <c r="F7" s="39" t="n">
        <v>1915</v>
      </c>
      <c r="G7" s="39" t="n">
        <v>3865</v>
      </c>
      <c r="H7" s="39" t="n">
        <v>219</v>
      </c>
      <c r="I7" s="39" t="n">
        <v>219</v>
      </c>
      <c r="J7" s="40" t="inlineStr">
        <is>
          <t>2026-06-16</t>
        </is>
      </c>
    </row>
    <row r="8">
      <c r="A8" s="38" t="inlineStr">
        <is>
          <t>Нижний Новгород</t>
        </is>
      </c>
      <c r="B8" s="39" t="n">
        <v>1249</v>
      </c>
      <c r="C8" s="39" t="n">
        <v>1666</v>
      </c>
      <c r="D8" s="39" t="n">
        <v>3001</v>
      </c>
      <c r="E8" s="39" t="n">
        <v>1165</v>
      </c>
      <c r="F8" s="39" t="n">
        <v>2280</v>
      </c>
      <c r="G8" s="39" t="n">
        <v>4610</v>
      </c>
      <c r="H8" s="39" t="n">
        <v>263</v>
      </c>
      <c r="I8" s="39" t="n">
        <v>263</v>
      </c>
      <c r="J8" s="40" t="inlineStr">
        <is>
          <t>2026-06-16</t>
        </is>
      </c>
    </row>
    <row r="9">
      <c r="A9" s="38" t="inlineStr">
        <is>
          <t>Челябинск</t>
        </is>
      </c>
      <c r="B9" s="39" t="n">
        <v>1810</v>
      </c>
      <c r="C9" s="39" t="n">
        <v>2410</v>
      </c>
      <c r="D9" s="39" t="n">
        <v>4340</v>
      </c>
      <c r="E9" s="39" t="n">
        <v>1255</v>
      </c>
      <c r="F9" s="39" t="n">
        <v>2465</v>
      </c>
      <c r="G9" s="39" t="n">
        <v>4940</v>
      </c>
      <c r="H9" s="39" t="n">
        <v>285</v>
      </c>
      <c r="I9" s="39" t="n">
        <v>285</v>
      </c>
      <c r="J9" s="40" t="inlineStr">
        <is>
          <t>2026-06-16</t>
        </is>
      </c>
    </row>
    <row r="10">
      <c r="A10" s="38" t="inlineStr">
        <is>
          <t>Уфа</t>
        </is>
      </c>
      <c r="B10" s="39" t="n">
        <v>1361</v>
      </c>
      <c r="C10" s="39" t="n">
        <v>1814</v>
      </c>
      <c r="D10" s="39" t="n">
        <v>3268</v>
      </c>
      <c r="E10" s="39" t="n">
        <v>1515</v>
      </c>
      <c r="F10" s="39" t="n">
        <v>3060</v>
      </c>
      <c r="G10" s="39" t="n">
        <v>6175</v>
      </c>
      <c r="H10" s="39" t="n">
        <v>351</v>
      </c>
      <c r="I10" s="39" t="n">
        <v>351</v>
      </c>
      <c r="J10" s="40" t="inlineStr">
        <is>
          <t>2026-06-16</t>
        </is>
      </c>
    </row>
    <row r="11">
      <c r="A11" s="38" t="inlineStr">
        <is>
          <t>Краснодар</t>
        </is>
      </c>
      <c r="B11" s="39" t="n">
        <v>2105</v>
      </c>
      <c r="C11" s="39" t="n">
        <v>2806</v>
      </c>
      <c r="D11" s="39" t="n">
        <v>5053</v>
      </c>
      <c r="E11" s="39" t="n">
        <v>1605</v>
      </c>
      <c r="F11" s="39" t="n">
        <v>3140</v>
      </c>
      <c r="G11" s="39" t="n">
        <v>6340</v>
      </c>
      <c r="H11" s="39" t="n">
        <v>362</v>
      </c>
      <c r="I11" s="39" t="n">
        <v>362</v>
      </c>
      <c r="J11" s="40" t="inlineStr">
        <is>
          <t>2026-06-16</t>
        </is>
      </c>
    </row>
    <row r="12">
      <c r="A12" s="38" t="inlineStr">
        <is>
          <t>Самара</t>
        </is>
      </c>
      <c r="B12" s="39" t="n">
        <v>1319</v>
      </c>
      <c r="C12" s="39" t="n">
        <v>1757</v>
      </c>
      <c r="D12" s="39" t="n">
        <v>3163</v>
      </c>
      <c r="E12" s="39" t="n">
        <v>1165</v>
      </c>
      <c r="F12" s="39" t="n">
        <v>2280</v>
      </c>
      <c r="G12" s="39" t="n">
        <v>4610</v>
      </c>
      <c r="H12" s="39" t="n">
        <v>351</v>
      </c>
      <c r="I12" s="39" t="n">
        <v>351</v>
      </c>
      <c r="J12" s="40" t="inlineStr">
        <is>
          <t>2026-06-16</t>
        </is>
      </c>
    </row>
    <row r="13">
      <c r="A13" s="38" t="inlineStr">
        <is>
          <t>Ростов-на-Дону</t>
        </is>
      </c>
      <c r="B13" s="39" t="n">
        <v>1607</v>
      </c>
      <c r="C13" s="39" t="n">
        <v>2144</v>
      </c>
      <c r="D13" s="39" t="n">
        <v>3859</v>
      </c>
      <c r="E13" s="39" t="n">
        <v>1220</v>
      </c>
      <c r="F13" s="39" t="n">
        <v>2355</v>
      </c>
      <c r="G13" s="39" t="n">
        <v>4775</v>
      </c>
      <c r="H13" s="39" t="n">
        <v>274</v>
      </c>
      <c r="I13" s="39" t="n">
        <v>274</v>
      </c>
      <c r="J13" s="40" t="inlineStr">
        <is>
          <t>2026-06-16</t>
        </is>
      </c>
    </row>
    <row r="14">
      <c r="A14" s="38" t="inlineStr">
        <is>
          <t>Омск</t>
        </is>
      </c>
      <c r="B14" s="39" t="n">
        <v>937</v>
      </c>
      <c r="C14" s="39" t="n">
        <v>1249</v>
      </c>
      <c r="D14" s="39" t="n">
        <v>2249</v>
      </c>
      <c r="E14" s="39" t="n">
        <v>1255</v>
      </c>
      <c r="F14" s="39" t="n">
        <v>2465</v>
      </c>
      <c r="G14" s="39" t="n">
        <v>4940</v>
      </c>
      <c r="H14" s="39" t="n">
        <v>285</v>
      </c>
      <c r="I14" s="39" t="n">
        <v>285</v>
      </c>
      <c r="J14" s="40" t="inlineStr">
        <is>
          <t>2026-06-16</t>
        </is>
      </c>
    </row>
    <row r="15">
      <c r="A15" s="38" t="inlineStr">
        <is>
          <t>Воронеж</t>
        </is>
      </c>
      <c r="B15" s="39" t="n">
        <v>1201</v>
      </c>
      <c r="C15" s="39" t="n">
        <v>1600</v>
      </c>
      <c r="D15" s="39" t="n">
        <v>2880</v>
      </c>
      <c r="E15" s="39" t="n">
        <v>1060</v>
      </c>
      <c r="F15" s="39" t="n">
        <v>2075</v>
      </c>
      <c r="G15" s="39" t="n">
        <v>4190</v>
      </c>
      <c r="H15" s="39" t="n">
        <v>239</v>
      </c>
      <c r="I15" s="39" t="n">
        <v>239</v>
      </c>
      <c r="J15" s="40" t="inlineStr">
        <is>
          <t>2026-06-16</t>
        </is>
      </c>
    </row>
    <row r="16">
      <c r="A16" s="38" t="inlineStr">
        <is>
          <t>Пермь</t>
        </is>
      </c>
      <c r="B16" s="39" t="n">
        <v>1679</v>
      </c>
      <c r="C16" s="39" t="n">
        <v>2236</v>
      </c>
      <c r="D16" s="39" t="n">
        <v>4026</v>
      </c>
      <c r="E16" s="39" t="n">
        <v>1165</v>
      </c>
      <c r="F16" s="39" t="n">
        <v>2280</v>
      </c>
      <c r="G16" s="39" t="n">
        <v>4610</v>
      </c>
      <c r="H16" s="39" t="n">
        <v>307</v>
      </c>
      <c r="I16" s="39" t="n">
        <v>307</v>
      </c>
      <c r="J16" s="40" t="inlineStr">
        <is>
          <t>2026-06-16</t>
        </is>
      </c>
    </row>
    <row r="17">
      <c r="A17" s="38" t="inlineStr">
        <is>
          <t>Волгоград</t>
        </is>
      </c>
      <c r="B17" s="39" t="n">
        <v>1419</v>
      </c>
      <c r="C17" s="39" t="n">
        <v>1891</v>
      </c>
      <c r="D17" s="39" t="n">
        <v>3406</v>
      </c>
      <c r="E17" s="39" t="n">
        <v>1365</v>
      </c>
      <c r="F17" s="39" t="n">
        <v>2645</v>
      </c>
      <c r="G17" s="39" t="n">
        <v>5350</v>
      </c>
      <c r="H17" s="39" t="n">
        <v>307</v>
      </c>
      <c r="I17" s="39" t="n">
        <v>307</v>
      </c>
      <c r="J17" s="40" t="inlineStr">
        <is>
          <t>2026-06-16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689"/>
  <sheetViews>
    <sheetView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18" customWidth="1" min="2" max="2"/>
    <col width="34" customWidth="1" min="3" max="3"/>
    <col width="30" customWidth="1" min="4" max="4"/>
    <col width="12" customWidth="1" min="5" max="5"/>
    <col width="12" customWidth="1" min="6" max="6"/>
    <col width="12" customWidth="1" min="7" max="7"/>
  </cols>
  <sheetData>
    <row r="1">
      <c r="A1" s="42" t="inlineStr">
        <is>
          <t>Источник</t>
        </is>
      </c>
      <c r="B1" s="42" t="inlineStr">
        <is>
          <t>Город</t>
        </is>
      </c>
      <c r="C1" s="42" t="inlineStr">
        <is>
          <t>Категория</t>
        </is>
      </c>
      <c r="D1" s="42" t="inlineStr">
        <is>
          <t>Тип цены</t>
        </is>
      </c>
      <c r="E1" s="42" t="inlineStr">
        <is>
          <t>июн.2026</t>
        </is>
      </c>
      <c r="F1" s="42" t="inlineStr">
        <is>
          <t>Δ%</t>
        </is>
      </c>
      <c r="G1" s="42" t="n"/>
    </row>
    <row r="2">
      <c r="A2" t="inlineStr">
        <is>
          <t>Avito</t>
        </is>
      </c>
      <c r="B2" t="inlineStr">
        <is>
          <t>Москва</t>
        </is>
      </c>
      <c r="D2" t="inlineStr">
        <is>
          <t>Публикация 14 дн</t>
        </is>
      </c>
      <c r="E2" t="n">
        <v>641</v>
      </c>
    </row>
    <row r="3">
      <c r="A3" t="inlineStr">
        <is>
          <t>Avito</t>
        </is>
      </c>
      <c r="B3" t="inlineStr">
        <is>
          <t>Москва</t>
        </is>
      </c>
      <c r="D3" t="inlineStr">
        <is>
          <t>Публикация 30 дн</t>
        </is>
      </c>
      <c r="E3" t="n">
        <v>856</v>
      </c>
    </row>
    <row r="4">
      <c r="A4" t="inlineStr">
        <is>
          <t>Avito</t>
        </is>
      </c>
      <c r="B4" t="inlineStr">
        <is>
          <t>Москва</t>
        </is>
      </c>
      <c r="D4" t="inlineStr">
        <is>
          <t>Публикация 60 дн</t>
        </is>
      </c>
      <c r="E4" t="n">
        <v>1540</v>
      </c>
    </row>
    <row r="5">
      <c r="A5" t="inlineStr">
        <is>
          <t>Avito</t>
        </is>
      </c>
      <c r="B5" t="inlineStr">
        <is>
          <t>Москва</t>
        </is>
      </c>
      <c r="D5" t="inlineStr">
        <is>
          <t>Продвижение: Оценить (5 дн)</t>
        </is>
      </c>
      <c r="E5" t="n">
        <v>1660</v>
      </c>
    </row>
    <row r="6">
      <c r="A6" t="inlineStr">
        <is>
          <t>Avito</t>
        </is>
      </c>
      <c r="B6" t="inlineStr">
        <is>
          <t>Москва</t>
        </is>
      </c>
      <c r="D6" t="inlineStr">
        <is>
          <t>Продвижение: Выбирают чаще (5 дн)</t>
        </is>
      </c>
      <c r="E6" t="n">
        <v>3215</v>
      </c>
    </row>
    <row r="7">
      <c r="A7" t="inlineStr">
        <is>
          <t>Avito</t>
        </is>
      </c>
      <c r="B7" t="inlineStr">
        <is>
          <t>Москва</t>
        </is>
      </c>
      <c r="D7" t="inlineStr">
        <is>
          <t>Продвижение: Сильнее (5 дн)</t>
        </is>
      </c>
      <c r="E7" t="n">
        <v>6505</v>
      </c>
    </row>
    <row r="8">
      <c r="A8" t="inlineStr">
        <is>
          <t>Avito</t>
        </is>
      </c>
      <c r="B8" t="inlineStr">
        <is>
          <t>Москва</t>
        </is>
      </c>
      <c r="D8" t="inlineStr">
        <is>
          <t>Выделение цветом (7 дн)</t>
        </is>
      </c>
      <c r="E8" t="n">
        <v>373</v>
      </c>
    </row>
    <row r="9">
      <c r="A9" t="inlineStr">
        <is>
          <t>Avito</t>
        </is>
      </c>
      <c r="B9" t="inlineStr">
        <is>
          <t>Москва</t>
        </is>
      </c>
      <c r="D9" t="inlineStr">
        <is>
          <t>XL (7 дн)</t>
        </is>
      </c>
      <c r="E9" t="n">
        <v>373</v>
      </c>
    </row>
    <row r="10">
      <c r="A10" t="inlineStr">
        <is>
          <t>Avito</t>
        </is>
      </c>
      <c r="B10" t="inlineStr">
        <is>
          <t>Санкт-Петербург</t>
        </is>
      </c>
      <c r="D10" t="inlineStr">
        <is>
          <t>Публикация 14 дн</t>
        </is>
      </c>
      <c r="E10" t="n">
        <v>1435</v>
      </c>
    </row>
    <row r="11">
      <c r="A11" t="inlineStr">
        <is>
          <t>Avito</t>
        </is>
      </c>
      <c r="B11" t="inlineStr">
        <is>
          <t>Санкт-Петербург</t>
        </is>
      </c>
      <c r="D11" t="inlineStr">
        <is>
          <t>Публикация 30 дн</t>
        </is>
      </c>
      <c r="E11" t="n">
        <v>1915</v>
      </c>
    </row>
    <row r="12">
      <c r="A12" t="inlineStr">
        <is>
          <t>Avito</t>
        </is>
      </c>
      <c r="B12" t="inlineStr">
        <is>
          <t>Санкт-Петербург</t>
        </is>
      </c>
      <c r="D12" t="inlineStr">
        <is>
          <t>Публикация 60 дн</t>
        </is>
      </c>
      <c r="E12" t="n">
        <v>3446</v>
      </c>
    </row>
    <row r="13">
      <c r="A13" t="inlineStr">
        <is>
          <t>Avito</t>
        </is>
      </c>
      <c r="B13" t="inlineStr">
        <is>
          <t>Санкт-Петербург</t>
        </is>
      </c>
      <c r="D13" t="inlineStr">
        <is>
          <t>Продвижение: Оценить (5 дн)</t>
        </is>
      </c>
      <c r="E13" t="n">
        <v>1460</v>
      </c>
    </row>
    <row r="14">
      <c r="A14" t="inlineStr">
        <is>
          <t>Avito</t>
        </is>
      </c>
      <c r="B14" t="inlineStr">
        <is>
          <t>Санкт-Петербург</t>
        </is>
      </c>
      <c r="D14" t="inlineStr">
        <is>
          <t>Продвижение: Выбирают чаще (5 дн)</t>
        </is>
      </c>
      <c r="E14" t="n">
        <v>2850</v>
      </c>
    </row>
    <row r="15">
      <c r="A15" t="inlineStr">
        <is>
          <t>Avito</t>
        </is>
      </c>
      <c r="B15" t="inlineStr">
        <is>
          <t>Санкт-Петербург</t>
        </is>
      </c>
      <c r="D15" t="inlineStr">
        <is>
          <t>Продвижение: Сильнее (5 дн)</t>
        </is>
      </c>
      <c r="E15" t="n">
        <v>5765</v>
      </c>
    </row>
    <row r="16">
      <c r="A16" t="inlineStr">
        <is>
          <t>Avito</t>
        </is>
      </c>
      <c r="B16" t="inlineStr">
        <is>
          <t>Санкт-Петербург</t>
        </is>
      </c>
      <c r="D16" t="inlineStr">
        <is>
          <t>Выделение цветом (7 дн)</t>
        </is>
      </c>
      <c r="E16" t="n">
        <v>329</v>
      </c>
    </row>
    <row r="17">
      <c r="A17" t="inlineStr">
        <is>
          <t>Avito</t>
        </is>
      </c>
      <c r="B17" t="inlineStr">
        <is>
          <t>Санкт-Петербург</t>
        </is>
      </c>
      <c r="D17" t="inlineStr">
        <is>
          <t>XL (7 дн)</t>
        </is>
      </c>
      <c r="E17" t="n">
        <v>329</v>
      </c>
    </row>
    <row r="18">
      <c r="A18" t="inlineStr">
        <is>
          <t>Avito</t>
        </is>
      </c>
      <c r="B18" t="inlineStr">
        <is>
          <t>Новосибирск</t>
        </is>
      </c>
      <c r="D18" t="inlineStr">
        <is>
          <t>Публикация 14 дн</t>
        </is>
      </c>
      <c r="E18" t="n">
        <v>1378</v>
      </c>
    </row>
    <row r="19">
      <c r="A19" t="inlineStr">
        <is>
          <t>Avito</t>
        </is>
      </c>
      <c r="B19" t="inlineStr">
        <is>
          <t>Новосибирск</t>
        </is>
      </c>
      <c r="D19" t="inlineStr">
        <is>
          <t>Публикация 30 дн</t>
        </is>
      </c>
      <c r="E19" t="n">
        <v>1836</v>
      </c>
    </row>
    <row r="20">
      <c r="A20" t="inlineStr">
        <is>
          <t>Avito</t>
        </is>
      </c>
      <c r="B20" t="inlineStr">
        <is>
          <t>Новосибирск</t>
        </is>
      </c>
      <c r="D20" t="inlineStr">
        <is>
          <t>Публикация 60 дн</t>
        </is>
      </c>
      <c r="E20" t="n">
        <v>3305</v>
      </c>
    </row>
    <row r="21">
      <c r="A21" t="inlineStr">
        <is>
          <t>Avito</t>
        </is>
      </c>
      <c r="B21" t="inlineStr">
        <is>
          <t>Новосибирск</t>
        </is>
      </c>
      <c r="D21" t="inlineStr">
        <is>
          <t>Продвижение: Оценить (5 дн)</t>
        </is>
      </c>
      <c r="E21" t="n">
        <v>1255</v>
      </c>
    </row>
    <row r="22">
      <c r="A22" t="inlineStr">
        <is>
          <t>Avito</t>
        </is>
      </c>
      <c r="B22" t="inlineStr">
        <is>
          <t>Новосибирск</t>
        </is>
      </c>
      <c r="D22" t="inlineStr">
        <is>
          <t>Продвижение: Выбирают чаще (5 дн)</t>
        </is>
      </c>
      <c r="E22" t="n">
        <v>2465</v>
      </c>
    </row>
    <row r="23">
      <c r="A23" t="inlineStr">
        <is>
          <t>Avito</t>
        </is>
      </c>
      <c r="B23" t="inlineStr">
        <is>
          <t>Новосибирск</t>
        </is>
      </c>
      <c r="D23" t="inlineStr">
        <is>
          <t>Продвижение: Сильнее (5 дн)</t>
        </is>
      </c>
      <c r="E23" t="n">
        <v>4940</v>
      </c>
    </row>
    <row r="24">
      <c r="A24" t="inlineStr">
        <is>
          <t>Avito</t>
        </is>
      </c>
      <c r="B24" t="inlineStr">
        <is>
          <t>Новосибирск</t>
        </is>
      </c>
      <c r="D24" t="inlineStr">
        <is>
          <t>Выделение цветом (7 дн)</t>
        </is>
      </c>
      <c r="E24" t="n">
        <v>285</v>
      </c>
    </row>
    <row r="25">
      <c r="A25" t="inlineStr">
        <is>
          <t>Avito</t>
        </is>
      </c>
      <c r="B25" t="inlineStr">
        <is>
          <t>Новосибирск</t>
        </is>
      </c>
      <c r="D25" t="inlineStr">
        <is>
          <t>XL (7 дн)</t>
        </is>
      </c>
      <c r="E25" t="n">
        <v>285</v>
      </c>
    </row>
    <row r="26">
      <c r="A26" t="inlineStr">
        <is>
          <t>Avito</t>
        </is>
      </c>
      <c r="B26" t="inlineStr">
        <is>
          <t>Екатеринбург</t>
        </is>
      </c>
      <c r="D26" t="inlineStr">
        <is>
          <t>Публикация 14 дн</t>
        </is>
      </c>
      <c r="E26" t="n">
        <v>1282</v>
      </c>
    </row>
    <row r="27">
      <c r="A27" t="inlineStr">
        <is>
          <t>Avito</t>
        </is>
      </c>
      <c r="B27" t="inlineStr">
        <is>
          <t>Екатеринбург</t>
        </is>
      </c>
      <c r="D27" t="inlineStr">
        <is>
          <t>Публикация 30 дн</t>
        </is>
      </c>
      <c r="E27" t="n">
        <v>1708</v>
      </c>
    </row>
    <row r="28">
      <c r="A28" t="inlineStr">
        <is>
          <t>Avito</t>
        </is>
      </c>
      <c r="B28" t="inlineStr">
        <is>
          <t>Екатеринбург</t>
        </is>
      </c>
      <c r="D28" t="inlineStr">
        <is>
          <t>Публикация 60 дн</t>
        </is>
      </c>
      <c r="E28" t="n">
        <v>3073</v>
      </c>
    </row>
    <row r="29">
      <c r="A29" t="inlineStr">
        <is>
          <t>Avito</t>
        </is>
      </c>
      <c r="B29" t="inlineStr">
        <is>
          <t>Екатеринбург</t>
        </is>
      </c>
      <c r="D29" t="inlineStr">
        <is>
          <t>Продвижение: Оценить (5 дн)</t>
        </is>
      </c>
      <c r="E29" t="n">
        <v>1255</v>
      </c>
    </row>
    <row r="30">
      <c r="A30" t="inlineStr">
        <is>
          <t>Avito</t>
        </is>
      </c>
      <c r="B30" t="inlineStr">
        <is>
          <t>Екатеринбург</t>
        </is>
      </c>
      <c r="D30" t="inlineStr">
        <is>
          <t>Продвижение: Выбирают чаще (5 дн)</t>
        </is>
      </c>
      <c r="E30" t="n">
        <v>2465</v>
      </c>
    </row>
    <row r="31">
      <c r="A31" t="inlineStr">
        <is>
          <t>Avito</t>
        </is>
      </c>
      <c r="B31" t="inlineStr">
        <is>
          <t>Екатеринбург</t>
        </is>
      </c>
      <c r="D31" t="inlineStr">
        <is>
          <t>Продвижение: Сильнее (5 дн)</t>
        </is>
      </c>
      <c r="E31" t="n">
        <v>4940</v>
      </c>
    </row>
    <row r="32">
      <c r="A32" t="inlineStr">
        <is>
          <t>Avito</t>
        </is>
      </c>
      <c r="B32" t="inlineStr">
        <is>
          <t>Екатеринбург</t>
        </is>
      </c>
      <c r="D32" t="inlineStr">
        <is>
          <t>Выделение цветом (7 дн)</t>
        </is>
      </c>
      <c r="E32" t="n">
        <v>285</v>
      </c>
    </row>
    <row r="33">
      <c r="A33" t="inlineStr">
        <is>
          <t>Avito</t>
        </is>
      </c>
      <c r="B33" t="inlineStr">
        <is>
          <t>Екатеринбург</t>
        </is>
      </c>
      <c r="D33" t="inlineStr">
        <is>
          <t>XL (7 дн)</t>
        </is>
      </c>
      <c r="E33" t="n">
        <v>285</v>
      </c>
    </row>
    <row r="34">
      <c r="A34" t="inlineStr">
        <is>
          <t>Avito</t>
        </is>
      </c>
      <c r="B34" t="inlineStr">
        <is>
          <t>Казань</t>
        </is>
      </c>
      <c r="D34" t="inlineStr">
        <is>
          <t>Публикация 14 дн</t>
        </is>
      </c>
      <c r="E34" t="n">
        <v>1625</v>
      </c>
    </row>
    <row r="35">
      <c r="A35" t="inlineStr">
        <is>
          <t>Avito</t>
        </is>
      </c>
      <c r="B35" t="inlineStr">
        <is>
          <t>Казань</t>
        </is>
      </c>
      <c r="D35" t="inlineStr">
        <is>
          <t>Публикация 30 дн</t>
        </is>
      </c>
      <c r="E35" t="n">
        <v>2167</v>
      </c>
    </row>
    <row r="36">
      <c r="A36" t="inlineStr">
        <is>
          <t>Avito</t>
        </is>
      </c>
      <c r="B36" t="inlineStr">
        <is>
          <t>Казань</t>
        </is>
      </c>
      <c r="D36" t="inlineStr">
        <is>
          <t>Публикация 60 дн</t>
        </is>
      </c>
      <c r="E36" t="n">
        <v>3900</v>
      </c>
    </row>
    <row r="37">
      <c r="A37" t="inlineStr">
        <is>
          <t>Avito</t>
        </is>
      </c>
      <c r="B37" t="inlineStr">
        <is>
          <t>Казань</t>
        </is>
      </c>
      <c r="D37" t="inlineStr">
        <is>
          <t>Продвижение: Оценить (5 дн)</t>
        </is>
      </c>
      <c r="E37" t="n">
        <v>1515</v>
      </c>
    </row>
    <row r="38">
      <c r="A38" t="inlineStr">
        <is>
          <t>Avito</t>
        </is>
      </c>
      <c r="B38" t="inlineStr">
        <is>
          <t>Казань</t>
        </is>
      </c>
      <c r="D38" t="inlineStr">
        <is>
          <t>Продвижение: Выбирают чаще (5 дн)</t>
        </is>
      </c>
      <c r="E38" t="n">
        <v>3060</v>
      </c>
    </row>
    <row r="39">
      <c r="A39" t="inlineStr">
        <is>
          <t>Avito</t>
        </is>
      </c>
      <c r="B39" t="inlineStr">
        <is>
          <t>Казань</t>
        </is>
      </c>
      <c r="D39" t="inlineStr">
        <is>
          <t>Продвижение: Сильнее (5 дн)</t>
        </is>
      </c>
      <c r="E39" t="n">
        <v>6175</v>
      </c>
    </row>
    <row r="40">
      <c r="A40" t="inlineStr">
        <is>
          <t>Avito</t>
        </is>
      </c>
      <c r="B40" t="inlineStr">
        <is>
          <t>Казань</t>
        </is>
      </c>
      <c r="D40" t="inlineStr">
        <is>
          <t>Выделение цветом (7 дн)</t>
        </is>
      </c>
      <c r="E40" t="n">
        <v>351</v>
      </c>
    </row>
    <row r="41">
      <c r="A41" t="inlineStr">
        <is>
          <t>Avito</t>
        </is>
      </c>
      <c r="B41" t="inlineStr">
        <is>
          <t>Казань</t>
        </is>
      </c>
      <c r="D41" t="inlineStr">
        <is>
          <t>XL (7 дн)</t>
        </is>
      </c>
      <c r="E41" t="n">
        <v>351</v>
      </c>
    </row>
    <row r="42">
      <c r="A42" t="inlineStr">
        <is>
          <t>Avito</t>
        </is>
      </c>
      <c r="B42" t="inlineStr">
        <is>
          <t>Красноярск</t>
        </is>
      </c>
      <c r="D42" t="inlineStr">
        <is>
          <t>Публикация 14 дн</t>
        </is>
      </c>
      <c r="E42" t="n">
        <v>1949</v>
      </c>
    </row>
    <row r="43">
      <c r="A43" t="inlineStr">
        <is>
          <t>Avito</t>
        </is>
      </c>
      <c r="B43" t="inlineStr">
        <is>
          <t>Красноярск</t>
        </is>
      </c>
      <c r="D43" t="inlineStr">
        <is>
          <t>Публикация 30 дн</t>
        </is>
      </c>
      <c r="E43" t="n">
        <v>2600</v>
      </c>
    </row>
    <row r="44">
      <c r="A44" t="inlineStr">
        <is>
          <t>Avito</t>
        </is>
      </c>
      <c r="B44" t="inlineStr">
        <is>
          <t>Красноярск</t>
        </is>
      </c>
      <c r="D44" t="inlineStr">
        <is>
          <t>Публикация 60 дн</t>
        </is>
      </c>
      <c r="E44" t="n">
        <v>4677</v>
      </c>
    </row>
    <row r="45">
      <c r="A45" t="inlineStr">
        <is>
          <t>Avito</t>
        </is>
      </c>
      <c r="B45" t="inlineStr">
        <is>
          <t>Красноярск</t>
        </is>
      </c>
      <c r="D45" t="inlineStr">
        <is>
          <t>Продвижение: Оценить (5 дн)</t>
        </is>
      </c>
      <c r="E45" t="n">
        <v>965</v>
      </c>
    </row>
    <row r="46">
      <c r="A46" t="inlineStr">
        <is>
          <t>Avito</t>
        </is>
      </c>
      <c r="B46" t="inlineStr">
        <is>
          <t>Красноярск</t>
        </is>
      </c>
      <c r="D46" t="inlineStr">
        <is>
          <t>Продвижение: Выбирают чаще (5 дн)</t>
        </is>
      </c>
      <c r="E46" t="n">
        <v>1915</v>
      </c>
    </row>
    <row r="47">
      <c r="A47" t="inlineStr">
        <is>
          <t>Avito</t>
        </is>
      </c>
      <c r="B47" t="inlineStr">
        <is>
          <t>Красноярск</t>
        </is>
      </c>
      <c r="D47" t="inlineStr">
        <is>
          <t>Продвижение: Сильнее (5 дн)</t>
        </is>
      </c>
      <c r="E47" t="n">
        <v>3865</v>
      </c>
    </row>
    <row r="48">
      <c r="A48" t="inlineStr">
        <is>
          <t>Avito</t>
        </is>
      </c>
      <c r="B48" t="inlineStr">
        <is>
          <t>Красноярск</t>
        </is>
      </c>
      <c r="D48" t="inlineStr">
        <is>
          <t>Выделение цветом (7 дн)</t>
        </is>
      </c>
      <c r="E48" t="n">
        <v>219</v>
      </c>
    </row>
    <row r="49">
      <c r="A49" t="inlineStr">
        <is>
          <t>Avito</t>
        </is>
      </c>
      <c r="B49" t="inlineStr">
        <is>
          <t>Красноярск</t>
        </is>
      </c>
      <c r="D49" t="inlineStr">
        <is>
          <t>XL (7 дн)</t>
        </is>
      </c>
      <c r="E49" t="n">
        <v>219</v>
      </c>
    </row>
    <row r="50">
      <c r="A50" t="inlineStr">
        <is>
          <t>Avito</t>
        </is>
      </c>
      <c r="B50" t="inlineStr">
        <is>
          <t>Нижний Новгород</t>
        </is>
      </c>
      <c r="D50" t="inlineStr">
        <is>
          <t>Публикация 14 дн</t>
        </is>
      </c>
      <c r="E50" t="n">
        <v>1249</v>
      </c>
    </row>
    <row r="51">
      <c r="A51" t="inlineStr">
        <is>
          <t>Avito</t>
        </is>
      </c>
      <c r="B51" t="inlineStr">
        <is>
          <t>Нижний Новгород</t>
        </is>
      </c>
      <c r="D51" t="inlineStr">
        <is>
          <t>Публикация 30 дн</t>
        </is>
      </c>
      <c r="E51" t="n">
        <v>1666</v>
      </c>
    </row>
    <row r="52">
      <c r="A52" t="inlineStr">
        <is>
          <t>Avito</t>
        </is>
      </c>
      <c r="B52" t="inlineStr">
        <is>
          <t>Нижний Новгород</t>
        </is>
      </c>
      <c r="D52" t="inlineStr">
        <is>
          <t>Публикация 60 дн</t>
        </is>
      </c>
      <c r="E52" t="n">
        <v>3001</v>
      </c>
    </row>
    <row r="53">
      <c r="A53" t="inlineStr">
        <is>
          <t>Avito</t>
        </is>
      </c>
      <c r="B53" t="inlineStr">
        <is>
          <t>Нижний Новгород</t>
        </is>
      </c>
      <c r="D53" t="inlineStr">
        <is>
          <t>Продвижение: Оценить (5 дн)</t>
        </is>
      </c>
      <c r="E53" t="n">
        <v>1165</v>
      </c>
    </row>
    <row r="54">
      <c r="A54" t="inlineStr">
        <is>
          <t>Avito</t>
        </is>
      </c>
      <c r="B54" t="inlineStr">
        <is>
          <t>Нижний Новгород</t>
        </is>
      </c>
      <c r="D54" t="inlineStr">
        <is>
          <t>Продвижение: Выбирают чаще (5 дн)</t>
        </is>
      </c>
      <c r="E54" t="n">
        <v>2280</v>
      </c>
    </row>
    <row r="55">
      <c r="A55" t="inlineStr">
        <is>
          <t>Avito</t>
        </is>
      </c>
      <c r="B55" t="inlineStr">
        <is>
          <t>Нижний Новгород</t>
        </is>
      </c>
      <c r="D55" t="inlineStr">
        <is>
          <t>Продвижение: Сильнее (5 дн)</t>
        </is>
      </c>
      <c r="E55" t="n">
        <v>4610</v>
      </c>
    </row>
    <row r="56">
      <c r="A56" t="inlineStr">
        <is>
          <t>Avito</t>
        </is>
      </c>
      <c r="B56" t="inlineStr">
        <is>
          <t>Нижний Новгород</t>
        </is>
      </c>
      <c r="D56" t="inlineStr">
        <is>
          <t>Выделение цветом (7 дн)</t>
        </is>
      </c>
      <c r="E56" t="n">
        <v>263</v>
      </c>
    </row>
    <row r="57">
      <c r="A57" t="inlineStr">
        <is>
          <t>Avito</t>
        </is>
      </c>
      <c r="B57" t="inlineStr">
        <is>
          <t>Нижний Новгород</t>
        </is>
      </c>
      <c r="D57" t="inlineStr">
        <is>
          <t>XL (7 дн)</t>
        </is>
      </c>
      <c r="E57" t="n">
        <v>263</v>
      </c>
    </row>
    <row r="58">
      <c r="A58" t="inlineStr">
        <is>
          <t>Avito</t>
        </is>
      </c>
      <c r="B58" t="inlineStr">
        <is>
          <t>Челябинск</t>
        </is>
      </c>
      <c r="D58" t="inlineStr">
        <is>
          <t>Публикация 14 дн</t>
        </is>
      </c>
      <c r="E58" t="n">
        <v>1810</v>
      </c>
    </row>
    <row r="59">
      <c r="A59" t="inlineStr">
        <is>
          <t>Avito</t>
        </is>
      </c>
      <c r="B59" t="inlineStr">
        <is>
          <t>Челябинск</t>
        </is>
      </c>
      <c r="D59" t="inlineStr">
        <is>
          <t>Публикация 30 дн</t>
        </is>
      </c>
      <c r="E59" t="n">
        <v>2410</v>
      </c>
    </row>
    <row r="60">
      <c r="A60" t="inlineStr">
        <is>
          <t>Avito</t>
        </is>
      </c>
      <c r="B60" t="inlineStr">
        <is>
          <t>Челябинск</t>
        </is>
      </c>
      <c r="D60" t="inlineStr">
        <is>
          <t>Публикация 60 дн</t>
        </is>
      </c>
      <c r="E60" t="n">
        <v>4340</v>
      </c>
    </row>
    <row r="61">
      <c r="A61" t="inlineStr">
        <is>
          <t>Avito</t>
        </is>
      </c>
      <c r="B61" t="inlineStr">
        <is>
          <t>Челябинск</t>
        </is>
      </c>
      <c r="D61" t="inlineStr">
        <is>
          <t>Продвижение: Оценить (5 дн)</t>
        </is>
      </c>
      <c r="E61" t="n">
        <v>1255</v>
      </c>
    </row>
    <row r="62">
      <c r="A62" t="inlineStr">
        <is>
          <t>Avito</t>
        </is>
      </c>
      <c r="B62" t="inlineStr">
        <is>
          <t>Челябинск</t>
        </is>
      </c>
      <c r="D62" t="inlineStr">
        <is>
          <t>Продвижение: Выбирают чаще (5 дн)</t>
        </is>
      </c>
      <c r="E62" t="n">
        <v>2465</v>
      </c>
    </row>
    <row r="63">
      <c r="A63" t="inlineStr">
        <is>
          <t>Avito</t>
        </is>
      </c>
      <c r="B63" t="inlineStr">
        <is>
          <t>Челябинск</t>
        </is>
      </c>
      <c r="D63" t="inlineStr">
        <is>
          <t>Продвижение: Сильнее (5 дн)</t>
        </is>
      </c>
      <c r="E63" t="n">
        <v>4940</v>
      </c>
    </row>
    <row r="64">
      <c r="A64" t="inlineStr">
        <is>
          <t>Avito</t>
        </is>
      </c>
      <c r="B64" t="inlineStr">
        <is>
          <t>Челябинск</t>
        </is>
      </c>
      <c r="D64" t="inlineStr">
        <is>
          <t>Выделение цветом (7 дн)</t>
        </is>
      </c>
      <c r="E64" t="n">
        <v>285</v>
      </c>
    </row>
    <row r="65">
      <c r="A65" t="inlineStr">
        <is>
          <t>Avito</t>
        </is>
      </c>
      <c r="B65" t="inlineStr">
        <is>
          <t>Челябинск</t>
        </is>
      </c>
      <c r="D65" t="inlineStr">
        <is>
          <t>XL (7 дн)</t>
        </is>
      </c>
      <c r="E65" t="n">
        <v>285</v>
      </c>
    </row>
    <row r="66">
      <c r="A66" t="inlineStr">
        <is>
          <t>Avito</t>
        </is>
      </c>
      <c r="B66" t="inlineStr">
        <is>
          <t>Уфа</t>
        </is>
      </c>
      <c r="D66" t="inlineStr">
        <is>
          <t>Публикация 14 дн</t>
        </is>
      </c>
      <c r="E66" t="n">
        <v>1361</v>
      </c>
    </row>
    <row r="67">
      <c r="A67" t="inlineStr">
        <is>
          <t>Avito</t>
        </is>
      </c>
      <c r="B67" t="inlineStr">
        <is>
          <t>Уфа</t>
        </is>
      </c>
      <c r="D67" t="inlineStr">
        <is>
          <t>Публикация 30 дн</t>
        </is>
      </c>
      <c r="E67" t="n">
        <v>1814</v>
      </c>
    </row>
    <row r="68">
      <c r="A68" t="inlineStr">
        <is>
          <t>Avito</t>
        </is>
      </c>
      <c r="B68" t="inlineStr">
        <is>
          <t>Уфа</t>
        </is>
      </c>
      <c r="D68" t="inlineStr">
        <is>
          <t>Публикация 60 дн</t>
        </is>
      </c>
      <c r="E68" t="n">
        <v>3268</v>
      </c>
    </row>
    <row r="69">
      <c r="A69" t="inlineStr">
        <is>
          <t>Avito</t>
        </is>
      </c>
      <c r="B69" t="inlineStr">
        <is>
          <t>Уфа</t>
        </is>
      </c>
      <c r="D69" t="inlineStr">
        <is>
          <t>Продвижение: Оценить (5 дн)</t>
        </is>
      </c>
      <c r="E69" t="n">
        <v>1515</v>
      </c>
    </row>
    <row r="70">
      <c r="A70" t="inlineStr">
        <is>
          <t>Avito</t>
        </is>
      </c>
      <c r="B70" t="inlineStr">
        <is>
          <t>Уфа</t>
        </is>
      </c>
      <c r="D70" t="inlineStr">
        <is>
          <t>Продвижение: Выбирают чаще (5 дн)</t>
        </is>
      </c>
      <c r="E70" t="n">
        <v>3060</v>
      </c>
    </row>
    <row r="71">
      <c r="A71" t="inlineStr">
        <is>
          <t>Avito</t>
        </is>
      </c>
      <c r="B71" t="inlineStr">
        <is>
          <t>Уфа</t>
        </is>
      </c>
      <c r="D71" t="inlineStr">
        <is>
          <t>Продвижение: Сильнее (5 дн)</t>
        </is>
      </c>
      <c r="E71" t="n">
        <v>6175</v>
      </c>
    </row>
    <row r="72">
      <c r="A72" t="inlineStr">
        <is>
          <t>Avito</t>
        </is>
      </c>
      <c r="B72" t="inlineStr">
        <is>
          <t>Уфа</t>
        </is>
      </c>
      <c r="D72" t="inlineStr">
        <is>
          <t>Выделение цветом (7 дн)</t>
        </is>
      </c>
      <c r="E72" t="n">
        <v>351</v>
      </c>
    </row>
    <row r="73">
      <c r="A73" t="inlineStr">
        <is>
          <t>Avito</t>
        </is>
      </c>
      <c r="B73" t="inlineStr">
        <is>
          <t>Уфа</t>
        </is>
      </c>
      <c r="D73" t="inlineStr">
        <is>
          <t>XL (7 дн)</t>
        </is>
      </c>
      <c r="E73" t="n">
        <v>351</v>
      </c>
    </row>
    <row r="74">
      <c r="A74" t="inlineStr">
        <is>
          <t>Avito</t>
        </is>
      </c>
      <c r="B74" t="inlineStr">
        <is>
          <t>Краснодар</t>
        </is>
      </c>
      <c r="D74" t="inlineStr">
        <is>
          <t>Публикация 14 дн</t>
        </is>
      </c>
      <c r="E74" t="n">
        <v>2105</v>
      </c>
    </row>
    <row r="75">
      <c r="A75" t="inlineStr">
        <is>
          <t>Avito</t>
        </is>
      </c>
      <c r="B75" t="inlineStr">
        <is>
          <t>Краснодар</t>
        </is>
      </c>
      <c r="D75" t="inlineStr">
        <is>
          <t>Публикация 30 дн</t>
        </is>
      </c>
      <c r="E75" t="n">
        <v>2806</v>
      </c>
    </row>
    <row r="76">
      <c r="A76" t="inlineStr">
        <is>
          <t>Avito</t>
        </is>
      </c>
      <c r="B76" t="inlineStr">
        <is>
          <t>Краснодар</t>
        </is>
      </c>
      <c r="D76" t="inlineStr">
        <is>
          <t>Публикация 60 дн</t>
        </is>
      </c>
      <c r="E76" t="n">
        <v>5053</v>
      </c>
    </row>
    <row r="77">
      <c r="A77" t="inlineStr">
        <is>
          <t>Avito</t>
        </is>
      </c>
      <c r="B77" t="inlineStr">
        <is>
          <t>Краснодар</t>
        </is>
      </c>
      <c r="D77" t="inlineStr">
        <is>
          <t>Продвижение: Оценить (5 дн)</t>
        </is>
      </c>
      <c r="E77" t="n">
        <v>1605</v>
      </c>
    </row>
    <row r="78">
      <c r="A78" t="inlineStr">
        <is>
          <t>Avito</t>
        </is>
      </c>
      <c r="B78" t="inlineStr">
        <is>
          <t>Краснодар</t>
        </is>
      </c>
      <c r="D78" t="inlineStr">
        <is>
          <t>Продвижение: Выбирают чаще (5 дн)</t>
        </is>
      </c>
      <c r="E78" t="n">
        <v>3140</v>
      </c>
    </row>
    <row r="79">
      <c r="A79" t="inlineStr">
        <is>
          <t>Avito</t>
        </is>
      </c>
      <c r="B79" t="inlineStr">
        <is>
          <t>Краснодар</t>
        </is>
      </c>
      <c r="D79" t="inlineStr">
        <is>
          <t>Продвижение: Сильнее (5 дн)</t>
        </is>
      </c>
      <c r="E79" t="n">
        <v>6340</v>
      </c>
    </row>
    <row r="80">
      <c r="A80" t="inlineStr">
        <is>
          <t>Avito</t>
        </is>
      </c>
      <c r="B80" t="inlineStr">
        <is>
          <t>Краснодар</t>
        </is>
      </c>
      <c r="D80" t="inlineStr">
        <is>
          <t>Выделение цветом (7 дн)</t>
        </is>
      </c>
      <c r="E80" t="n">
        <v>362</v>
      </c>
    </row>
    <row r="81">
      <c r="A81" t="inlineStr">
        <is>
          <t>Avito</t>
        </is>
      </c>
      <c r="B81" t="inlineStr">
        <is>
          <t>Краснодар</t>
        </is>
      </c>
      <c r="D81" t="inlineStr">
        <is>
          <t>XL (7 дн)</t>
        </is>
      </c>
      <c r="E81" t="n">
        <v>362</v>
      </c>
    </row>
    <row r="82">
      <c r="A82" t="inlineStr">
        <is>
          <t>Avito</t>
        </is>
      </c>
      <c r="B82" t="inlineStr">
        <is>
          <t>Самара</t>
        </is>
      </c>
      <c r="D82" t="inlineStr">
        <is>
          <t>Публикация 14 дн</t>
        </is>
      </c>
      <c r="E82" t="n">
        <v>1319</v>
      </c>
    </row>
    <row r="83">
      <c r="A83" t="inlineStr">
        <is>
          <t>Avito</t>
        </is>
      </c>
      <c r="B83" t="inlineStr">
        <is>
          <t>Самара</t>
        </is>
      </c>
      <c r="D83" t="inlineStr">
        <is>
          <t>Публикация 30 дн</t>
        </is>
      </c>
      <c r="E83" t="n">
        <v>1757</v>
      </c>
    </row>
    <row r="84">
      <c r="A84" t="inlineStr">
        <is>
          <t>Avito</t>
        </is>
      </c>
      <c r="B84" t="inlineStr">
        <is>
          <t>Самара</t>
        </is>
      </c>
      <c r="D84" t="inlineStr">
        <is>
          <t>Публикация 60 дн</t>
        </is>
      </c>
      <c r="E84" t="n">
        <v>3163</v>
      </c>
    </row>
    <row r="85">
      <c r="A85" t="inlineStr">
        <is>
          <t>Avito</t>
        </is>
      </c>
      <c r="B85" t="inlineStr">
        <is>
          <t>Самара</t>
        </is>
      </c>
      <c r="D85" t="inlineStr">
        <is>
          <t>Продвижение: Оценить (5 дн)</t>
        </is>
      </c>
      <c r="E85" t="n">
        <v>1165</v>
      </c>
    </row>
    <row r="86">
      <c r="A86" t="inlineStr">
        <is>
          <t>Avito</t>
        </is>
      </c>
      <c r="B86" t="inlineStr">
        <is>
          <t>Самара</t>
        </is>
      </c>
      <c r="D86" t="inlineStr">
        <is>
          <t>Продвижение: Выбирают чаще (5 дн)</t>
        </is>
      </c>
      <c r="E86" t="n">
        <v>2280</v>
      </c>
    </row>
    <row r="87">
      <c r="A87" t="inlineStr">
        <is>
          <t>Avito</t>
        </is>
      </c>
      <c r="B87" t="inlineStr">
        <is>
          <t>Самара</t>
        </is>
      </c>
      <c r="D87" t="inlineStr">
        <is>
          <t>Продвижение: Сильнее (5 дн)</t>
        </is>
      </c>
      <c r="E87" t="n">
        <v>4610</v>
      </c>
    </row>
    <row r="88">
      <c r="A88" t="inlineStr">
        <is>
          <t>Avito</t>
        </is>
      </c>
      <c r="B88" t="inlineStr">
        <is>
          <t>Самара</t>
        </is>
      </c>
      <c r="D88" t="inlineStr">
        <is>
          <t>Выделение цветом (7 дн)</t>
        </is>
      </c>
      <c r="E88" t="n">
        <v>351</v>
      </c>
    </row>
    <row r="89">
      <c r="A89" t="inlineStr">
        <is>
          <t>Avito</t>
        </is>
      </c>
      <c r="B89" t="inlineStr">
        <is>
          <t>Самара</t>
        </is>
      </c>
      <c r="D89" t="inlineStr">
        <is>
          <t>XL (7 дн)</t>
        </is>
      </c>
      <c r="E89" t="n">
        <v>351</v>
      </c>
    </row>
    <row r="90">
      <c r="A90" t="inlineStr">
        <is>
          <t>Avito</t>
        </is>
      </c>
      <c r="B90" t="inlineStr">
        <is>
          <t>Ростов-на-Дону</t>
        </is>
      </c>
      <c r="D90" t="inlineStr">
        <is>
          <t>Публикация 14 дн</t>
        </is>
      </c>
      <c r="E90" t="n">
        <v>1607</v>
      </c>
    </row>
    <row r="91">
      <c r="A91" t="inlineStr">
        <is>
          <t>Avito</t>
        </is>
      </c>
      <c r="B91" t="inlineStr">
        <is>
          <t>Ростов-на-Дону</t>
        </is>
      </c>
      <c r="D91" t="inlineStr">
        <is>
          <t>Публикация 30 дн</t>
        </is>
      </c>
      <c r="E91" t="n">
        <v>2144</v>
      </c>
    </row>
    <row r="92">
      <c r="A92" t="inlineStr">
        <is>
          <t>Avito</t>
        </is>
      </c>
      <c r="B92" t="inlineStr">
        <is>
          <t>Ростов-на-Дону</t>
        </is>
      </c>
      <c r="D92" t="inlineStr">
        <is>
          <t>Публикация 60 дн</t>
        </is>
      </c>
      <c r="E92" t="n">
        <v>3859</v>
      </c>
    </row>
    <row r="93">
      <c r="A93" t="inlineStr">
        <is>
          <t>Avito</t>
        </is>
      </c>
      <c r="B93" t="inlineStr">
        <is>
          <t>Ростов-на-Дону</t>
        </is>
      </c>
      <c r="D93" t="inlineStr">
        <is>
          <t>Продвижение: Оценить (5 дн)</t>
        </is>
      </c>
      <c r="E93" t="n">
        <v>1220</v>
      </c>
    </row>
    <row r="94">
      <c r="A94" t="inlineStr">
        <is>
          <t>Avito</t>
        </is>
      </c>
      <c r="B94" t="inlineStr">
        <is>
          <t>Ростов-на-Дону</t>
        </is>
      </c>
      <c r="D94" t="inlineStr">
        <is>
          <t>Продвижение: Выбирают чаще (5 дн)</t>
        </is>
      </c>
      <c r="E94" t="n">
        <v>2355</v>
      </c>
    </row>
    <row r="95">
      <c r="A95" t="inlineStr">
        <is>
          <t>Avito</t>
        </is>
      </c>
      <c r="B95" t="inlineStr">
        <is>
          <t>Ростов-на-Дону</t>
        </is>
      </c>
      <c r="D95" t="inlineStr">
        <is>
          <t>Продвижение: Сильнее (5 дн)</t>
        </is>
      </c>
      <c r="E95" t="n">
        <v>4775</v>
      </c>
    </row>
    <row r="96">
      <c r="A96" t="inlineStr">
        <is>
          <t>Avito</t>
        </is>
      </c>
      <c r="B96" t="inlineStr">
        <is>
          <t>Ростов-на-Дону</t>
        </is>
      </c>
      <c r="D96" t="inlineStr">
        <is>
          <t>Выделение цветом (7 дн)</t>
        </is>
      </c>
      <c r="E96" t="n">
        <v>274</v>
      </c>
    </row>
    <row r="97">
      <c r="A97" t="inlineStr">
        <is>
          <t>Avito</t>
        </is>
      </c>
      <c r="B97" t="inlineStr">
        <is>
          <t>Ростов-на-Дону</t>
        </is>
      </c>
      <c r="D97" t="inlineStr">
        <is>
          <t>XL (7 дн)</t>
        </is>
      </c>
      <c r="E97" t="n">
        <v>274</v>
      </c>
    </row>
    <row r="98">
      <c r="A98" t="inlineStr">
        <is>
          <t>Avito</t>
        </is>
      </c>
      <c r="B98" t="inlineStr">
        <is>
          <t>Омск</t>
        </is>
      </c>
      <c r="D98" t="inlineStr">
        <is>
          <t>Публикация 14 дн</t>
        </is>
      </c>
      <c r="E98" t="n">
        <v>937</v>
      </c>
    </row>
    <row r="99">
      <c r="A99" t="inlineStr">
        <is>
          <t>Avito</t>
        </is>
      </c>
      <c r="B99" t="inlineStr">
        <is>
          <t>Омск</t>
        </is>
      </c>
      <c r="D99" t="inlineStr">
        <is>
          <t>Публикация 30 дн</t>
        </is>
      </c>
      <c r="E99" t="n">
        <v>1249</v>
      </c>
    </row>
    <row r="100">
      <c r="A100" t="inlineStr">
        <is>
          <t>Avito</t>
        </is>
      </c>
      <c r="B100" t="inlineStr">
        <is>
          <t>Омск</t>
        </is>
      </c>
      <c r="D100" t="inlineStr">
        <is>
          <t>Публикация 60 дн</t>
        </is>
      </c>
      <c r="E100" t="n">
        <v>2249</v>
      </c>
    </row>
    <row r="101">
      <c r="A101" t="inlineStr">
        <is>
          <t>Avito</t>
        </is>
      </c>
      <c r="B101" t="inlineStr">
        <is>
          <t>Омск</t>
        </is>
      </c>
      <c r="D101" t="inlineStr">
        <is>
          <t>Продвижение: Оценить (5 дн)</t>
        </is>
      </c>
      <c r="E101" t="n">
        <v>1255</v>
      </c>
    </row>
    <row r="102">
      <c r="A102" t="inlineStr">
        <is>
          <t>Avito</t>
        </is>
      </c>
      <c r="B102" t="inlineStr">
        <is>
          <t>Омск</t>
        </is>
      </c>
      <c r="D102" t="inlineStr">
        <is>
          <t>Продвижение: Выбирают чаще (5 дн)</t>
        </is>
      </c>
      <c r="E102" t="n">
        <v>2465</v>
      </c>
    </row>
    <row r="103">
      <c r="A103" t="inlineStr">
        <is>
          <t>Avito</t>
        </is>
      </c>
      <c r="B103" t="inlineStr">
        <is>
          <t>Омск</t>
        </is>
      </c>
      <c r="D103" t="inlineStr">
        <is>
          <t>Продвижение: Сильнее (5 дн)</t>
        </is>
      </c>
      <c r="E103" t="n">
        <v>4940</v>
      </c>
    </row>
    <row r="104">
      <c r="A104" t="inlineStr">
        <is>
          <t>Avito</t>
        </is>
      </c>
      <c r="B104" t="inlineStr">
        <is>
          <t>Омск</t>
        </is>
      </c>
      <c r="D104" t="inlineStr">
        <is>
          <t>Выделение цветом (7 дн)</t>
        </is>
      </c>
      <c r="E104" t="n">
        <v>285</v>
      </c>
    </row>
    <row r="105">
      <c r="A105" t="inlineStr">
        <is>
          <t>Avito</t>
        </is>
      </c>
      <c r="B105" t="inlineStr">
        <is>
          <t>Омск</t>
        </is>
      </c>
      <c r="D105" t="inlineStr">
        <is>
          <t>XL (7 дн)</t>
        </is>
      </c>
      <c r="E105" t="n">
        <v>285</v>
      </c>
    </row>
    <row r="106">
      <c r="A106" t="inlineStr">
        <is>
          <t>Avito</t>
        </is>
      </c>
      <c r="B106" t="inlineStr">
        <is>
          <t>Воронеж</t>
        </is>
      </c>
      <c r="D106" t="inlineStr">
        <is>
          <t>Публикация 14 дн</t>
        </is>
      </c>
      <c r="E106" t="n">
        <v>1201</v>
      </c>
    </row>
    <row r="107">
      <c r="A107" t="inlineStr">
        <is>
          <t>Avito</t>
        </is>
      </c>
      <c r="B107" t="inlineStr">
        <is>
          <t>Воронеж</t>
        </is>
      </c>
      <c r="D107" t="inlineStr">
        <is>
          <t>Публикация 30 дн</t>
        </is>
      </c>
      <c r="E107" t="n">
        <v>1600</v>
      </c>
    </row>
    <row r="108">
      <c r="A108" t="inlineStr">
        <is>
          <t>Avito</t>
        </is>
      </c>
      <c r="B108" t="inlineStr">
        <is>
          <t>Воронеж</t>
        </is>
      </c>
      <c r="D108" t="inlineStr">
        <is>
          <t>Публикация 60 дн</t>
        </is>
      </c>
      <c r="E108" t="n">
        <v>2880</v>
      </c>
    </row>
    <row r="109">
      <c r="A109" t="inlineStr">
        <is>
          <t>Avito</t>
        </is>
      </c>
      <c r="B109" t="inlineStr">
        <is>
          <t>Воронеж</t>
        </is>
      </c>
      <c r="D109" t="inlineStr">
        <is>
          <t>Продвижение: Оценить (5 дн)</t>
        </is>
      </c>
      <c r="E109" t="n">
        <v>1060</v>
      </c>
    </row>
    <row r="110">
      <c r="A110" t="inlineStr">
        <is>
          <t>Avito</t>
        </is>
      </c>
      <c r="B110" t="inlineStr">
        <is>
          <t>Воронеж</t>
        </is>
      </c>
      <c r="D110" t="inlineStr">
        <is>
          <t>Продвижение: Выбирают чаще (5 дн)</t>
        </is>
      </c>
      <c r="E110" t="n">
        <v>2075</v>
      </c>
    </row>
    <row r="111">
      <c r="A111" t="inlineStr">
        <is>
          <t>Avito</t>
        </is>
      </c>
      <c r="B111" t="inlineStr">
        <is>
          <t>Воронеж</t>
        </is>
      </c>
      <c r="D111" t="inlineStr">
        <is>
          <t>Продвижение: Сильнее (5 дн)</t>
        </is>
      </c>
      <c r="E111" t="n">
        <v>4190</v>
      </c>
    </row>
    <row r="112">
      <c r="A112" t="inlineStr">
        <is>
          <t>Avito</t>
        </is>
      </c>
      <c r="B112" t="inlineStr">
        <is>
          <t>Воронеж</t>
        </is>
      </c>
      <c r="D112" t="inlineStr">
        <is>
          <t>Выделение цветом (7 дн)</t>
        </is>
      </c>
      <c r="E112" t="n">
        <v>239</v>
      </c>
    </row>
    <row r="113">
      <c r="A113" t="inlineStr">
        <is>
          <t>Avito</t>
        </is>
      </c>
      <c r="B113" t="inlineStr">
        <is>
          <t>Воронеж</t>
        </is>
      </c>
      <c r="D113" t="inlineStr">
        <is>
          <t>XL (7 дн)</t>
        </is>
      </c>
      <c r="E113" t="n">
        <v>239</v>
      </c>
    </row>
    <row r="114">
      <c r="A114" t="inlineStr">
        <is>
          <t>Avito</t>
        </is>
      </c>
      <c r="B114" t="inlineStr">
        <is>
          <t>Пермь</t>
        </is>
      </c>
      <c r="D114" t="inlineStr">
        <is>
          <t>Публикация 14 дн</t>
        </is>
      </c>
      <c r="E114" t="n">
        <v>1679</v>
      </c>
    </row>
    <row r="115">
      <c r="A115" t="inlineStr">
        <is>
          <t>Avito</t>
        </is>
      </c>
      <c r="B115" t="inlineStr">
        <is>
          <t>Пермь</t>
        </is>
      </c>
      <c r="D115" t="inlineStr">
        <is>
          <t>Публикация 30 дн</t>
        </is>
      </c>
      <c r="E115" t="n">
        <v>2236</v>
      </c>
    </row>
    <row r="116">
      <c r="A116" t="inlineStr">
        <is>
          <t>Avito</t>
        </is>
      </c>
      <c r="B116" t="inlineStr">
        <is>
          <t>Пермь</t>
        </is>
      </c>
      <c r="D116" t="inlineStr">
        <is>
          <t>Публикация 60 дн</t>
        </is>
      </c>
      <c r="E116" t="n">
        <v>4026</v>
      </c>
    </row>
    <row r="117">
      <c r="A117" t="inlineStr">
        <is>
          <t>Avito</t>
        </is>
      </c>
      <c r="B117" t="inlineStr">
        <is>
          <t>Пермь</t>
        </is>
      </c>
      <c r="D117" t="inlineStr">
        <is>
          <t>Продвижение: Оценить (5 дн)</t>
        </is>
      </c>
      <c r="E117" t="n">
        <v>1165</v>
      </c>
    </row>
    <row r="118">
      <c r="A118" t="inlineStr">
        <is>
          <t>Avito</t>
        </is>
      </c>
      <c r="B118" t="inlineStr">
        <is>
          <t>Пермь</t>
        </is>
      </c>
      <c r="D118" t="inlineStr">
        <is>
          <t>Продвижение: Выбирают чаще (5 дн)</t>
        </is>
      </c>
      <c r="E118" t="n">
        <v>2280</v>
      </c>
    </row>
    <row r="119">
      <c r="A119" t="inlineStr">
        <is>
          <t>Avito</t>
        </is>
      </c>
      <c r="B119" t="inlineStr">
        <is>
          <t>Пермь</t>
        </is>
      </c>
      <c r="D119" t="inlineStr">
        <is>
          <t>Продвижение: Сильнее (5 дн)</t>
        </is>
      </c>
      <c r="E119" t="n">
        <v>4610</v>
      </c>
    </row>
    <row r="120">
      <c r="A120" t="inlineStr">
        <is>
          <t>Avito</t>
        </is>
      </c>
      <c r="B120" t="inlineStr">
        <is>
          <t>Пермь</t>
        </is>
      </c>
      <c r="D120" t="inlineStr">
        <is>
          <t>Выделение цветом (7 дн)</t>
        </is>
      </c>
      <c r="E120" t="n">
        <v>307</v>
      </c>
    </row>
    <row r="121">
      <c r="A121" t="inlineStr">
        <is>
          <t>Avito</t>
        </is>
      </c>
      <c r="B121" t="inlineStr">
        <is>
          <t>Пермь</t>
        </is>
      </c>
      <c r="D121" t="inlineStr">
        <is>
          <t>XL (7 дн)</t>
        </is>
      </c>
      <c r="E121" t="n">
        <v>307</v>
      </c>
    </row>
    <row r="122">
      <c r="A122" t="inlineStr">
        <is>
          <t>Avito</t>
        </is>
      </c>
      <c r="B122" t="inlineStr">
        <is>
          <t>Волгоград</t>
        </is>
      </c>
      <c r="D122" t="inlineStr">
        <is>
          <t>Публикация 14 дн</t>
        </is>
      </c>
      <c r="E122" t="n">
        <v>1419</v>
      </c>
    </row>
    <row r="123">
      <c r="A123" t="inlineStr">
        <is>
          <t>Avito</t>
        </is>
      </c>
      <c r="B123" t="inlineStr">
        <is>
          <t>Волгоград</t>
        </is>
      </c>
      <c r="D123" t="inlineStr">
        <is>
          <t>Публикация 30 дн</t>
        </is>
      </c>
      <c r="E123" t="n">
        <v>1891</v>
      </c>
    </row>
    <row r="124">
      <c r="A124" t="inlineStr">
        <is>
          <t>Avito</t>
        </is>
      </c>
      <c r="B124" t="inlineStr">
        <is>
          <t>Волгоград</t>
        </is>
      </c>
      <c r="D124" t="inlineStr">
        <is>
          <t>Публикация 60 дн</t>
        </is>
      </c>
      <c r="E124" t="n">
        <v>3406</v>
      </c>
    </row>
    <row r="125">
      <c r="A125" t="inlineStr">
        <is>
          <t>Avito</t>
        </is>
      </c>
      <c r="B125" t="inlineStr">
        <is>
          <t>Волгоград</t>
        </is>
      </c>
      <c r="D125" t="inlineStr">
        <is>
          <t>Продвижение: Оценить (5 дн)</t>
        </is>
      </c>
      <c r="E125" t="n">
        <v>1365</v>
      </c>
    </row>
    <row r="126">
      <c r="A126" t="inlineStr">
        <is>
          <t>Avito</t>
        </is>
      </c>
      <c r="B126" t="inlineStr">
        <is>
          <t>Волгоград</t>
        </is>
      </c>
      <c r="D126" t="inlineStr">
        <is>
          <t>Продвижение: Выбирают чаще (5 дн)</t>
        </is>
      </c>
      <c r="E126" t="n">
        <v>2645</v>
      </c>
    </row>
    <row r="127">
      <c r="A127" t="inlineStr">
        <is>
          <t>Avito</t>
        </is>
      </c>
      <c r="B127" t="inlineStr">
        <is>
          <t>Волгоград</t>
        </is>
      </c>
      <c r="D127" t="inlineStr">
        <is>
          <t>Продвижение: Сильнее (5 дн)</t>
        </is>
      </c>
      <c r="E127" t="n">
        <v>5350</v>
      </c>
    </row>
    <row r="128">
      <c r="A128" t="inlineStr">
        <is>
          <t>Avito</t>
        </is>
      </c>
      <c r="B128" t="inlineStr">
        <is>
          <t>Волгоград</t>
        </is>
      </c>
      <c r="D128" t="inlineStr">
        <is>
          <t>Выделение цветом (7 дн)</t>
        </is>
      </c>
      <c r="E128" t="n">
        <v>307</v>
      </c>
    </row>
    <row r="129">
      <c r="A129" t="inlineStr">
        <is>
          <t>Avito</t>
        </is>
      </c>
      <c r="B129" t="inlineStr">
        <is>
          <t>Волгоград</t>
        </is>
      </c>
      <c r="D129" t="inlineStr">
        <is>
          <t>XL (7 дн)</t>
        </is>
      </c>
      <c r="E129" t="n">
        <v>307</v>
      </c>
    </row>
    <row r="130">
      <c r="A130" t="inlineStr">
        <is>
          <t>CIAN</t>
        </is>
      </c>
      <c r="B130" t="inlineStr">
        <is>
          <t>Москва</t>
        </is>
      </c>
      <c r="C130" t="inlineStr">
        <is>
          <t>Продажа · Городская · Квартира</t>
        </is>
      </c>
      <c r="D130" t="inlineStr">
        <is>
          <t>Публикация, ₽/30 дн</t>
        </is>
      </c>
      <c r="E130" t="n">
        <v>3390</v>
      </c>
    </row>
    <row r="131">
      <c r="A131" t="inlineStr">
        <is>
          <t>CIAN</t>
        </is>
      </c>
      <c r="B131" t="inlineStr">
        <is>
          <t>Москва</t>
        </is>
      </c>
      <c r="C131" t="inlineStr">
        <is>
          <t>Продажа · Городская · Квартира</t>
        </is>
      </c>
      <c r="D131" t="inlineStr">
        <is>
          <t>Топ, ₽/сут</t>
        </is>
      </c>
      <c r="E131" t="n">
        <v>1213</v>
      </c>
    </row>
    <row r="132">
      <c r="A132" t="inlineStr">
        <is>
          <t>CIAN</t>
        </is>
      </c>
      <c r="B132" t="inlineStr">
        <is>
          <t>Москва</t>
        </is>
      </c>
      <c r="C132" t="inlineStr">
        <is>
          <t>Продажа · Городская · Квартира</t>
        </is>
      </c>
      <c r="D132" t="inlineStr">
        <is>
          <t>Премиум, ₽/сут</t>
        </is>
      </c>
      <c r="E132" t="n">
        <v>492</v>
      </c>
    </row>
    <row r="133">
      <c r="A133" t="inlineStr">
        <is>
          <t>CIAN</t>
        </is>
      </c>
      <c r="B133" t="inlineStr">
        <is>
          <t>Москва</t>
        </is>
      </c>
      <c r="C133" t="inlineStr">
        <is>
          <t>Продажа · Городская · Квартира</t>
        </is>
      </c>
      <c r="D133" t="inlineStr">
        <is>
          <t>Стандарт, ₽/сут</t>
        </is>
      </c>
      <c r="E133" t="n">
        <v>162</v>
      </c>
    </row>
    <row r="134">
      <c r="A134" t="inlineStr">
        <is>
          <t>CIAN</t>
        </is>
      </c>
      <c r="B134" t="inlineStr">
        <is>
          <t>Санкт-Петербург</t>
        </is>
      </c>
      <c r="C134" t="inlineStr">
        <is>
          <t>Продажа · Городская · Квартира</t>
        </is>
      </c>
      <c r="D134" t="inlineStr">
        <is>
          <t>Публикация, ₽/30 дн</t>
        </is>
      </c>
      <c r="E134" t="n">
        <v>1560</v>
      </c>
    </row>
    <row r="135">
      <c r="A135" t="inlineStr">
        <is>
          <t>CIAN</t>
        </is>
      </c>
      <c r="B135" t="inlineStr">
        <is>
          <t>Санкт-Петербург</t>
        </is>
      </c>
      <c r="C135" t="inlineStr">
        <is>
          <t>Продажа · Городская · Квартира</t>
        </is>
      </c>
      <c r="D135" t="inlineStr">
        <is>
          <t>Топ, ₽/сут</t>
        </is>
      </c>
      <c r="E135" t="n">
        <v>598</v>
      </c>
    </row>
    <row r="136">
      <c r="A136" t="inlineStr">
        <is>
          <t>CIAN</t>
        </is>
      </c>
      <c r="B136" t="inlineStr">
        <is>
          <t>Санкт-Петербург</t>
        </is>
      </c>
      <c r="C136" t="inlineStr">
        <is>
          <t>Продажа · Городская · Квартира</t>
        </is>
      </c>
      <c r="D136" t="inlineStr">
        <is>
          <t>Премиум, ₽/сут</t>
        </is>
      </c>
      <c r="E136" t="n">
        <v>255</v>
      </c>
    </row>
    <row r="137">
      <c r="A137" t="inlineStr">
        <is>
          <t>CIAN</t>
        </is>
      </c>
      <c r="B137" t="inlineStr">
        <is>
          <t>Санкт-Петербург</t>
        </is>
      </c>
      <c r="C137" t="inlineStr">
        <is>
          <t>Продажа · Городская · Квартира</t>
        </is>
      </c>
      <c r="D137" t="inlineStr">
        <is>
          <t>Стандарт, ₽/сут</t>
        </is>
      </c>
      <c r="E137" t="n">
        <v>108</v>
      </c>
    </row>
    <row r="138">
      <c r="A138" t="inlineStr">
        <is>
          <t>CIAN</t>
        </is>
      </c>
      <c r="B138" t="inlineStr">
        <is>
          <t>Новосибирск</t>
        </is>
      </c>
      <c r="C138" t="inlineStr">
        <is>
          <t>Продажа · Городская · Квартира</t>
        </is>
      </c>
      <c r="D138" t="inlineStr">
        <is>
          <t>Публикация, ₽/30 дн</t>
        </is>
      </c>
      <c r="E138" t="n">
        <v>1596</v>
      </c>
    </row>
    <row r="139">
      <c r="A139" t="inlineStr">
        <is>
          <t>CIAN</t>
        </is>
      </c>
      <c r="B139" t="inlineStr">
        <is>
          <t>Новосибирск</t>
        </is>
      </c>
      <c r="C139" t="inlineStr">
        <is>
          <t>Продажа · Городская · Квартира</t>
        </is>
      </c>
      <c r="D139" t="inlineStr">
        <is>
          <t>Топ, ₽/сут</t>
        </is>
      </c>
      <c r="E139" t="n">
        <v>420</v>
      </c>
    </row>
    <row r="140">
      <c r="A140" t="inlineStr">
        <is>
          <t>CIAN</t>
        </is>
      </c>
      <c r="B140" t="inlineStr">
        <is>
          <t>Новосибирск</t>
        </is>
      </c>
      <c r="C140" t="inlineStr">
        <is>
          <t>Продажа · Городская · Квартира</t>
        </is>
      </c>
      <c r="D140" t="inlineStr">
        <is>
          <t>Премиум, ₽/сут</t>
        </is>
      </c>
      <c r="E140" t="n">
        <v>189</v>
      </c>
    </row>
    <row r="141">
      <c r="A141" t="inlineStr">
        <is>
          <t>CIAN</t>
        </is>
      </c>
      <c r="B141" t="inlineStr">
        <is>
          <t>Новосибирск</t>
        </is>
      </c>
      <c r="C141" t="inlineStr">
        <is>
          <t>Продажа · Городская · Квартира</t>
        </is>
      </c>
      <c r="D141" t="inlineStr">
        <is>
          <t>Стандарт, ₽/сут</t>
        </is>
      </c>
      <c r="E141" t="n">
        <v>56</v>
      </c>
    </row>
    <row r="142">
      <c r="A142" t="inlineStr">
        <is>
          <t>CIAN</t>
        </is>
      </c>
      <c r="B142" t="inlineStr">
        <is>
          <t>Екатеринбург</t>
        </is>
      </c>
      <c r="C142" t="inlineStr">
        <is>
          <t>Продажа · Городская · Квартира</t>
        </is>
      </c>
      <c r="D142" t="inlineStr">
        <is>
          <t>Публикация, ₽/30 дн</t>
        </is>
      </c>
      <c r="E142" t="n">
        <v>489</v>
      </c>
    </row>
    <row r="143">
      <c r="A143" t="inlineStr">
        <is>
          <t>CIAN</t>
        </is>
      </c>
      <c r="B143" t="inlineStr">
        <is>
          <t>Екатеринбург</t>
        </is>
      </c>
      <c r="C143" t="inlineStr">
        <is>
          <t>Продажа · Городская · Квартира</t>
        </is>
      </c>
      <c r="D143" t="inlineStr">
        <is>
          <t>Топ, ₽/сут</t>
        </is>
      </c>
      <c r="E143" t="n">
        <v>396</v>
      </c>
    </row>
    <row r="144">
      <c r="A144" t="inlineStr">
        <is>
          <t>CIAN</t>
        </is>
      </c>
      <c r="B144" t="inlineStr">
        <is>
          <t>Екатеринбург</t>
        </is>
      </c>
      <c r="C144" t="inlineStr">
        <is>
          <t>Продажа · Городская · Квартира</t>
        </is>
      </c>
      <c r="D144" t="inlineStr">
        <is>
          <t>Премиум, ₽/сут</t>
        </is>
      </c>
      <c r="E144" t="n">
        <v>205</v>
      </c>
    </row>
    <row r="145">
      <c r="A145" t="inlineStr">
        <is>
          <t>CIAN</t>
        </is>
      </c>
      <c r="B145" t="inlineStr">
        <is>
          <t>Екатеринбург</t>
        </is>
      </c>
      <c r="C145" t="inlineStr">
        <is>
          <t>Продажа · Городская · Квартира</t>
        </is>
      </c>
      <c r="D145" t="inlineStr">
        <is>
          <t>Стандарт, ₽/сут</t>
        </is>
      </c>
      <c r="E145" t="n">
        <v>62</v>
      </c>
    </row>
    <row r="146">
      <c r="A146" t="inlineStr">
        <is>
          <t>CIAN</t>
        </is>
      </c>
      <c r="B146" t="inlineStr">
        <is>
          <t>Казань</t>
        </is>
      </c>
      <c r="C146" t="inlineStr">
        <is>
          <t>Продажа · Городская · Квартира</t>
        </is>
      </c>
      <c r="D146" t="inlineStr">
        <is>
          <t>Публикация, ₽/30 дн</t>
        </is>
      </c>
      <c r="E146" t="n">
        <v>354</v>
      </c>
    </row>
    <row r="147">
      <c r="A147" t="inlineStr">
        <is>
          <t>CIAN</t>
        </is>
      </c>
      <c r="B147" t="inlineStr">
        <is>
          <t>Казань</t>
        </is>
      </c>
      <c r="C147" t="inlineStr">
        <is>
          <t>Продажа · Городская · Квартира</t>
        </is>
      </c>
      <c r="D147" t="inlineStr">
        <is>
          <t>Топ, ₽/сут</t>
        </is>
      </c>
      <c r="E147" t="n">
        <v>222</v>
      </c>
    </row>
    <row r="148">
      <c r="A148" t="inlineStr">
        <is>
          <t>CIAN</t>
        </is>
      </c>
      <c r="B148" t="inlineStr">
        <is>
          <t>Казань</t>
        </is>
      </c>
      <c r="C148" t="inlineStr">
        <is>
          <t>Продажа · Городская · Квартира</t>
        </is>
      </c>
      <c r="D148" t="inlineStr">
        <is>
          <t>Премиум, ₽/сут</t>
        </is>
      </c>
      <c r="E148" t="n">
        <v>86</v>
      </c>
    </row>
    <row r="149">
      <c r="A149" t="inlineStr">
        <is>
          <t>CIAN</t>
        </is>
      </c>
      <c r="B149" t="inlineStr">
        <is>
          <t>Казань</t>
        </is>
      </c>
      <c r="C149" t="inlineStr">
        <is>
          <t>Продажа · Городская · Квартира</t>
        </is>
      </c>
      <c r="D149" t="inlineStr">
        <is>
          <t>Стандарт, ₽/сут</t>
        </is>
      </c>
      <c r="E149" t="n">
        <v>25</v>
      </c>
    </row>
    <row r="150">
      <c r="A150" t="inlineStr">
        <is>
          <t>CIAN</t>
        </is>
      </c>
      <c r="B150" t="inlineStr">
        <is>
          <t>Красноярск</t>
        </is>
      </c>
      <c r="C150" t="inlineStr">
        <is>
          <t>Продажа · Городская · Квартира</t>
        </is>
      </c>
      <c r="D150" t="inlineStr">
        <is>
          <t>Публикация, ₽/30 дн</t>
        </is>
      </c>
      <c r="E150" t="n">
        <v>573</v>
      </c>
    </row>
    <row r="151">
      <c r="A151" t="inlineStr">
        <is>
          <t>CIAN</t>
        </is>
      </c>
      <c r="B151" t="inlineStr">
        <is>
          <t>Красноярск</t>
        </is>
      </c>
      <c r="C151" t="inlineStr">
        <is>
          <t>Продажа · Городская · Квартира</t>
        </is>
      </c>
      <c r="D151" t="inlineStr">
        <is>
          <t>Топ, ₽/сут</t>
        </is>
      </c>
      <c r="E151" t="inlineStr">
        <is>
          <t>—</t>
        </is>
      </c>
    </row>
    <row r="152">
      <c r="A152" t="inlineStr">
        <is>
          <t>CIAN</t>
        </is>
      </c>
      <c r="B152" t="inlineStr">
        <is>
          <t>Красноярск</t>
        </is>
      </c>
      <c r="C152" t="inlineStr">
        <is>
          <t>Продажа · Городская · Квартира</t>
        </is>
      </c>
      <c r="D152" t="inlineStr">
        <is>
          <t>Премиум, ₽/сут</t>
        </is>
      </c>
      <c r="E152" t="inlineStr">
        <is>
          <t>—</t>
        </is>
      </c>
    </row>
    <row r="153">
      <c r="A153" t="inlineStr">
        <is>
          <t>CIAN</t>
        </is>
      </c>
      <c r="B153" t="inlineStr">
        <is>
          <t>Красноярск</t>
        </is>
      </c>
      <c r="C153" t="inlineStr">
        <is>
          <t>Продажа · Городская · Квартира</t>
        </is>
      </c>
      <c r="D153" t="inlineStr">
        <is>
          <t>Стандарт, ₽/сут</t>
        </is>
      </c>
      <c r="E153" t="inlineStr">
        <is>
          <t>—</t>
        </is>
      </c>
    </row>
    <row r="154">
      <c r="A154" t="inlineStr">
        <is>
          <t>CIAN</t>
        </is>
      </c>
      <c r="B154" t="inlineStr">
        <is>
          <t>Нижний Новгород</t>
        </is>
      </c>
      <c r="C154" t="inlineStr">
        <is>
          <t>Продажа · Городская · Квартира</t>
        </is>
      </c>
      <c r="D154" t="inlineStr">
        <is>
          <t>Публикация, ₽/30 дн</t>
        </is>
      </c>
      <c r="E154" t="n">
        <v>441</v>
      </c>
    </row>
    <row r="155">
      <c r="A155" t="inlineStr">
        <is>
          <t>CIAN</t>
        </is>
      </c>
      <c r="B155" t="inlineStr">
        <is>
          <t>Нижний Новгород</t>
        </is>
      </c>
      <c r="C155" t="inlineStr">
        <is>
          <t>Продажа · Городская · Квартира</t>
        </is>
      </c>
      <c r="D155" t="inlineStr">
        <is>
          <t>Топ, ₽/сут</t>
        </is>
      </c>
      <c r="E155" t="n">
        <v>208</v>
      </c>
    </row>
    <row r="156">
      <c r="A156" t="inlineStr">
        <is>
          <t>CIAN</t>
        </is>
      </c>
      <c r="B156" t="inlineStr">
        <is>
          <t>Нижний Новгород</t>
        </is>
      </c>
      <c r="C156" t="inlineStr">
        <is>
          <t>Продажа · Городская · Квартира</t>
        </is>
      </c>
      <c r="D156" t="inlineStr">
        <is>
          <t>Премиум, ₽/сут</t>
        </is>
      </c>
      <c r="E156" t="n">
        <v>81</v>
      </c>
    </row>
    <row r="157">
      <c r="A157" t="inlineStr">
        <is>
          <t>CIAN</t>
        </is>
      </c>
      <c r="B157" t="inlineStr">
        <is>
          <t>Нижний Новгород</t>
        </is>
      </c>
      <c r="C157" t="inlineStr">
        <is>
          <t>Продажа · Городская · Квартира</t>
        </is>
      </c>
      <c r="D157" t="inlineStr">
        <is>
          <t>Стандарт, ₽/сут</t>
        </is>
      </c>
      <c r="E157" t="n">
        <v>23</v>
      </c>
    </row>
    <row r="158">
      <c r="A158" t="inlineStr">
        <is>
          <t>CIAN</t>
        </is>
      </c>
      <c r="B158" t="inlineStr">
        <is>
          <t>Челябинск</t>
        </is>
      </c>
      <c r="C158" t="inlineStr">
        <is>
          <t>Продажа · Городская · Квартира</t>
        </is>
      </c>
      <c r="D158" t="inlineStr">
        <is>
          <t>Публикация, ₽/30 дн</t>
        </is>
      </c>
      <c r="E158" t="n">
        <v>291</v>
      </c>
    </row>
    <row r="159">
      <c r="A159" t="inlineStr">
        <is>
          <t>CIAN</t>
        </is>
      </c>
      <c r="B159" t="inlineStr">
        <is>
          <t>Челябинск</t>
        </is>
      </c>
      <c r="C159" t="inlineStr">
        <is>
          <t>Продажа · Городская · Квартира</t>
        </is>
      </c>
      <c r="D159" t="inlineStr">
        <is>
          <t>Топ, ₽/сут</t>
        </is>
      </c>
      <c r="E159" t="n">
        <v>203</v>
      </c>
    </row>
    <row r="160">
      <c r="A160" t="inlineStr">
        <is>
          <t>CIAN</t>
        </is>
      </c>
      <c r="B160" t="inlineStr">
        <is>
          <t>Челябинск</t>
        </is>
      </c>
      <c r="C160" t="inlineStr">
        <is>
          <t>Продажа · Городская · Квартира</t>
        </is>
      </c>
      <c r="D160" t="inlineStr">
        <is>
          <t>Премиум, ₽/сут</t>
        </is>
      </c>
      <c r="E160" t="n">
        <v>95</v>
      </c>
    </row>
    <row r="161">
      <c r="A161" t="inlineStr">
        <is>
          <t>CIAN</t>
        </is>
      </c>
      <c r="B161" t="inlineStr">
        <is>
          <t>Челябинск</t>
        </is>
      </c>
      <c r="C161" t="inlineStr">
        <is>
          <t>Продажа · Городская · Квартира</t>
        </is>
      </c>
      <c r="D161" t="inlineStr">
        <is>
          <t>Стандарт, ₽/сут</t>
        </is>
      </c>
      <c r="E161" t="n">
        <v>27</v>
      </c>
    </row>
    <row r="162">
      <c r="A162" t="inlineStr">
        <is>
          <t>CIAN</t>
        </is>
      </c>
      <c r="B162" t="inlineStr">
        <is>
          <t>Уфа</t>
        </is>
      </c>
      <c r="C162" t="inlineStr">
        <is>
          <t>Продажа · Городская · Квартира</t>
        </is>
      </c>
      <c r="D162" t="inlineStr">
        <is>
          <t>Публикация, ₽/30 дн</t>
        </is>
      </c>
      <c r="E162" t="n">
        <v>213</v>
      </c>
    </row>
    <row r="163">
      <c r="A163" t="inlineStr">
        <is>
          <t>CIAN</t>
        </is>
      </c>
      <c r="B163" t="inlineStr">
        <is>
          <t>Уфа</t>
        </is>
      </c>
      <c r="C163" t="inlineStr">
        <is>
          <t>Продажа · Городская · Квартира</t>
        </is>
      </c>
      <c r="D163" t="inlineStr">
        <is>
          <t>Топ, ₽/сут</t>
        </is>
      </c>
      <c r="E163" t="n">
        <v>176</v>
      </c>
    </row>
    <row r="164">
      <c r="A164" t="inlineStr">
        <is>
          <t>CIAN</t>
        </is>
      </c>
      <c r="B164" t="inlineStr">
        <is>
          <t>Уфа</t>
        </is>
      </c>
      <c r="C164" t="inlineStr">
        <is>
          <t>Продажа · Городская · Квартира</t>
        </is>
      </c>
      <c r="D164" t="inlineStr">
        <is>
          <t>Премиум, ₽/сут</t>
        </is>
      </c>
      <c r="E164" t="n">
        <v>80</v>
      </c>
    </row>
    <row r="165">
      <c r="A165" t="inlineStr">
        <is>
          <t>CIAN</t>
        </is>
      </c>
      <c r="B165" t="inlineStr">
        <is>
          <t>Уфа</t>
        </is>
      </c>
      <c r="C165" t="inlineStr">
        <is>
          <t>Продажа · Городская · Квартира</t>
        </is>
      </c>
      <c r="D165" t="inlineStr">
        <is>
          <t>Стандарт, ₽/сут</t>
        </is>
      </c>
      <c r="E165" t="n">
        <v>23</v>
      </c>
    </row>
    <row r="166">
      <c r="A166" t="inlineStr">
        <is>
          <t>CIAN</t>
        </is>
      </c>
      <c r="B166" t="inlineStr">
        <is>
          <t>Краснодар</t>
        </is>
      </c>
      <c r="C166" t="inlineStr">
        <is>
          <t>Продажа · Городская · Квартира</t>
        </is>
      </c>
      <c r="D166" t="inlineStr">
        <is>
          <t>Публикация, ₽/30 дн</t>
        </is>
      </c>
      <c r="E166" t="n">
        <v>468</v>
      </c>
    </row>
    <row r="167">
      <c r="A167" t="inlineStr">
        <is>
          <t>CIAN</t>
        </is>
      </c>
      <c r="B167" t="inlineStr">
        <is>
          <t>Краснодар</t>
        </is>
      </c>
      <c r="C167" t="inlineStr">
        <is>
          <t>Продажа · Городская · Квартира</t>
        </is>
      </c>
      <c r="D167" t="inlineStr">
        <is>
          <t>Топ, ₽/сут</t>
        </is>
      </c>
      <c r="E167" t="n">
        <v>197</v>
      </c>
    </row>
    <row r="168">
      <c r="A168" t="inlineStr">
        <is>
          <t>CIAN</t>
        </is>
      </c>
      <c r="B168" t="inlineStr">
        <is>
          <t>Краснодар</t>
        </is>
      </c>
      <c r="C168" t="inlineStr">
        <is>
          <t>Продажа · Городская · Квартира</t>
        </is>
      </c>
      <c r="D168" t="inlineStr">
        <is>
          <t>Премиум, ₽/сут</t>
        </is>
      </c>
      <c r="E168" t="n">
        <v>79</v>
      </c>
    </row>
    <row r="169">
      <c r="A169" t="inlineStr">
        <is>
          <t>CIAN</t>
        </is>
      </c>
      <c r="B169" t="inlineStr">
        <is>
          <t>Краснодар</t>
        </is>
      </c>
      <c r="C169" t="inlineStr">
        <is>
          <t>Продажа · Городская · Квартира</t>
        </is>
      </c>
      <c r="D169" t="inlineStr">
        <is>
          <t>Стандарт, ₽/сут</t>
        </is>
      </c>
      <c r="E169" t="n">
        <v>24</v>
      </c>
    </row>
    <row r="170">
      <c r="A170" t="inlineStr">
        <is>
          <t>CIAN</t>
        </is>
      </c>
      <c r="B170" t="inlineStr">
        <is>
          <t>Самара</t>
        </is>
      </c>
      <c r="C170" t="inlineStr">
        <is>
          <t>Продажа · Городская · Квартира</t>
        </is>
      </c>
      <c r="D170" t="inlineStr">
        <is>
          <t>Публикация, ₽/30 дн</t>
        </is>
      </c>
      <c r="E170" t="n">
        <v>354</v>
      </c>
    </row>
    <row r="171">
      <c r="A171" t="inlineStr">
        <is>
          <t>CIAN</t>
        </is>
      </c>
      <c r="B171" t="inlineStr">
        <is>
          <t>Самара</t>
        </is>
      </c>
      <c r="C171" t="inlineStr">
        <is>
          <t>Продажа · Городская · Квартира</t>
        </is>
      </c>
      <c r="D171" t="inlineStr">
        <is>
          <t>Топ, ₽/сут</t>
        </is>
      </c>
      <c r="E171" t="inlineStr">
        <is>
          <t>—</t>
        </is>
      </c>
    </row>
    <row r="172">
      <c r="A172" t="inlineStr">
        <is>
          <t>CIAN</t>
        </is>
      </c>
      <c r="B172" t="inlineStr">
        <is>
          <t>Самара</t>
        </is>
      </c>
      <c r="C172" t="inlineStr">
        <is>
          <t>Продажа · Городская · Квартира</t>
        </is>
      </c>
      <c r="D172" t="inlineStr">
        <is>
          <t>Премиум, ₽/сут</t>
        </is>
      </c>
      <c r="E172" t="inlineStr">
        <is>
          <t>—</t>
        </is>
      </c>
    </row>
    <row r="173">
      <c r="A173" t="inlineStr">
        <is>
          <t>CIAN</t>
        </is>
      </c>
      <c r="B173" t="inlineStr">
        <is>
          <t>Самара</t>
        </is>
      </c>
      <c r="C173" t="inlineStr">
        <is>
          <t>Продажа · Городская · Квартира</t>
        </is>
      </c>
      <c r="D173" t="inlineStr">
        <is>
          <t>Стандарт, ₽/сут</t>
        </is>
      </c>
      <c r="E173" t="inlineStr">
        <is>
          <t>—</t>
        </is>
      </c>
    </row>
    <row r="174">
      <c r="A174" t="inlineStr">
        <is>
          <t>CIAN</t>
        </is>
      </c>
      <c r="B174" t="inlineStr">
        <is>
          <t>Ростов-на-Дону</t>
        </is>
      </c>
      <c r="C174" t="inlineStr">
        <is>
          <t>Продажа · Городская · Квартира</t>
        </is>
      </c>
      <c r="D174" t="inlineStr">
        <is>
          <t>Публикация, ₽/30 дн</t>
        </is>
      </c>
      <c r="E174" t="n">
        <v>468</v>
      </c>
    </row>
    <row r="175">
      <c r="A175" t="inlineStr">
        <is>
          <t>CIAN</t>
        </is>
      </c>
      <c r="B175" t="inlineStr">
        <is>
          <t>Ростов-на-Дону</t>
        </is>
      </c>
      <c r="C175" t="inlineStr">
        <is>
          <t>Продажа · Городская · Квартира</t>
        </is>
      </c>
      <c r="D175" t="inlineStr">
        <is>
          <t>Топ, ₽/сут</t>
        </is>
      </c>
      <c r="E175" t="n">
        <v>214</v>
      </c>
    </row>
    <row r="176">
      <c r="A176" t="inlineStr">
        <is>
          <t>CIAN</t>
        </is>
      </c>
      <c r="B176" t="inlineStr">
        <is>
          <t>Ростов-на-Дону</t>
        </is>
      </c>
      <c r="C176" t="inlineStr">
        <is>
          <t>Продажа · Городская · Квартира</t>
        </is>
      </c>
      <c r="D176" t="inlineStr">
        <is>
          <t>Премиум, ₽/сут</t>
        </is>
      </c>
      <c r="E176" t="n">
        <v>87</v>
      </c>
    </row>
    <row r="177">
      <c r="A177" t="inlineStr">
        <is>
          <t>CIAN</t>
        </is>
      </c>
      <c r="B177" t="inlineStr">
        <is>
          <t>Ростов-на-Дону</t>
        </is>
      </c>
      <c r="C177" t="inlineStr">
        <is>
          <t>Продажа · Городская · Квартира</t>
        </is>
      </c>
      <c r="D177" t="inlineStr">
        <is>
          <t>Стандарт, ₽/сут</t>
        </is>
      </c>
      <c r="E177" t="n">
        <v>26</v>
      </c>
    </row>
    <row r="178">
      <c r="A178" t="inlineStr">
        <is>
          <t>CIAN</t>
        </is>
      </c>
      <c r="B178" t="inlineStr">
        <is>
          <t>Омск</t>
        </is>
      </c>
      <c r="C178" t="inlineStr">
        <is>
          <t>Продажа · Городская · Квартира</t>
        </is>
      </c>
      <c r="D178" t="inlineStr">
        <is>
          <t>Публикация, ₽/30 дн</t>
        </is>
      </c>
      <c r="E178" t="n">
        <v>780</v>
      </c>
    </row>
    <row r="179">
      <c r="A179" t="inlineStr">
        <is>
          <t>CIAN</t>
        </is>
      </c>
      <c r="B179" t="inlineStr">
        <is>
          <t>Омск</t>
        </is>
      </c>
      <c r="C179" t="inlineStr">
        <is>
          <t>Продажа · Городская · Квартира</t>
        </is>
      </c>
      <c r="D179" t="inlineStr">
        <is>
          <t>Топ, ₽/сут</t>
        </is>
      </c>
      <c r="E179" t="n">
        <v>345</v>
      </c>
    </row>
    <row r="180">
      <c r="A180" t="inlineStr">
        <is>
          <t>CIAN</t>
        </is>
      </c>
      <c r="B180" t="inlineStr">
        <is>
          <t>Омск</t>
        </is>
      </c>
      <c r="C180" t="inlineStr">
        <is>
          <t>Продажа · Городская · Квартира</t>
        </is>
      </c>
      <c r="D180" t="inlineStr">
        <is>
          <t>Премиум, ₽/сут</t>
        </is>
      </c>
      <c r="E180" t="n">
        <v>187</v>
      </c>
    </row>
    <row r="181">
      <c r="A181" t="inlineStr">
        <is>
          <t>CIAN</t>
        </is>
      </c>
      <c r="B181" t="inlineStr">
        <is>
          <t>Омск</t>
        </is>
      </c>
      <c r="C181" t="inlineStr">
        <is>
          <t>Продажа · Городская · Квартира</t>
        </is>
      </c>
      <c r="D181" t="inlineStr">
        <is>
          <t>Стандарт, ₽/сут</t>
        </is>
      </c>
      <c r="E181" t="n">
        <v>58</v>
      </c>
    </row>
    <row r="182">
      <c r="A182" t="inlineStr">
        <is>
          <t>CIAN</t>
        </is>
      </c>
      <c r="B182" t="inlineStr">
        <is>
          <t>Воронеж</t>
        </is>
      </c>
      <c r="C182" t="inlineStr">
        <is>
          <t>Продажа · Городская · Квартира</t>
        </is>
      </c>
      <c r="D182" t="inlineStr">
        <is>
          <t>Публикация, ₽/30 дн</t>
        </is>
      </c>
      <c r="E182" t="n">
        <v>204</v>
      </c>
    </row>
    <row r="183">
      <c r="A183" t="inlineStr">
        <is>
          <t>CIAN</t>
        </is>
      </c>
      <c r="B183" t="inlineStr">
        <is>
          <t>Воронеж</t>
        </is>
      </c>
      <c r="C183" t="inlineStr">
        <is>
          <t>Продажа · Городская · Квартира</t>
        </is>
      </c>
      <c r="D183" t="inlineStr">
        <is>
          <t>Топ, ₽/сут</t>
        </is>
      </c>
      <c r="E183" t="inlineStr">
        <is>
          <t>—</t>
        </is>
      </c>
    </row>
    <row r="184">
      <c r="A184" t="inlineStr">
        <is>
          <t>CIAN</t>
        </is>
      </c>
      <c r="B184" t="inlineStr">
        <is>
          <t>Воронеж</t>
        </is>
      </c>
      <c r="C184" t="inlineStr">
        <is>
          <t>Продажа · Городская · Квартира</t>
        </is>
      </c>
      <c r="D184" t="inlineStr">
        <is>
          <t>Премиум, ₽/сут</t>
        </is>
      </c>
      <c r="E184" t="inlineStr">
        <is>
          <t>—</t>
        </is>
      </c>
    </row>
    <row r="185">
      <c r="A185" t="inlineStr">
        <is>
          <t>CIAN</t>
        </is>
      </c>
      <c r="B185" t="inlineStr">
        <is>
          <t>Воронеж</t>
        </is>
      </c>
      <c r="C185" t="inlineStr">
        <is>
          <t>Продажа · Городская · Квартира</t>
        </is>
      </c>
      <c r="D185" t="inlineStr">
        <is>
          <t>Стандарт, ₽/сут</t>
        </is>
      </c>
      <c r="E185" t="inlineStr">
        <is>
          <t>—</t>
        </is>
      </c>
    </row>
    <row r="186">
      <c r="A186" t="inlineStr">
        <is>
          <t>CIAN</t>
        </is>
      </c>
      <c r="B186" t="inlineStr">
        <is>
          <t>Пермь</t>
        </is>
      </c>
      <c r="C186" t="inlineStr">
        <is>
          <t>Продажа · Городская · Квартира</t>
        </is>
      </c>
      <c r="D186" t="inlineStr">
        <is>
          <t>Публикация, ₽/30 дн</t>
        </is>
      </c>
      <c r="E186" t="n">
        <v>99</v>
      </c>
    </row>
    <row r="187">
      <c r="A187" t="inlineStr">
        <is>
          <t>CIAN</t>
        </is>
      </c>
      <c r="B187" t="inlineStr">
        <is>
          <t>Пермь</t>
        </is>
      </c>
      <c r="C187" t="inlineStr">
        <is>
          <t>Продажа · Городская · Квартира</t>
        </is>
      </c>
      <c r="D187" t="inlineStr">
        <is>
          <t>Топ, ₽/сут</t>
        </is>
      </c>
      <c r="E187" t="inlineStr">
        <is>
          <t>—</t>
        </is>
      </c>
    </row>
    <row r="188">
      <c r="A188" t="inlineStr">
        <is>
          <t>CIAN</t>
        </is>
      </c>
      <c r="B188" t="inlineStr">
        <is>
          <t>Пермь</t>
        </is>
      </c>
      <c r="C188" t="inlineStr">
        <is>
          <t>Продажа · Городская · Квартира</t>
        </is>
      </c>
      <c r="D188" t="inlineStr">
        <is>
          <t>Премиум, ₽/сут</t>
        </is>
      </c>
      <c r="E188" t="inlineStr">
        <is>
          <t>—</t>
        </is>
      </c>
    </row>
    <row r="189">
      <c r="A189" t="inlineStr">
        <is>
          <t>CIAN</t>
        </is>
      </c>
      <c r="B189" t="inlineStr">
        <is>
          <t>Пермь</t>
        </is>
      </c>
      <c r="C189" t="inlineStr">
        <is>
          <t>Продажа · Городская · Квартира</t>
        </is>
      </c>
      <c r="D189" t="inlineStr">
        <is>
          <t>Стандарт, ₽/сут</t>
        </is>
      </c>
      <c r="E189" t="inlineStr">
        <is>
          <t>—</t>
        </is>
      </c>
    </row>
    <row r="190">
      <c r="A190" t="inlineStr">
        <is>
          <t>CIAN</t>
        </is>
      </c>
      <c r="B190" t="inlineStr">
        <is>
          <t>Волгоград</t>
        </is>
      </c>
      <c r="C190" t="inlineStr">
        <is>
          <t>Продажа · Городская · Квартира</t>
        </is>
      </c>
      <c r="D190" t="inlineStr">
        <is>
          <t>Публикация, ₽/30 дн</t>
        </is>
      </c>
      <c r="E190" t="n">
        <v>303</v>
      </c>
    </row>
    <row r="191">
      <c r="A191" t="inlineStr">
        <is>
          <t>CIAN</t>
        </is>
      </c>
      <c r="B191" t="inlineStr">
        <is>
          <t>Волгоград</t>
        </is>
      </c>
      <c r="C191" t="inlineStr">
        <is>
          <t>Продажа · Городская · Квартира</t>
        </is>
      </c>
      <c r="D191" t="inlineStr">
        <is>
          <t>Топ, ₽/сут</t>
        </is>
      </c>
      <c r="E191" t="inlineStr">
        <is>
          <t>—</t>
        </is>
      </c>
    </row>
    <row r="192">
      <c r="A192" t="inlineStr">
        <is>
          <t>CIAN</t>
        </is>
      </c>
      <c r="B192" t="inlineStr">
        <is>
          <t>Волгоград</t>
        </is>
      </c>
      <c r="C192" t="inlineStr">
        <is>
          <t>Продажа · Городская · Квартира</t>
        </is>
      </c>
      <c r="D192" t="inlineStr">
        <is>
          <t>Премиум, ₽/сут</t>
        </is>
      </c>
      <c r="E192" t="inlineStr">
        <is>
          <t>—</t>
        </is>
      </c>
    </row>
    <row r="193">
      <c r="A193" t="inlineStr">
        <is>
          <t>CIAN</t>
        </is>
      </c>
      <c r="B193" t="inlineStr">
        <is>
          <t>Волгоград</t>
        </is>
      </c>
      <c r="C193" t="inlineStr">
        <is>
          <t>Продажа · Городская · Квартира</t>
        </is>
      </c>
      <c r="D193" t="inlineStr">
        <is>
          <t>Стандарт, ₽/сут</t>
        </is>
      </c>
      <c r="E193" t="inlineStr">
        <is>
          <t>—</t>
        </is>
      </c>
    </row>
    <row r="194">
      <c r="A194" t="inlineStr">
        <is>
          <t>CIAN</t>
        </is>
      </c>
      <c r="B194" t="inlineStr">
        <is>
          <t>Москва</t>
        </is>
      </c>
      <c r="C194" t="inlineStr">
        <is>
          <t>Продажа · Городская · Комната</t>
        </is>
      </c>
      <c r="D194" t="inlineStr">
        <is>
          <t>Публикация, ₽/30 дн</t>
        </is>
      </c>
      <c r="E194" t="n">
        <v>3120</v>
      </c>
    </row>
    <row r="195">
      <c r="A195" t="inlineStr">
        <is>
          <t>CIAN</t>
        </is>
      </c>
      <c r="B195" t="inlineStr">
        <is>
          <t>Москва</t>
        </is>
      </c>
      <c r="C195" t="inlineStr">
        <is>
          <t>Продажа · Городская · Комната</t>
        </is>
      </c>
      <c r="D195" t="inlineStr">
        <is>
          <t>Топ, ₽/сут</t>
        </is>
      </c>
      <c r="E195" t="n">
        <v>904</v>
      </c>
    </row>
    <row r="196">
      <c r="A196" t="inlineStr">
        <is>
          <t>CIAN</t>
        </is>
      </c>
      <c r="B196" t="inlineStr">
        <is>
          <t>Москва</t>
        </is>
      </c>
      <c r="C196" t="inlineStr">
        <is>
          <t>Продажа · Городская · Комната</t>
        </is>
      </c>
      <c r="D196" t="inlineStr">
        <is>
          <t>Премиум, ₽/сут</t>
        </is>
      </c>
      <c r="E196" t="n">
        <v>382</v>
      </c>
    </row>
    <row r="197">
      <c r="A197" t="inlineStr">
        <is>
          <t>CIAN</t>
        </is>
      </c>
      <c r="B197" t="inlineStr">
        <is>
          <t>Москва</t>
        </is>
      </c>
      <c r="C197" t="inlineStr">
        <is>
          <t>Продажа · Городская · Комната</t>
        </is>
      </c>
      <c r="D197" t="inlineStr">
        <is>
          <t>Стандарт, ₽/сут</t>
        </is>
      </c>
      <c r="E197" t="n">
        <v>116</v>
      </c>
    </row>
    <row r="198">
      <c r="A198" t="inlineStr">
        <is>
          <t>CIAN</t>
        </is>
      </c>
      <c r="B198" t="inlineStr">
        <is>
          <t>Санкт-Петербург</t>
        </is>
      </c>
      <c r="C198" t="inlineStr">
        <is>
          <t>Продажа · Городская · Комната</t>
        </is>
      </c>
      <c r="D198" t="inlineStr">
        <is>
          <t>Публикация, ₽/30 дн</t>
        </is>
      </c>
      <c r="E198" t="n">
        <v>1350</v>
      </c>
    </row>
    <row r="199">
      <c r="A199" t="inlineStr">
        <is>
          <t>CIAN</t>
        </is>
      </c>
      <c r="B199" t="inlineStr">
        <is>
          <t>Санкт-Петербург</t>
        </is>
      </c>
      <c r="C199" t="inlineStr">
        <is>
          <t>Продажа · Городская · Комната</t>
        </is>
      </c>
      <c r="D199" t="inlineStr">
        <is>
          <t>Топ, ₽/сут</t>
        </is>
      </c>
      <c r="E199" t="n">
        <v>471</v>
      </c>
    </row>
    <row r="200">
      <c r="A200" t="inlineStr">
        <is>
          <t>CIAN</t>
        </is>
      </c>
      <c r="B200" t="inlineStr">
        <is>
          <t>Санкт-Петербург</t>
        </is>
      </c>
      <c r="C200" t="inlineStr">
        <is>
          <t>Продажа · Городская · Комната</t>
        </is>
      </c>
      <c r="D200" t="inlineStr">
        <is>
          <t>Премиум, ₽/сут</t>
        </is>
      </c>
      <c r="E200" t="n">
        <v>208</v>
      </c>
    </row>
    <row r="201">
      <c r="A201" t="inlineStr">
        <is>
          <t>CIAN</t>
        </is>
      </c>
      <c r="B201" t="inlineStr">
        <is>
          <t>Санкт-Петербург</t>
        </is>
      </c>
      <c r="C201" t="inlineStr">
        <is>
          <t>Продажа · Городская · Комната</t>
        </is>
      </c>
      <c r="D201" t="inlineStr">
        <is>
          <t>Стандарт, ₽/сут</t>
        </is>
      </c>
      <c r="E201" t="n">
        <v>64</v>
      </c>
    </row>
    <row r="202">
      <c r="A202" t="inlineStr">
        <is>
          <t>CIAN</t>
        </is>
      </c>
      <c r="B202" t="inlineStr">
        <is>
          <t>Новосибирск</t>
        </is>
      </c>
      <c r="C202" t="inlineStr">
        <is>
          <t>Продажа · Городская · Комната</t>
        </is>
      </c>
      <c r="D202" t="inlineStr">
        <is>
          <t>Публикация, ₽/30 дн</t>
        </is>
      </c>
      <c r="E202" t="n">
        <v>1332</v>
      </c>
    </row>
    <row r="203">
      <c r="A203" t="inlineStr">
        <is>
          <t>CIAN</t>
        </is>
      </c>
      <c r="B203" t="inlineStr">
        <is>
          <t>Новосибирск</t>
        </is>
      </c>
      <c r="C203" t="inlineStr">
        <is>
          <t>Продажа · Городская · Комната</t>
        </is>
      </c>
      <c r="D203" t="inlineStr">
        <is>
          <t>Топ, ₽/сут</t>
        </is>
      </c>
      <c r="E203" t="n">
        <v>315</v>
      </c>
    </row>
    <row r="204">
      <c r="A204" t="inlineStr">
        <is>
          <t>CIAN</t>
        </is>
      </c>
      <c r="B204" t="inlineStr">
        <is>
          <t>Новосибирск</t>
        </is>
      </c>
      <c r="C204" t="inlineStr">
        <is>
          <t>Продажа · Городская · Комната</t>
        </is>
      </c>
      <c r="D204" t="inlineStr">
        <is>
          <t>Премиум, ₽/сут</t>
        </is>
      </c>
      <c r="E204" t="n">
        <v>148</v>
      </c>
    </row>
    <row r="205">
      <c r="A205" t="inlineStr">
        <is>
          <t>CIAN</t>
        </is>
      </c>
      <c r="B205" t="inlineStr">
        <is>
          <t>Новосибирск</t>
        </is>
      </c>
      <c r="C205" t="inlineStr">
        <is>
          <t>Продажа · Городская · Комната</t>
        </is>
      </c>
      <c r="D205" t="inlineStr">
        <is>
          <t>Стандарт, ₽/сут</t>
        </is>
      </c>
      <c r="E205" t="n">
        <v>45</v>
      </c>
    </row>
    <row r="206">
      <c r="A206" t="inlineStr">
        <is>
          <t>CIAN</t>
        </is>
      </c>
      <c r="B206" t="inlineStr">
        <is>
          <t>Екатеринбург</t>
        </is>
      </c>
      <c r="C206" t="inlineStr">
        <is>
          <t>Продажа · Городская · Комната</t>
        </is>
      </c>
      <c r="D206" t="inlineStr">
        <is>
          <t>Публикация, ₽/30 дн</t>
        </is>
      </c>
      <c r="E206" t="n">
        <v>489</v>
      </c>
    </row>
    <row r="207">
      <c r="A207" t="inlineStr">
        <is>
          <t>CIAN</t>
        </is>
      </c>
      <c r="B207" t="inlineStr">
        <is>
          <t>Екатеринбург</t>
        </is>
      </c>
      <c r="C207" t="inlineStr">
        <is>
          <t>Продажа · Городская · Комната</t>
        </is>
      </c>
      <c r="D207" t="inlineStr">
        <is>
          <t>Топ, ₽/сут</t>
        </is>
      </c>
      <c r="E207" t="n">
        <v>284</v>
      </c>
    </row>
    <row r="208">
      <c r="A208" t="inlineStr">
        <is>
          <t>CIAN</t>
        </is>
      </c>
      <c r="B208" t="inlineStr">
        <is>
          <t>Екатеринбург</t>
        </is>
      </c>
      <c r="C208" t="inlineStr">
        <is>
          <t>Продажа · Городская · Комната</t>
        </is>
      </c>
      <c r="D208" t="inlineStr">
        <is>
          <t>Премиум, ₽/сут</t>
        </is>
      </c>
      <c r="E208" t="n">
        <v>155</v>
      </c>
    </row>
    <row r="209">
      <c r="A209" t="inlineStr">
        <is>
          <t>CIAN</t>
        </is>
      </c>
      <c r="B209" t="inlineStr">
        <is>
          <t>Екатеринбург</t>
        </is>
      </c>
      <c r="C209" t="inlineStr">
        <is>
          <t>Продажа · Городская · Комната</t>
        </is>
      </c>
      <c r="D209" t="inlineStr">
        <is>
          <t>Стандарт, ₽/сут</t>
        </is>
      </c>
      <c r="E209" t="n">
        <v>46</v>
      </c>
    </row>
    <row r="210">
      <c r="A210" t="inlineStr">
        <is>
          <t>CIAN</t>
        </is>
      </c>
      <c r="B210" t="inlineStr">
        <is>
          <t>Казань</t>
        </is>
      </c>
      <c r="C210" t="inlineStr">
        <is>
          <t>Продажа · Городская · Комната</t>
        </is>
      </c>
      <c r="D210" t="inlineStr">
        <is>
          <t>Публикация, ₽/30 дн</t>
        </is>
      </c>
      <c r="E210" t="n">
        <v>315</v>
      </c>
    </row>
    <row r="211">
      <c r="A211" t="inlineStr">
        <is>
          <t>CIAN</t>
        </is>
      </c>
      <c r="B211" t="inlineStr">
        <is>
          <t>Казань</t>
        </is>
      </c>
      <c r="C211" t="inlineStr">
        <is>
          <t>Продажа · Городская · Комната</t>
        </is>
      </c>
      <c r="D211" t="inlineStr">
        <is>
          <t>Топ, ₽/сут</t>
        </is>
      </c>
      <c r="E211" t="n">
        <v>179</v>
      </c>
    </row>
    <row r="212">
      <c r="A212" t="inlineStr">
        <is>
          <t>CIAN</t>
        </is>
      </c>
      <c r="B212" t="inlineStr">
        <is>
          <t>Казань</t>
        </is>
      </c>
      <c r="C212" t="inlineStr">
        <is>
          <t>Продажа · Городская · Комната</t>
        </is>
      </c>
      <c r="D212" t="inlineStr">
        <is>
          <t>Премиум, ₽/сут</t>
        </is>
      </c>
      <c r="E212" t="n">
        <v>70</v>
      </c>
    </row>
    <row r="213">
      <c r="A213" t="inlineStr">
        <is>
          <t>CIAN</t>
        </is>
      </c>
      <c r="B213" t="inlineStr">
        <is>
          <t>Казань</t>
        </is>
      </c>
      <c r="C213" t="inlineStr">
        <is>
          <t>Продажа · Городская · Комната</t>
        </is>
      </c>
      <c r="D213" t="inlineStr">
        <is>
          <t>Стандарт, ₽/сут</t>
        </is>
      </c>
      <c r="E213" t="n">
        <v>20</v>
      </c>
    </row>
    <row r="214">
      <c r="A214" t="inlineStr">
        <is>
          <t>CIAN</t>
        </is>
      </c>
      <c r="B214" t="inlineStr">
        <is>
          <t>Красноярск</t>
        </is>
      </c>
      <c r="C214" t="inlineStr">
        <is>
          <t>Продажа · Городская · Комната</t>
        </is>
      </c>
      <c r="D214" t="inlineStr">
        <is>
          <t>Публикация, ₽/30 дн</t>
        </is>
      </c>
      <c r="E214" t="n">
        <v>513</v>
      </c>
    </row>
    <row r="215">
      <c r="A215" t="inlineStr">
        <is>
          <t>CIAN</t>
        </is>
      </c>
      <c r="B215" t="inlineStr">
        <is>
          <t>Красноярск</t>
        </is>
      </c>
      <c r="C215" t="inlineStr">
        <is>
          <t>Продажа · Городская · Комната</t>
        </is>
      </c>
      <c r="D215" t="inlineStr">
        <is>
          <t>Топ, ₽/сут</t>
        </is>
      </c>
      <c r="E215" t="inlineStr">
        <is>
          <t>—</t>
        </is>
      </c>
    </row>
    <row r="216">
      <c r="A216" t="inlineStr">
        <is>
          <t>CIAN</t>
        </is>
      </c>
      <c r="B216" t="inlineStr">
        <is>
          <t>Красноярск</t>
        </is>
      </c>
      <c r="C216" t="inlineStr">
        <is>
          <t>Продажа · Городская · Комната</t>
        </is>
      </c>
      <c r="D216" t="inlineStr">
        <is>
          <t>Премиум, ₽/сут</t>
        </is>
      </c>
      <c r="E216" t="inlineStr">
        <is>
          <t>—</t>
        </is>
      </c>
    </row>
    <row r="217">
      <c r="A217" t="inlineStr">
        <is>
          <t>CIAN</t>
        </is>
      </c>
      <c r="B217" t="inlineStr">
        <is>
          <t>Красноярск</t>
        </is>
      </c>
      <c r="C217" t="inlineStr">
        <is>
          <t>Продажа · Городская · Комната</t>
        </is>
      </c>
      <c r="D217" t="inlineStr">
        <is>
          <t>Стандарт, ₽/сут</t>
        </is>
      </c>
      <c r="E217" t="inlineStr">
        <is>
          <t>—</t>
        </is>
      </c>
    </row>
    <row r="218">
      <c r="A218" t="inlineStr">
        <is>
          <t>CIAN</t>
        </is>
      </c>
      <c r="B218" t="inlineStr">
        <is>
          <t>Нижний Новгород</t>
        </is>
      </c>
      <c r="C218" t="inlineStr">
        <is>
          <t>Продажа · Городская · Комната</t>
        </is>
      </c>
      <c r="D218" t="inlineStr">
        <is>
          <t>Публикация, ₽/30 дн</t>
        </is>
      </c>
      <c r="E218" t="n">
        <v>390</v>
      </c>
    </row>
    <row r="219">
      <c r="A219" t="inlineStr">
        <is>
          <t>CIAN</t>
        </is>
      </c>
      <c r="B219" t="inlineStr">
        <is>
          <t>Нижний Новгород</t>
        </is>
      </c>
      <c r="C219" t="inlineStr">
        <is>
          <t>Продажа · Городская · Комната</t>
        </is>
      </c>
      <c r="D219" t="inlineStr">
        <is>
          <t>Топ, ₽/сут</t>
        </is>
      </c>
      <c r="E219" t="n">
        <v>159</v>
      </c>
    </row>
    <row r="220">
      <c r="A220" t="inlineStr">
        <is>
          <t>CIAN</t>
        </is>
      </c>
      <c r="B220" t="inlineStr">
        <is>
          <t>Нижний Новгород</t>
        </is>
      </c>
      <c r="C220" t="inlineStr">
        <is>
          <t>Продажа · Городская · Комната</t>
        </is>
      </c>
      <c r="D220" t="inlineStr">
        <is>
          <t>Премиум, ₽/сут</t>
        </is>
      </c>
      <c r="E220" t="n">
        <v>66</v>
      </c>
    </row>
    <row r="221">
      <c r="A221" t="inlineStr">
        <is>
          <t>CIAN</t>
        </is>
      </c>
      <c r="B221" t="inlineStr">
        <is>
          <t>Нижний Новгород</t>
        </is>
      </c>
      <c r="C221" t="inlineStr">
        <is>
          <t>Продажа · Городская · Комната</t>
        </is>
      </c>
      <c r="D221" t="inlineStr">
        <is>
          <t>Стандарт, ₽/сут</t>
        </is>
      </c>
      <c r="E221" t="n">
        <v>20</v>
      </c>
    </row>
    <row r="222">
      <c r="A222" t="inlineStr">
        <is>
          <t>CIAN</t>
        </is>
      </c>
      <c r="B222" t="inlineStr">
        <is>
          <t>Челябинск</t>
        </is>
      </c>
      <c r="C222" t="inlineStr">
        <is>
          <t>Продажа · Городская · Комната</t>
        </is>
      </c>
      <c r="D222" t="inlineStr">
        <is>
          <t>Публикация, ₽/30 дн</t>
        </is>
      </c>
      <c r="E222" t="n">
        <v>171</v>
      </c>
    </row>
    <row r="223">
      <c r="A223" t="inlineStr">
        <is>
          <t>CIAN</t>
        </is>
      </c>
      <c r="B223" t="inlineStr">
        <is>
          <t>Челябинск</t>
        </is>
      </c>
      <c r="C223" t="inlineStr">
        <is>
          <t>Продажа · Городская · Комната</t>
        </is>
      </c>
      <c r="D223" t="inlineStr">
        <is>
          <t>Топ, ₽/сут</t>
        </is>
      </c>
      <c r="E223" t="n">
        <v>207</v>
      </c>
    </row>
    <row r="224">
      <c r="A224" t="inlineStr">
        <is>
          <t>CIAN</t>
        </is>
      </c>
      <c r="B224" t="inlineStr">
        <is>
          <t>Челябинск</t>
        </is>
      </c>
      <c r="C224" t="inlineStr">
        <is>
          <t>Продажа · Городская · Комната</t>
        </is>
      </c>
      <c r="D224" t="inlineStr">
        <is>
          <t>Премиум, ₽/сут</t>
        </is>
      </c>
      <c r="E224" t="n">
        <v>100</v>
      </c>
    </row>
    <row r="225">
      <c r="A225" t="inlineStr">
        <is>
          <t>CIAN</t>
        </is>
      </c>
      <c r="B225" t="inlineStr">
        <is>
          <t>Челябинск</t>
        </is>
      </c>
      <c r="C225" t="inlineStr">
        <is>
          <t>Продажа · Городская · Комната</t>
        </is>
      </c>
      <c r="D225" t="inlineStr">
        <is>
          <t>Стандарт, ₽/сут</t>
        </is>
      </c>
      <c r="E225" t="n">
        <v>29</v>
      </c>
    </row>
    <row r="226">
      <c r="A226" t="inlineStr">
        <is>
          <t>CIAN</t>
        </is>
      </c>
      <c r="B226" t="inlineStr">
        <is>
          <t>Уфа</t>
        </is>
      </c>
      <c r="C226" t="inlineStr">
        <is>
          <t>Продажа · Городская · Комната</t>
        </is>
      </c>
      <c r="D226" t="inlineStr">
        <is>
          <t>Публикация, ₽/30 дн</t>
        </is>
      </c>
      <c r="E226" t="n">
        <v>225</v>
      </c>
    </row>
    <row r="227">
      <c r="A227" t="inlineStr">
        <is>
          <t>CIAN</t>
        </is>
      </c>
      <c r="B227" t="inlineStr">
        <is>
          <t>Уфа</t>
        </is>
      </c>
      <c r="C227" t="inlineStr">
        <is>
          <t>Продажа · Городская · Комната</t>
        </is>
      </c>
      <c r="D227" t="inlineStr">
        <is>
          <t>Топ, ₽/сут</t>
        </is>
      </c>
      <c r="E227" t="n">
        <v>178</v>
      </c>
    </row>
    <row r="228">
      <c r="A228" t="inlineStr">
        <is>
          <t>CIAN</t>
        </is>
      </c>
      <c r="B228" t="inlineStr">
        <is>
          <t>Уфа</t>
        </is>
      </c>
      <c r="C228" t="inlineStr">
        <is>
          <t>Продажа · Городская · Комната</t>
        </is>
      </c>
      <c r="D228" t="inlineStr">
        <is>
          <t>Премиум, ₽/сут</t>
        </is>
      </c>
      <c r="E228" t="n">
        <v>80</v>
      </c>
    </row>
    <row r="229">
      <c r="A229" t="inlineStr">
        <is>
          <t>CIAN</t>
        </is>
      </c>
      <c r="B229" t="inlineStr">
        <is>
          <t>Уфа</t>
        </is>
      </c>
      <c r="C229" t="inlineStr">
        <is>
          <t>Продажа · Городская · Комната</t>
        </is>
      </c>
      <c r="D229" t="inlineStr">
        <is>
          <t>Стандарт, ₽/сут</t>
        </is>
      </c>
      <c r="E229" t="n">
        <v>23</v>
      </c>
    </row>
    <row r="230">
      <c r="A230" t="inlineStr">
        <is>
          <t>CIAN</t>
        </is>
      </c>
      <c r="B230" t="inlineStr">
        <is>
          <t>Краснодар</t>
        </is>
      </c>
      <c r="C230" t="inlineStr">
        <is>
          <t>Продажа · Городская · Комната</t>
        </is>
      </c>
      <c r="D230" t="inlineStr">
        <is>
          <t>Публикация, ₽/30 дн</t>
        </is>
      </c>
      <c r="E230" t="n">
        <v>342</v>
      </c>
    </row>
    <row r="231">
      <c r="A231" t="inlineStr">
        <is>
          <t>CIAN</t>
        </is>
      </c>
      <c r="B231" t="inlineStr">
        <is>
          <t>Краснодар</t>
        </is>
      </c>
      <c r="C231" t="inlineStr">
        <is>
          <t>Продажа · Городская · Комната</t>
        </is>
      </c>
      <c r="D231" t="inlineStr">
        <is>
          <t>Топ, ₽/сут</t>
        </is>
      </c>
      <c r="E231" t="n">
        <v>141</v>
      </c>
    </row>
    <row r="232">
      <c r="A232" t="inlineStr">
        <is>
          <t>CIAN</t>
        </is>
      </c>
      <c r="B232" t="inlineStr">
        <is>
          <t>Краснодар</t>
        </is>
      </c>
      <c r="C232" t="inlineStr">
        <is>
          <t>Продажа · Городская · Комната</t>
        </is>
      </c>
      <c r="D232" t="inlineStr">
        <is>
          <t>Премиум, ₽/сут</t>
        </is>
      </c>
      <c r="E232" t="n">
        <v>60</v>
      </c>
    </row>
    <row r="233">
      <c r="A233" t="inlineStr">
        <is>
          <t>CIAN</t>
        </is>
      </c>
      <c r="B233" t="inlineStr">
        <is>
          <t>Краснодар</t>
        </is>
      </c>
      <c r="C233" t="inlineStr">
        <is>
          <t>Продажа · Городская · Комната</t>
        </is>
      </c>
      <c r="D233" t="inlineStr">
        <is>
          <t>Стандарт, ₽/сут</t>
        </is>
      </c>
      <c r="E233" t="n">
        <v>18</v>
      </c>
    </row>
    <row r="234">
      <c r="A234" t="inlineStr">
        <is>
          <t>CIAN</t>
        </is>
      </c>
      <c r="B234" t="inlineStr">
        <is>
          <t>Самара</t>
        </is>
      </c>
      <c r="C234" t="inlineStr">
        <is>
          <t>Продажа · Городская · Комната</t>
        </is>
      </c>
      <c r="D234" t="inlineStr">
        <is>
          <t>Публикация, ₽/30 дн</t>
        </is>
      </c>
      <c r="E234" t="n">
        <v>192</v>
      </c>
    </row>
    <row r="235">
      <c r="A235" t="inlineStr">
        <is>
          <t>CIAN</t>
        </is>
      </c>
      <c r="B235" t="inlineStr">
        <is>
          <t>Самара</t>
        </is>
      </c>
      <c r="C235" t="inlineStr">
        <is>
          <t>Продажа · Городская · Комната</t>
        </is>
      </c>
      <c r="D235" t="inlineStr">
        <is>
          <t>Топ, ₽/сут</t>
        </is>
      </c>
      <c r="E235" t="inlineStr">
        <is>
          <t>—</t>
        </is>
      </c>
    </row>
    <row r="236">
      <c r="A236" t="inlineStr">
        <is>
          <t>CIAN</t>
        </is>
      </c>
      <c r="B236" t="inlineStr">
        <is>
          <t>Самара</t>
        </is>
      </c>
      <c r="C236" t="inlineStr">
        <is>
          <t>Продажа · Городская · Комната</t>
        </is>
      </c>
      <c r="D236" t="inlineStr">
        <is>
          <t>Премиум, ₽/сут</t>
        </is>
      </c>
      <c r="E236" t="inlineStr">
        <is>
          <t>—</t>
        </is>
      </c>
    </row>
    <row r="237">
      <c r="A237" t="inlineStr">
        <is>
          <t>CIAN</t>
        </is>
      </c>
      <c r="B237" t="inlineStr">
        <is>
          <t>Самара</t>
        </is>
      </c>
      <c r="C237" t="inlineStr">
        <is>
          <t>Продажа · Городская · Комната</t>
        </is>
      </c>
      <c r="D237" t="inlineStr">
        <is>
          <t>Стандарт, ₽/сут</t>
        </is>
      </c>
      <c r="E237" t="inlineStr">
        <is>
          <t>—</t>
        </is>
      </c>
    </row>
    <row r="238">
      <c r="A238" t="inlineStr">
        <is>
          <t>CIAN</t>
        </is>
      </c>
      <c r="B238" t="inlineStr">
        <is>
          <t>Ростов-на-Дону</t>
        </is>
      </c>
      <c r="C238" t="inlineStr">
        <is>
          <t>Продажа · Городская · Комната</t>
        </is>
      </c>
      <c r="D238" t="inlineStr">
        <is>
          <t>Публикация, ₽/30 дн</t>
        </is>
      </c>
      <c r="E238" t="n">
        <v>468</v>
      </c>
    </row>
    <row r="239">
      <c r="A239" t="inlineStr">
        <is>
          <t>CIAN</t>
        </is>
      </c>
      <c r="B239" t="inlineStr">
        <is>
          <t>Ростов-на-Дону</t>
        </is>
      </c>
      <c r="C239" t="inlineStr">
        <is>
          <t>Продажа · Городская · Комната</t>
        </is>
      </c>
      <c r="D239" t="inlineStr">
        <is>
          <t>Топ, ₽/сут</t>
        </is>
      </c>
      <c r="E239" t="n">
        <v>182</v>
      </c>
    </row>
    <row r="240">
      <c r="A240" t="inlineStr">
        <is>
          <t>CIAN</t>
        </is>
      </c>
      <c r="B240" t="inlineStr">
        <is>
          <t>Ростов-на-Дону</t>
        </is>
      </c>
      <c r="C240" t="inlineStr">
        <is>
          <t>Продажа · Городская · Комната</t>
        </is>
      </c>
      <c r="D240" t="inlineStr">
        <is>
          <t>Премиум, ₽/сут</t>
        </is>
      </c>
      <c r="E240" t="n">
        <v>74</v>
      </c>
    </row>
    <row r="241">
      <c r="A241" t="inlineStr">
        <is>
          <t>CIAN</t>
        </is>
      </c>
      <c r="B241" t="inlineStr">
        <is>
          <t>Ростов-на-Дону</t>
        </is>
      </c>
      <c r="C241" t="inlineStr">
        <is>
          <t>Продажа · Городская · Комната</t>
        </is>
      </c>
      <c r="D241" t="inlineStr">
        <is>
          <t>Стандарт, ₽/сут</t>
        </is>
      </c>
      <c r="E241" t="n">
        <v>22</v>
      </c>
    </row>
    <row r="242">
      <c r="A242" t="inlineStr">
        <is>
          <t>CIAN</t>
        </is>
      </c>
      <c r="B242" t="inlineStr">
        <is>
          <t>Омск</t>
        </is>
      </c>
      <c r="C242" t="inlineStr">
        <is>
          <t>Продажа · Городская · Комната</t>
        </is>
      </c>
      <c r="D242" t="inlineStr">
        <is>
          <t>Публикация, ₽/30 дн</t>
        </is>
      </c>
      <c r="E242" t="n">
        <v>798</v>
      </c>
    </row>
    <row r="243">
      <c r="A243" t="inlineStr">
        <is>
          <t>CIAN</t>
        </is>
      </c>
      <c r="B243" t="inlineStr">
        <is>
          <t>Омск</t>
        </is>
      </c>
      <c r="C243" t="inlineStr">
        <is>
          <t>Продажа · Городская · Комната</t>
        </is>
      </c>
      <c r="D243" t="inlineStr">
        <is>
          <t>Топ, ₽/сут</t>
        </is>
      </c>
      <c r="E243" t="n">
        <v>345</v>
      </c>
    </row>
    <row r="244">
      <c r="A244" t="inlineStr">
        <is>
          <t>CIAN</t>
        </is>
      </c>
      <c r="B244" t="inlineStr">
        <is>
          <t>Омск</t>
        </is>
      </c>
      <c r="C244" t="inlineStr">
        <is>
          <t>Продажа · Городская · Комната</t>
        </is>
      </c>
      <c r="D244" t="inlineStr">
        <is>
          <t>Премиум, ₽/сут</t>
        </is>
      </c>
      <c r="E244" t="n">
        <v>196</v>
      </c>
    </row>
    <row r="245">
      <c r="A245" t="inlineStr">
        <is>
          <t>CIAN</t>
        </is>
      </c>
      <c r="B245" t="inlineStr">
        <is>
          <t>Омск</t>
        </is>
      </c>
      <c r="C245" t="inlineStr">
        <is>
          <t>Продажа · Городская · Комната</t>
        </is>
      </c>
      <c r="D245" t="inlineStr">
        <is>
          <t>Стандарт, ₽/сут</t>
        </is>
      </c>
      <c r="E245" t="n">
        <v>60</v>
      </c>
    </row>
    <row r="246">
      <c r="A246" t="inlineStr">
        <is>
          <t>CIAN</t>
        </is>
      </c>
      <c r="B246" t="inlineStr">
        <is>
          <t>Воронеж</t>
        </is>
      </c>
      <c r="C246" t="inlineStr">
        <is>
          <t>Продажа · Городская · Комната</t>
        </is>
      </c>
      <c r="D246" t="inlineStr">
        <is>
          <t>Публикация, ₽/30 дн</t>
        </is>
      </c>
      <c r="E246" t="n">
        <v>126</v>
      </c>
    </row>
    <row r="247">
      <c r="A247" t="inlineStr">
        <is>
          <t>CIAN</t>
        </is>
      </c>
      <c r="B247" t="inlineStr">
        <is>
          <t>Воронеж</t>
        </is>
      </c>
      <c r="C247" t="inlineStr">
        <is>
          <t>Продажа · Городская · Комната</t>
        </is>
      </c>
      <c r="D247" t="inlineStr">
        <is>
          <t>Топ, ₽/сут</t>
        </is>
      </c>
      <c r="E247" t="inlineStr">
        <is>
          <t>—</t>
        </is>
      </c>
    </row>
    <row r="248">
      <c r="A248" t="inlineStr">
        <is>
          <t>CIAN</t>
        </is>
      </c>
      <c r="B248" t="inlineStr">
        <is>
          <t>Воронеж</t>
        </is>
      </c>
      <c r="C248" t="inlineStr">
        <is>
          <t>Продажа · Городская · Комната</t>
        </is>
      </c>
      <c r="D248" t="inlineStr">
        <is>
          <t>Премиум, ₽/сут</t>
        </is>
      </c>
      <c r="E248" t="inlineStr">
        <is>
          <t>—</t>
        </is>
      </c>
    </row>
    <row r="249">
      <c r="A249" t="inlineStr">
        <is>
          <t>CIAN</t>
        </is>
      </c>
      <c r="B249" t="inlineStr">
        <is>
          <t>Воронеж</t>
        </is>
      </c>
      <c r="C249" t="inlineStr">
        <is>
          <t>Продажа · Городская · Комната</t>
        </is>
      </c>
      <c r="D249" t="inlineStr">
        <is>
          <t>Стандарт, ₽/сут</t>
        </is>
      </c>
      <c r="E249" t="inlineStr">
        <is>
          <t>—</t>
        </is>
      </c>
    </row>
    <row r="250">
      <c r="A250" t="inlineStr">
        <is>
          <t>CIAN</t>
        </is>
      </c>
      <c r="B250" t="inlineStr">
        <is>
          <t>Пермь</t>
        </is>
      </c>
      <c r="C250" t="inlineStr">
        <is>
          <t>Продажа · Городская · Комната</t>
        </is>
      </c>
      <c r="D250" t="inlineStr">
        <is>
          <t>Публикация, ₽/30 дн</t>
        </is>
      </c>
      <c r="E250" t="n">
        <v>99</v>
      </c>
    </row>
    <row r="251">
      <c r="A251" t="inlineStr">
        <is>
          <t>CIAN</t>
        </is>
      </c>
      <c r="B251" t="inlineStr">
        <is>
          <t>Пермь</t>
        </is>
      </c>
      <c r="C251" t="inlineStr">
        <is>
          <t>Продажа · Городская · Комната</t>
        </is>
      </c>
      <c r="D251" t="inlineStr">
        <is>
          <t>Топ, ₽/сут</t>
        </is>
      </c>
      <c r="E251" t="inlineStr">
        <is>
          <t>—</t>
        </is>
      </c>
    </row>
    <row r="252">
      <c r="A252" t="inlineStr">
        <is>
          <t>CIAN</t>
        </is>
      </c>
      <c r="B252" t="inlineStr">
        <is>
          <t>Пермь</t>
        </is>
      </c>
      <c r="C252" t="inlineStr">
        <is>
          <t>Продажа · Городская · Комната</t>
        </is>
      </c>
      <c r="D252" t="inlineStr">
        <is>
          <t>Премиум, ₽/сут</t>
        </is>
      </c>
      <c r="E252" t="inlineStr">
        <is>
          <t>—</t>
        </is>
      </c>
    </row>
    <row r="253">
      <c r="A253" t="inlineStr">
        <is>
          <t>CIAN</t>
        </is>
      </c>
      <c r="B253" t="inlineStr">
        <is>
          <t>Пермь</t>
        </is>
      </c>
      <c r="C253" t="inlineStr">
        <is>
          <t>Продажа · Городская · Комната</t>
        </is>
      </c>
      <c r="D253" t="inlineStr">
        <is>
          <t>Стандарт, ₽/сут</t>
        </is>
      </c>
      <c r="E253" t="inlineStr">
        <is>
          <t>—</t>
        </is>
      </c>
    </row>
    <row r="254">
      <c r="A254" t="inlineStr">
        <is>
          <t>CIAN</t>
        </is>
      </c>
      <c r="B254" t="inlineStr">
        <is>
          <t>Волгоград</t>
        </is>
      </c>
      <c r="C254" t="inlineStr">
        <is>
          <t>Продажа · Городская · Комната</t>
        </is>
      </c>
      <c r="D254" t="inlineStr">
        <is>
          <t>Публикация, ₽/30 дн</t>
        </is>
      </c>
      <c r="E254" t="n">
        <v>246</v>
      </c>
    </row>
    <row r="255">
      <c r="A255" t="inlineStr">
        <is>
          <t>CIAN</t>
        </is>
      </c>
      <c r="B255" t="inlineStr">
        <is>
          <t>Волгоград</t>
        </is>
      </c>
      <c r="C255" t="inlineStr">
        <is>
          <t>Продажа · Городская · Комната</t>
        </is>
      </c>
      <c r="D255" t="inlineStr">
        <is>
          <t>Топ, ₽/сут</t>
        </is>
      </c>
      <c r="E255" t="inlineStr">
        <is>
          <t>—</t>
        </is>
      </c>
    </row>
    <row r="256">
      <c r="A256" t="inlineStr">
        <is>
          <t>CIAN</t>
        </is>
      </c>
      <c r="B256" t="inlineStr">
        <is>
          <t>Волгоград</t>
        </is>
      </c>
      <c r="C256" t="inlineStr">
        <is>
          <t>Продажа · Городская · Комната</t>
        </is>
      </c>
      <c r="D256" t="inlineStr">
        <is>
          <t>Премиум, ₽/сут</t>
        </is>
      </c>
      <c r="E256" t="inlineStr">
        <is>
          <t>—</t>
        </is>
      </c>
    </row>
    <row r="257">
      <c r="A257" t="inlineStr">
        <is>
          <t>CIAN</t>
        </is>
      </c>
      <c r="B257" t="inlineStr">
        <is>
          <t>Волгоград</t>
        </is>
      </c>
      <c r="C257" t="inlineStr">
        <is>
          <t>Продажа · Городская · Комната</t>
        </is>
      </c>
      <c r="D257" t="inlineStr">
        <is>
          <t>Стандарт, ₽/сут</t>
        </is>
      </c>
      <c r="E257" t="inlineStr">
        <is>
          <t>—</t>
        </is>
      </c>
    </row>
    <row r="258">
      <c r="A258" t="inlineStr">
        <is>
          <t>CIAN</t>
        </is>
      </c>
      <c r="B258" t="inlineStr">
        <is>
          <t>Москва</t>
        </is>
      </c>
      <c r="C258" t="inlineStr">
        <is>
          <t>Продажа · Городская · Квартира в новостройке</t>
        </is>
      </c>
      <c r="D258" t="inlineStr">
        <is>
          <t>Публикация, ₽/30 дн</t>
        </is>
      </c>
      <c r="E258" t="n">
        <v>3390</v>
      </c>
    </row>
    <row r="259">
      <c r="A259" t="inlineStr">
        <is>
          <t>CIAN</t>
        </is>
      </c>
      <c r="B259" t="inlineStr">
        <is>
          <t>Москва</t>
        </is>
      </c>
      <c r="C259" t="inlineStr">
        <is>
          <t>Продажа · Городская · Квартира в новостройке</t>
        </is>
      </c>
      <c r="D259" t="inlineStr">
        <is>
          <t>Топ, ₽/сут</t>
        </is>
      </c>
      <c r="E259" t="n">
        <v>1213</v>
      </c>
    </row>
    <row r="260">
      <c r="A260" t="inlineStr">
        <is>
          <t>CIAN</t>
        </is>
      </c>
      <c r="B260" t="inlineStr">
        <is>
          <t>Москва</t>
        </is>
      </c>
      <c r="C260" t="inlineStr">
        <is>
          <t>Продажа · Городская · Квартира в новостройке</t>
        </is>
      </c>
      <c r="D260" t="inlineStr">
        <is>
          <t>Премиум, ₽/сут</t>
        </is>
      </c>
      <c r="E260" t="n">
        <v>492</v>
      </c>
    </row>
    <row r="261">
      <c r="A261" t="inlineStr">
        <is>
          <t>CIAN</t>
        </is>
      </c>
      <c r="B261" t="inlineStr">
        <is>
          <t>Москва</t>
        </is>
      </c>
      <c r="C261" t="inlineStr">
        <is>
          <t>Продажа · Городская · Квартира в новостройке</t>
        </is>
      </c>
      <c r="D261" t="inlineStr">
        <is>
          <t>Стандарт, ₽/сут</t>
        </is>
      </c>
      <c r="E261" t="n">
        <v>162</v>
      </c>
    </row>
    <row r="262">
      <c r="A262" t="inlineStr">
        <is>
          <t>CIAN</t>
        </is>
      </c>
      <c r="B262" t="inlineStr">
        <is>
          <t>Санкт-Петербург</t>
        </is>
      </c>
      <c r="C262" t="inlineStr">
        <is>
          <t>Продажа · Городская · Квартира в новостройке</t>
        </is>
      </c>
      <c r="D262" t="inlineStr">
        <is>
          <t>Публикация, ₽/30 дн</t>
        </is>
      </c>
      <c r="E262" t="n">
        <v>1560</v>
      </c>
    </row>
    <row r="263">
      <c r="A263" t="inlineStr">
        <is>
          <t>CIAN</t>
        </is>
      </c>
      <c r="B263" t="inlineStr">
        <is>
          <t>Санкт-Петербург</t>
        </is>
      </c>
      <c r="C263" t="inlineStr">
        <is>
          <t>Продажа · Городская · Квартира в новостройке</t>
        </is>
      </c>
      <c r="D263" t="inlineStr">
        <is>
          <t>Топ, ₽/сут</t>
        </is>
      </c>
      <c r="E263" t="n">
        <v>538</v>
      </c>
    </row>
    <row r="264">
      <c r="A264" t="inlineStr">
        <is>
          <t>CIAN</t>
        </is>
      </c>
      <c r="B264" t="inlineStr">
        <is>
          <t>Санкт-Петербург</t>
        </is>
      </c>
      <c r="C264" t="inlineStr">
        <is>
          <t>Продажа · Городская · Квартира в новостройке</t>
        </is>
      </c>
      <c r="D264" t="inlineStr">
        <is>
          <t>Премиум, ₽/сут</t>
        </is>
      </c>
      <c r="E264" t="n">
        <v>230</v>
      </c>
    </row>
    <row r="265">
      <c r="A265" t="inlineStr">
        <is>
          <t>CIAN</t>
        </is>
      </c>
      <c r="B265" t="inlineStr">
        <is>
          <t>Санкт-Петербург</t>
        </is>
      </c>
      <c r="C265" t="inlineStr">
        <is>
          <t>Продажа · Городская · Квартира в новостройке</t>
        </is>
      </c>
      <c r="D265" t="inlineStr">
        <is>
          <t>Стандарт, ₽/сут</t>
        </is>
      </c>
      <c r="E265" t="n">
        <v>97</v>
      </c>
    </row>
    <row r="266">
      <c r="A266" t="inlineStr">
        <is>
          <t>CIAN</t>
        </is>
      </c>
      <c r="B266" t="inlineStr">
        <is>
          <t>Новосибирск</t>
        </is>
      </c>
      <c r="C266" t="inlineStr">
        <is>
          <t>Продажа · Городская · Квартира в новостройке</t>
        </is>
      </c>
      <c r="D266" t="inlineStr">
        <is>
          <t>Публикация, ₽/30 дн</t>
        </is>
      </c>
      <c r="E266" t="n">
        <v>1596</v>
      </c>
    </row>
    <row r="267">
      <c r="A267" t="inlineStr">
        <is>
          <t>CIAN</t>
        </is>
      </c>
      <c r="B267" t="inlineStr">
        <is>
          <t>Новосибирск</t>
        </is>
      </c>
      <c r="C267" t="inlineStr">
        <is>
          <t>Продажа · Городская · Квартира в новостройке</t>
        </is>
      </c>
      <c r="D267" t="inlineStr">
        <is>
          <t>Топ, ₽/сут</t>
        </is>
      </c>
      <c r="E267" t="n">
        <v>357</v>
      </c>
    </row>
    <row r="268">
      <c r="A268" t="inlineStr">
        <is>
          <t>CIAN</t>
        </is>
      </c>
      <c r="B268" t="inlineStr">
        <is>
          <t>Новосибирск</t>
        </is>
      </c>
      <c r="C268" t="inlineStr">
        <is>
          <t>Продажа · Городская · Квартира в новостройке</t>
        </is>
      </c>
      <c r="D268" t="inlineStr">
        <is>
          <t>Премиум, ₽/сут</t>
        </is>
      </c>
      <c r="E268" t="n">
        <v>161</v>
      </c>
    </row>
    <row r="269">
      <c r="A269" t="inlineStr">
        <is>
          <t>CIAN</t>
        </is>
      </c>
      <c r="B269" t="inlineStr">
        <is>
          <t>Новосибирск</t>
        </is>
      </c>
      <c r="C269" t="inlineStr">
        <is>
          <t>Продажа · Городская · Квартира в новостройке</t>
        </is>
      </c>
      <c r="D269" t="inlineStr">
        <is>
          <t>Стандарт, ₽/сут</t>
        </is>
      </c>
      <c r="E269" t="n">
        <v>48</v>
      </c>
    </row>
    <row r="270">
      <c r="A270" t="inlineStr">
        <is>
          <t>CIAN</t>
        </is>
      </c>
      <c r="B270" t="inlineStr">
        <is>
          <t>Екатеринбург</t>
        </is>
      </c>
      <c r="C270" t="inlineStr">
        <is>
          <t>Продажа · Городская · Квартира в новостройке</t>
        </is>
      </c>
      <c r="D270" t="inlineStr">
        <is>
          <t>Публикация, ₽/30 дн</t>
        </is>
      </c>
      <c r="E270" t="n">
        <v>489</v>
      </c>
    </row>
    <row r="271">
      <c r="A271" t="inlineStr">
        <is>
          <t>CIAN</t>
        </is>
      </c>
      <c r="B271" t="inlineStr">
        <is>
          <t>Екатеринбург</t>
        </is>
      </c>
      <c r="C271" t="inlineStr">
        <is>
          <t>Продажа · Городская · Квартира в новостройке</t>
        </is>
      </c>
      <c r="D271" t="inlineStr">
        <is>
          <t>Топ, ₽/сут</t>
        </is>
      </c>
      <c r="E271" t="n">
        <v>390</v>
      </c>
    </row>
    <row r="272">
      <c r="A272" t="inlineStr">
        <is>
          <t>CIAN</t>
        </is>
      </c>
      <c r="B272" t="inlineStr">
        <is>
          <t>Екатеринбург</t>
        </is>
      </c>
      <c r="C272" t="inlineStr">
        <is>
          <t>Продажа · Городская · Квартира в новостройке</t>
        </is>
      </c>
      <c r="D272" t="inlineStr">
        <is>
          <t>Премиум, ₽/сут</t>
        </is>
      </c>
      <c r="E272" t="n">
        <v>194</v>
      </c>
    </row>
    <row r="273">
      <c r="A273" t="inlineStr">
        <is>
          <t>CIAN</t>
        </is>
      </c>
      <c r="B273" t="inlineStr">
        <is>
          <t>Екатеринбург</t>
        </is>
      </c>
      <c r="C273" t="inlineStr">
        <is>
          <t>Продажа · Городская · Квартира в новостройке</t>
        </is>
      </c>
      <c r="D273" t="inlineStr">
        <is>
          <t>Стандарт, ₽/сут</t>
        </is>
      </c>
      <c r="E273" t="n">
        <v>59</v>
      </c>
    </row>
    <row r="274">
      <c r="A274" t="inlineStr">
        <is>
          <t>CIAN</t>
        </is>
      </c>
      <c r="B274" t="inlineStr">
        <is>
          <t>Казань</t>
        </is>
      </c>
      <c r="C274" t="inlineStr">
        <is>
          <t>Продажа · Городская · Квартира в новостройке</t>
        </is>
      </c>
      <c r="D274" t="inlineStr">
        <is>
          <t>Публикация, ₽/30 дн</t>
        </is>
      </c>
      <c r="E274" t="n">
        <v>354</v>
      </c>
    </row>
    <row r="275">
      <c r="A275" t="inlineStr">
        <is>
          <t>CIAN</t>
        </is>
      </c>
      <c r="B275" t="inlineStr">
        <is>
          <t>Казань</t>
        </is>
      </c>
      <c r="C275" t="inlineStr">
        <is>
          <t>Продажа · Городская · Квартира в новостройке</t>
        </is>
      </c>
      <c r="D275" t="inlineStr">
        <is>
          <t>Топ, ₽/сут</t>
        </is>
      </c>
      <c r="E275" t="n">
        <v>222</v>
      </c>
    </row>
    <row r="276">
      <c r="A276" t="inlineStr">
        <is>
          <t>CIAN</t>
        </is>
      </c>
      <c r="B276" t="inlineStr">
        <is>
          <t>Казань</t>
        </is>
      </c>
      <c r="C276" t="inlineStr">
        <is>
          <t>Продажа · Городская · Квартира в новостройке</t>
        </is>
      </c>
      <c r="D276" t="inlineStr">
        <is>
          <t>Премиум, ₽/сут</t>
        </is>
      </c>
      <c r="E276" t="n">
        <v>86</v>
      </c>
    </row>
    <row r="277">
      <c r="A277" t="inlineStr">
        <is>
          <t>CIAN</t>
        </is>
      </c>
      <c r="B277" t="inlineStr">
        <is>
          <t>Казань</t>
        </is>
      </c>
      <c r="C277" t="inlineStr">
        <is>
          <t>Продажа · Городская · Квартира в новостройке</t>
        </is>
      </c>
      <c r="D277" t="inlineStr">
        <is>
          <t>Стандарт, ₽/сут</t>
        </is>
      </c>
      <c r="E277" t="n">
        <v>25</v>
      </c>
    </row>
    <row r="278">
      <c r="A278" t="inlineStr">
        <is>
          <t>CIAN</t>
        </is>
      </c>
      <c r="B278" t="inlineStr">
        <is>
          <t>Красноярск</t>
        </is>
      </c>
      <c r="C278" t="inlineStr">
        <is>
          <t>Продажа · Городская · Квартира в новостройке</t>
        </is>
      </c>
      <c r="D278" t="inlineStr">
        <is>
          <t>Публикация, ₽/30 дн</t>
        </is>
      </c>
      <c r="E278" t="n">
        <v>573</v>
      </c>
    </row>
    <row r="279">
      <c r="A279" t="inlineStr">
        <is>
          <t>CIAN</t>
        </is>
      </c>
      <c r="B279" t="inlineStr">
        <is>
          <t>Красноярск</t>
        </is>
      </c>
      <c r="C279" t="inlineStr">
        <is>
          <t>Продажа · Городская · Квартира в новостройке</t>
        </is>
      </c>
      <c r="D279" t="inlineStr">
        <is>
          <t>Топ, ₽/сут</t>
        </is>
      </c>
      <c r="E279" t="inlineStr">
        <is>
          <t>—</t>
        </is>
      </c>
    </row>
    <row r="280">
      <c r="A280" t="inlineStr">
        <is>
          <t>CIAN</t>
        </is>
      </c>
      <c r="B280" t="inlineStr">
        <is>
          <t>Красноярск</t>
        </is>
      </c>
      <c r="C280" t="inlineStr">
        <is>
          <t>Продажа · Городская · Квартира в новостройке</t>
        </is>
      </c>
      <c r="D280" t="inlineStr">
        <is>
          <t>Премиум, ₽/сут</t>
        </is>
      </c>
      <c r="E280" t="inlineStr">
        <is>
          <t>—</t>
        </is>
      </c>
    </row>
    <row r="281">
      <c r="A281" t="inlineStr">
        <is>
          <t>CIAN</t>
        </is>
      </c>
      <c r="B281" t="inlineStr">
        <is>
          <t>Красноярск</t>
        </is>
      </c>
      <c r="C281" t="inlineStr">
        <is>
          <t>Продажа · Городская · Квартира в новостройке</t>
        </is>
      </c>
      <c r="D281" t="inlineStr">
        <is>
          <t>Стандарт, ₽/сут</t>
        </is>
      </c>
      <c r="E281" t="inlineStr">
        <is>
          <t>—</t>
        </is>
      </c>
    </row>
    <row r="282">
      <c r="A282" t="inlineStr">
        <is>
          <t>CIAN</t>
        </is>
      </c>
      <c r="B282" t="inlineStr">
        <is>
          <t>Нижний Новгород</t>
        </is>
      </c>
      <c r="C282" t="inlineStr">
        <is>
          <t>Продажа · Городская · Квартира в новостройке</t>
        </is>
      </c>
      <c r="D282" t="inlineStr">
        <is>
          <t>Публикация, ₽/30 дн</t>
        </is>
      </c>
      <c r="E282" t="n">
        <v>441</v>
      </c>
    </row>
    <row r="283">
      <c r="A283" t="inlineStr">
        <is>
          <t>CIAN</t>
        </is>
      </c>
      <c r="B283" t="inlineStr">
        <is>
          <t>Нижний Новгород</t>
        </is>
      </c>
      <c r="C283" t="inlineStr">
        <is>
          <t>Продажа · Городская · Квартира в новостройке</t>
        </is>
      </c>
      <c r="D283" t="inlineStr">
        <is>
          <t>Топ, ₽/сут</t>
        </is>
      </c>
      <c r="E283" t="n">
        <v>190</v>
      </c>
    </row>
    <row r="284">
      <c r="A284" t="inlineStr">
        <is>
          <t>CIAN</t>
        </is>
      </c>
      <c r="B284" t="inlineStr">
        <is>
          <t>Нижний Новгород</t>
        </is>
      </c>
      <c r="C284" t="inlineStr">
        <is>
          <t>Продажа · Городская · Квартира в новостройке</t>
        </is>
      </c>
      <c r="D284" t="inlineStr">
        <is>
          <t>Премиум, ₽/сут</t>
        </is>
      </c>
      <c r="E284" t="n">
        <v>72</v>
      </c>
    </row>
    <row r="285">
      <c r="A285" t="inlineStr">
        <is>
          <t>CIAN</t>
        </is>
      </c>
      <c r="B285" t="inlineStr">
        <is>
          <t>Нижний Новгород</t>
        </is>
      </c>
      <c r="C285" t="inlineStr">
        <is>
          <t>Продажа · Городская · Квартира в новостройке</t>
        </is>
      </c>
      <c r="D285" t="inlineStr">
        <is>
          <t>Стандарт, ₽/сут</t>
        </is>
      </c>
      <c r="E285" t="n">
        <v>22</v>
      </c>
    </row>
    <row r="286">
      <c r="A286" t="inlineStr">
        <is>
          <t>CIAN</t>
        </is>
      </c>
      <c r="B286" t="inlineStr">
        <is>
          <t>Челябинск</t>
        </is>
      </c>
      <c r="C286" t="inlineStr">
        <is>
          <t>Продажа · Городская · Квартира в новостройке</t>
        </is>
      </c>
      <c r="D286" t="inlineStr">
        <is>
          <t>Публикация, ₽/30 дн</t>
        </is>
      </c>
      <c r="E286" t="n">
        <v>291</v>
      </c>
    </row>
    <row r="287">
      <c r="A287" t="inlineStr">
        <is>
          <t>CIAN</t>
        </is>
      </c>
      <c r="B287" t="inlineStr">
        <is>
          <t>Челябинск</t>
        </is>
      </c>
      <c r="C287" t="inlineStr">
        <is>
          <t>Продажа · Городская · Квартира в новостройке</t>
        </is>
      </c>
      <c r="D287" t="inlineStr">
        <is>
          <t>Топ, ₽/сут</t>
        </is>
      </c>
      <c r="E287" t="n">
        <v>226</v>
      </c>
    </row>
    <row r="288">
      <c r="A288" t="inlineStr">
        <is>
          <t>CIAN</t>
        </is>
      </c>
      <c r="B288" t="inlineStr">
        <is>
          <t>Челябинск</t>
        </is>
      </c>
      <c r="C288" t="inlineStr">
        <is>
          <t>Продажа · Городская · Квартира в новостройке</t>
        </is>
      </c>
      <c r="D288" t="inlineStr">
        <is>
          <t>Премиум, ₽/сут</t>
        </is>
      </c>
      <c r="E288" t="n">
        <v>105</v>
      </c>
    </row>
    <row r="289">
      <c r="A289" t="inlineStr">
        <is>
          <t>CIAN</t>
        </is>
      </c>
      <c r="B289" t="inlineStr">
        <is>
          <t>Челябинск</t>
        </is>
      </c>
      <c r="C289" t="inlineStr">
        <is>
          <t>Продажа · Городская · Квартира в новостройке</t>
        </is>
      </c>
      <c r="D289" t="inlineStr">
        <is>
          <t>Стандарт, ₽/сут</t>
        </is>
      </c>
      <c r="E289" t="n">
        <v>30</v>
      </c>
    </row>
    <row r="290">
      <c r="A290" t="inlineStr">
        <is>
          <t>CIAN</t>
        </is>
      </c>
      <c r="B290" t="inlineStr">
        <is>
          <t>Уфа</t>
        </is>
      </c>
      <c r="C290" t="inlineStr">
        <is>
          <t>Продажа · Городская · Квартира в новостройке</t>
        </is>
      </c>
      <c r="D290" t="inlineStr">
        <is>
          <t>Публикация, ₽/30 дн</t>
        </is>
      </c>
      <c r="E290" t="n">
        <v>213</v>
      </c>
    </row>
    <row r="291">
      <c r="A291" t="inlineStr">
        <is>
          <t>CIAN</t>
        </is>
      </c>
      <c r="B291" t="inlineStr">
        <is>
          <t>Уфа</t>
        </is>
      </c>
      <c r="C291" t="inlineStr">
        <is>
          <t>Продажа · Городская · Квартира в новостройке</t>
        </is>
      </c>
      <c r="D291" t="inlineStr">
        <is>
          <t>Топ, ₽/сут</t>
        </is>
      </c>
      <c r="E291" t="n">
        <v>166</v>
      </c>
    </row>
    <row r="292">
      <c r="A292" t="inlineStr">
        <is>
          <t>CIAN</t>
        </is>
      </c>
      <c r="B292" t="inlineStr">
        <is>
          <t>Уфа</t>
        </is>
      </c>
      <c r="C292" t="inlineStr">
        <is>
          <t>Продажа · Городская · Квартира в новостройке</t>
        </is>
      </c>
      <c r="D292" t="inlineStr">
        <is>
          <t>Премиум, ₽/сут</t>
        </is>
      </c>
      <c r="E292" t="n">
        <v>76</v>
      </c>
    </row>
    <row r="293">
      <c r="A293" t="inlineStr">
        <is>
          <t>CIAN</t>
        </is>
      </c>
      <c r="B293" t="inlineStr">
        <is>
          <t>Уфа</t>
        </is>
      </c>
      <c r="C293" t="inlineStr">
        <is>
          <t>Продажа · Городская · Квартира в новостройке</t>
        </is>
      </c>
      <c r="D293" t="inlineStr">
        <is>
          <t>Стандарт, ₽/сут</t>
        </is>
      </c>
      <c r="E293" t="n">
        <v>21</v>
      </c>
    </row>
    <row r="294">
      <c r="A294" t="inlineStr">
        <is>
          <t>CIAN</t>
        </is>
      </c>
      <c r="B294" t="inlineStr">
        <is>
          <t>Краснодар</t>
        </is>
      </c>
      <c r="C294" t="inlineStr">
        <is>
          <t>Продажа · Городская · Квартира в новостройке</t>
        </is>
      </c>
      <c r="D294" t="inlineStr">
        <is>
          <t>Публикация, ₽/30 дн</t>
        </is>
      </c>
      <c r="E294" t="n">
        <v>468</v>
      </c>
    </row>
    <row r="295">
      <c r="A295" t="inlineStr">
        <is>
          <t>CIAN</t>
        </is>
      </c>
      <c r="B295" t="inlineStr">
        <is>
          <t>Краснодар</t>
        </is>
      </c>
      <c r="C295" t="inlineStr">
        <is>
          <t>Продажа · Городская · Квартира в новостройке</t>
        </is>
      </c>
      <c r="D295" t="inlineStr">
        <is>
          <t>Топ, ₽/сут</t>
        </is>
      </c>
      <c r="E295" t="n">
        <v>167</v>
      </c>
    </row>
    <row r="296">
      <c r="A296" t="inlineStr">
        <is>
          <t>CIAN</t>
        </is>
      </c>
      <c r="B296" t="inlineStr">
        <is>
          <t>Краснодар</t>
        </is>
      </c>
      <c r="C296" t="inlineStr">
        <is>
          <t>Продажа · Городская · Квартира в новостройке</t>
        </is>
      </c>
      <c r="D296" t="inlineStr">
        <is>
          <t>Премиум, ₽/сут</t>
        </is>
      </c>
      <c r="E296" t="n">
        <v>65</v>
      </c>
    </row>
    <row r="297">
      <c r="A297" t="inlineStr">
        <is>
          <t>CIAN</t>
        </is>
      </c>
      <c r="B297" t="inlineStr">
        <is>
          <t>Краснодар</t>
        </is>
      </c>
      <c r="C297" t="inlineStr">
        <is>
          <t>Продажа · Городская · Квартира в новостройке</t>
        </is>
      </c>
      <c r="D297" t="inlineStr">
        <is>
          <t>Стандарт, ₽/сут</t>
        </is>
      </c>
      <c r="E297" t="n">
        <v>20</v>
      </c>
    </row>
    <row r="298">
      <c r="A298" t="inlineStr">
        <is>
          <t>CIAN</t>
        </is>
      </c>
      <c r="B298" t="inlineStr">
        <is>
          <t>Самара</t>
        </is>
      </c>
      <c r="C298" t="inlineStr">
        <is>
          <t>Продажа · Городская · Квартира в новостройке</t>
        </is>
      </c>
      <c r="D298" t="inlineStr">
        <is>
          <t>Публикация, ₽/30 дн</t>
        </is>
      </c>
      <c r="E298" t="n">
        <v>354</v>
      </c>
    </row>
    <row r="299">
      <c r="A299" t="inlineStr">
        <is>
          <t>CIAN</t>
        </is>
      </c>
      <c r="B299" t="inlineStr">
        <is>
          <t>Самара</t>
        </is>
      </c>
      <c r="C299" t="inlineStr">
        <is>
          <t>Продажа · Городская · Квартира в новостройке</t>
        </is>
      </c>
      <c r="D299" t="inlineStr">
        <is>
          <t>Топ, ₽/сут</t>
        </is>
      </c>
      <c r="E299" t="inlineStr">
        <is>
          <t>—</t>
        </is>
      </c>
    </row>
    <row r="300">
      <c r="A300" t="inlineStr">
        <is>
          <t>CIAN</t>
        </is>
      </c>
      <c r="B300" t="inlineStr">
        <is>
          <t>Самара</t>
        </is>
      </c>
      <c r="C300" t="inlineStr">
        <is>
          <t>Продажа · Городская · Квартира в новостройке</t>
        </is>
      </c>
      <c r="D300" t="inlineStr">
        <is>
          <t>Премиум, ₽/сут</t>
        </is>
      </c>
      <c r="E300" t="inlineStr">
        <is>
          <t>—</t>
        </is>
      </c>
    </row>
    <row r="301">
      <c r="A301" t="inlineStr">
        <is>
          <t>CIAN</t>
        </is>
      </c>
      <c r="B301" t="inlineStr">
        <is>
          <t>Самара</t>
        </is>
      </c>
      <c r="C301" t="inlineStr">
        <is>
          <t>Продажа · Городская · Квартира в новостройке</t>
        </is>
      </c>
      <c r="D301" t="inlineStr">
        <is>
          <t>Стандарт, ₽/сут</t>
        </is>
      </c>
      <c r="E301" t="inlineStr">
        <is>
          <t>—</t>
        </is>
      </c>
    </row>
    <row r="302">
      <c r="A302" t="inlineStr">
        <is>
          <t>CIAN</t>
        </is>
      </c>
      <c r="B302" t="inlineStr">
        <is>
          <t>Ростов-на-Дону</t>
        </is>
      </c>
      <c r="C302" t="inlineStr">
        <is>
          <t>Продажа · Городская · Квартира в новостройке</t>
        </is>
      </c>
      <c r="D302" t="inlineStr">
        <is>
          <t>Публикация, ₽/30 дн</t>
        </is>
      </c>
      <c r="E302" t="n">
        <v>468</v>
      </c>
    </row>
    <row r="303">
      <c r="A303" t="inlineStr">
        <is>
          <t>CIAN</t>
        </is>
      </c>
      <c r="B303" t="inlineStr">
        <is>
          <t>Ростов-на-Дону</t>
        </is>
      </c>
      <c r="C303" t="inlineStr">
        <is>
          <t>Продажа · Городская · Квартира в новостройке</t>
        </is>
      </c>
      <c r="D303" t="inlineStr">
        <is>
          <t>Топ, ₽/сут</t>
        </is>
      </c>
      <c r="E303" t="n">
        <v>182</v>
      </c>
    </row>
    <row r="304">
      <c r="A304" t="inlineStr">
        <is>
          <t>CIAN</t>
        </is>
      </c>
      <c r="B304" t="inlineStr">
        <is>
          <t>Ростов-на-Дону</t>
        </is>
      </c>
      <c r="C304" t="inlineStr">
        <is>
          <t>Продажа · Городская · Квартира в новостройке</t>
        </is>
      </c>
      <c r="D304" t="inlineStr">
        <is>
          <t>Премиум, ₽/сут</t>
        </is>
      </c>
      <c r="E304" t="n">
        <v>74</v>
      </c>
    </row>
    <row r="305">
      <c r="A305" t="inlineStr">
        <is>
          <t>CIAN</t>
        </is>
      </c>
      <c r="B305" t="inlineStr">
        <is>
          <t>Ростов-на-Дону</t>
        </is>
      </c>
      <c r="C305" t="inlineStr">
        <is>
          <t>Продажа · Городская · Квартира в новостройке</t>
        </is>
      </c>
      <c r="D305" t="inlineStr">
        <is>
          <t>Стандарт, ₽/сут</t>
        </is>
      </c>
      <c r="E305" t="n">
        <v>22</v>
      </c>
    </row>
    <row r="306">
      <c r="A306" t="inlineStr">
        <is>
          <t>CIAN</t>
        </is>
      </c>
      <c r="B306" t="inlineStr">
        <is>
          <t>Омск</t>
        </is>
      </c>
      <c r="C306" t="inlineStr">
        <is>
          <t>Продажа · Городская · Квартира в новостройке</t>
        </is>
      </c>
      <c r="D306" t="inlineStr">
        <is>
          <t>Публикация, ₽/30 дн</t>
        </is>
      </c>
      <c r="E306" t="n">
        <v>780</v>
      </c>
    </row>
    <row r="307">
      <c r="A307" t="inlineStr">
        <is>
          <t>CIAN</t>
        </is>
      </c>
      <c r="B307" t="inlineStr">
        <is>
          <t>Омск</t>
        </is>
      </c>
      <c r="C307" t="inlineStr">
        <is>
          <t>Продажа · Городская · Квартира в новостройке</t>
        </is>
      </c>
      <c r="D307" t="inlineStr">
        <is>
          <t>Топ, ₽/сут</t>
        </is>
      </c>
      <c r="E307" t="n">
        <v>422</v>
      </c>
    </row>
    <row r="308">
      <c r="A308" t="inlineStr">
        <is>
          <t>CIAN</t>
        </is>
      </c>
      <c r="B308" t="inlineStr">
        <is>
          <t>Омск</t>
        </is>
      </c>
      <c r="C308" t="inlineStr">
        <is>
          <t>Продажа · Городская · Квартира в новостройке</t>
        </is>
      </c>
      <c r="D308" t="inlineStr">
        <is>
          <t>Премиум, ₽/сут</t>
        </is>
      </c>
      <c r="E308" t="n">
        <v>229</v>
      </c>
    </row>
    <row r="309">
      <c r="A309" t="inlineStr">
        <is>
          <t>CIAN</t>
        </is>
      </c>
      <c r="B309" t="inlineStr">
        <is>
          <t>Омск</t>
        </is>
      </c>
      <c r="C309" t="inlineStr">
        <is>
          <t>Продажа · Городская · Квартира в новостройке</t>
        </is>
      </c>
      <c r="D309" t="inlineStr">
        <is>
          <t>Стандарт, ₽/сут</t>
        </is>
      </c>
      <c r="E309" t="n">
        <v>70</v>
      </c>
    </row>
    <row r="310">
      <c r="A310" t="inlineStr">
        <is>
          <t>CIAN</t>
        </is>
      </c>
      <c r="B310" t="inlineStr">
        <is>
          <t>Воронеж</t>
        </is>
      </c>
      <c r="C310" t="inlineStr">
        <is>
          <t>Продажа · Городская · Квартира в новостройке</t>
        </is>
      </c>
      <c r="D310" t="inlineStr">
        <is>
          <t>Публикация, ₽/30 дн</t>
        </is>
      </c>
      <c r="E310" t="n">
        <v>204</v>
      </c>
    </row>
    <row r="311">
      <c r="A311" t="inlineStr">
        <is>
          <t>CIAN</t>
        </is>
      </c>
      <c r="B311" t="inlineStr">
        <is>
          <t>Воронеж</t>
        </is>
      </c>
      <c r="C311" t="inlineStr">
        <is>
          <t>Продажа · Городская · Квартира в новостройке</t>
        </is>
      </c>
      <c r="D311" t="inlineStr">
        <is>
          <t>Топ, ₽/сут</t>
        </is>
      </c>
      <c r="E311" t="inlineStr">
        <is>
          <t>—</t>
        </is>
      </c>
    </row>
    <row r="312">
      <c r="A312" t="inlineStr">
        <is>
          <t>CIAN</t>
        </is>
      </c>
      <c r="B312" t="inlineStr">
        <is>
          <t>Воронеж</t>
        </is>
      </c>
      <c r="C312" t="inlineStr">
        <is>
          <t>Продажа · Городская · Квартира в новостройке</t>
        </is>
      </c>
      <c r="D312" t="inlineStr">
        <is>
          <t>Премиум, ₽/сут</t>
        </is>
      </c>
      <c r="E312" t="inlineStr">
        <is>
          <t>—</t>
        </is>
      </c>
    </row>
    <row r="313">
      <c r="A313" t="inlineStr">
        <is>
          <t>CIAN</t>
        </is>
      </c>
      <c r="B313" t="inlineStr">
        <is>
          <t>Воронеж</t>
        </is>
      </c>
      <c r="C313" t="inlineStr">
        <is>
          <t>Продажа · Городская · Квартира в новостройке</t>
        </is>
      </c>
      <c r="D313" t="inlineStr">
        <is>
          <t>Стандарт, ₽/сут</t>
        </is>
      </c>
      <c r="E313" t="inlineStr">
        <is>
          <t>—</t>
        </is>
      </c>
    </row>
    <row r="314">
      <c r="A314" t="inlineStr">
        <is>
          <t>CIAN</t>
        </is>
      </c>
      <c r="B314" t="inlineStr">
        <is>
          <t>Пермь</t>
        </is>
      </c>
      <c r="C314" t="inlineStr">
        <is>
          <t>Продажа · Городская · Квартира в новостройке</t>
        </is>
      </c>
      <c r="D314" t="inlineStr">
        <is>
          <t>Публикация, ₽/30 дн</t>
        </is>
      </c>
      <c r="E314" t="n">
        <v>99</v>
      </c>
    </row>
    <row r="315">
      <c r="A315" t="inlineStr">
        <is>
          <t>CIAN</t>
        </is>
      </c>
      <c r="B315" t="inlineStr">
        <is>
          <t>Пермь</t>
        </is>
      </c>
      <c r="C315" t="inlineStr">
        <is>
          <t>Продажа · Городская · Квартира в новостройке</t>
        </is>
      </c>
      <c r="D315" t="inlineStr">
        <is>
          <t>Топ, ₽/сут</t>
        </is>
      </c>
      <c r="E315" t="inlineStr">
        <is>
          <t>—</t>
        </is>
      </c>
    </row>
    <row r="316">
      <c r="A316" t="inlineStr">
        <is>
          <t>CIAN</t>
        </is>
      </c>
      <c r="B316" t="inlineStr">
        <is>
          <t>Пермь</t>
        </is>
      </c>
      <c r="C316" t="inlineStr">
        <is>
          <t>Продажа · Городская · Квартира в новостройке</t>
        </is>
      </c>
      <c r="D316" t="inlineStr">
        <is>
          <t>Премиум, ₽/сут</t>
        </is>
      </c>
      <c r="E316" t="inlineStr">
        <is>
          <t>—</t>
        </is>
      </c>
    </row>
    <row r="317">
      <c r="A317" t="inlineStr">
        <is>
          <t>CIAN</t>
        </is>
      </c>
      <c r="B317" t="inlineStr">
        <is>
          <t>Пермь</t>
        </is>
      </c>
      <c r="C317" t="inlineStr">
        <is>
          <t>Продажа · Городская · Квартира в новостройке</t>
        </is>
      </c>
      <c r="D317" t="inlineStr">
        <is>
          <t>Стандарт, ₽/сут</t>
        </is>
      </c>
      <c r="E317" t="inlineStr">
        <is>
          <t>—</t>
        </is>
      </c>
    </row>
    <row r="318">
      <c r="A318" t="inlineStr">
        <is>
          <t>CIAN</t>
        </is>
      </c>
      <c r="B318" t="inlineStr">
        <is>
          <t>Волгоград</t>
        </is>
      </c>
      <c r="C318" t="inlineStr">
        <is>
          <t>Продажа · Городская · Квартира в новостройке</t>
        </is>
      </c>
      <c r="D318" t="inlineStr">
        <is>
          <t>Публикация, ₽/30 дн</t>
        </is>
      </c>
      <c r="E318" t="n">
        <v>303</v>
      </c>
    </row>
    <row r="319">
      <c r="A319" t="inlineStr">
        <is>
          <t>CIAN</t>
        </is>
      </c>
      <c r="B319" t="inlineStr">
        <is>
          <t>Волгоград</t>
        </is>
      </c>
      <c r="C319" t="inlineStr">
        <is>
          <t>Продажа · Городская · Квартира в новостройке</t>
        </is>
      </c>
      <c r="D319" t="inlineStr">
        <is>
          <t>Топ, ₽/сут</t>
        </is>
      </c>
      <c r="E319" t="inlineStr">
        <is>
          <t>—</t>
        </is>
      </c>
    </row>
    <row r="320">
      <c r="A320" t="inlineStr">
        <is>
          <t>CIAN</t>
        </is>
      </c>
      <c r="B320" t="inlineStr">
        <is>
          <t>Волгоград</t>
        </is>
      </c>
      <c r="C320" t="inlineStr">
        <is>
          <t>Продажа · Городская · Квартира в новостройке</t>
        </is>
      </c>
      <c r="D320" t="inlineStr">
        <is>
          <t>Премиум, ₽/сут</t>
        </is>
      </c>
      <c r="E320" t="inlineStr">
        <is>
          <t>—</t>
        </is>
      </c>
    </row>
    <row r="321">
      <c r="A321" t="inlineStr">
        <is>
          <t>CIAN</t>
        </is>
      </c>
      <c r="B321" t="inlineStr">
        <is>
          <t>Волгоград</t>
        </is>
      </c>
      <c r="C321" t="inlineStr">
        <is>
          <t>Продажа · Городская · Квартира в новостройке</t>
        </is>
      </c>
      <c r="D321" t="inlineStr">
        <is>
          <t>Стандарт, ₽/сут</t>
        </is>
      </c>
      <c r="E321" t="inlineStr">
        <is>
          <t>—</t>
        </is>
      </c>
    </row>
    <row r="322">
      <c r="A322" t="inlineStr">
        <is>
          <t>CIAN</t>
        </is>
      </c>
      <c r="B322" t="inlineStr">
        <is>
          <t>Москва</t>
        </is>
      </c>
      <c r="C322" t="inlineStr">
        <is>
          <t>Продажа · Городская · Доля в квартире</t>
        </is>
      </c>
      <c r="D322" t="inlineStr">
        <is>
          <t>Публикация, ₽/30 дн</t>
        </is>
      </c>
      <c r="E322" t="n">
        <v>882</v>
      </c>
    </row>
    <row r="323">
      <c r="A323" t="inlineStr">
        <is>
          <t>CIAN</t>
        </is>
      </c>
      <c r="B323" t="inlineStr">
        <is>
          <t>Москва</t>
        </is>
      </c>
      <c r="C323" t="inlineStr">
        <is>
          <t>Продажа · Городская · Доля в квартире</t>
        </is>
      </c>
      <c r="D323" t="inlineStr">
        <is>
          <t>Топ, ₽/сут</t>
        </is>
      </c>
      <c r="E323" t="n">
        <v>1213</v>
      </c>
    </row>
    <row r="324">
      <c r="A324" t="inlineStr">
        <is>
          <t>CIAN</t>
        </is>
      </c>
      <c r="B324" t="inlineStr">
        <is>
          <t>Москва</t>
        </is>
      </c>
      <c r="C324" t="inlineStr">
        <is>
          <t>Продажа · Городская · Доля в квартире</t>
        </is>
      </c>
      <c r="D324" t="inlineStr">
        <is>
          <t>Премиум, ₽/сут</t>
        </is>
      </c>
      <c r="E324" t="n">
        <v>492</v>
      </c>
    </row>
    <row r="325">
      <c r="A325" t="inlineStr">
        <is>
          <t>CIAN</t>
        </is>
      </c>
      <c r="B325" t="inlineStr">
        <is>
          <t>Москва</t>
        </is>
      </c>
      <c r="C325" t="inlineStr">
        <is>
          <t>Продажа · Городская · Доля в квартире</t>
        </is>
      </c>
      <c r="D325" t="inlineStr">
        <is>
          <t>Стандарт, ₽/сут</t>
        </is>
      </c>
      <c r="E325" t="n">
        <v>162</v>
      </c>
    </row>
    <row r="326">
      <c r="A326" t="inlineStr">
        <is>
          <t>CIAN</t>
        </is>
      </c>
      <c r="B326" t="inlineStr">
        <is>
          <t>Санкт-Петербург</t>
        </is>
      </c>
      <c r="C326" t="inlineStr">
        <is>
          <t>Продажа · Городская · Доля в квартире</t>
        </is>
      </c>
      <c r="D326" t="inlineStr">
        <is>
          <t>Публикация, ₽/30 дн</t>
        </is>
      </c>
      <c r="E326" t="n">
        <v>1500</v>
      </c>
    </row>
    <row r="327">
      <c r="A327" t="inlineStr">
        <is>
          <t>CIAN</t>
        </is>
      </c>
      <c r="B327" t="inlineStr">
        <is>
          <t>Санкт-Петербург</t>
        </is>
      </c>
      <c r="C327" t="inlineStr">
        <is>
          <t>Продажа · Городская · Доля в квартире</t>
        </is>
      </c>
      <c r="D327" t="inlineStr">
        <is>
          <t>Топ, ₽/сут</t>
        </is>
      </c>
      <c r="E327" t="n">
        <v>488</v>
      </c>
    </row>
    <row r="328">
      <c r="A328" t="inlineStr">
        <is>
          <t>CIAN</t>
        </is>
      </c>
      <c r="B328" t="inlineStr">
        <is>
          <t>Санкт-Петербург</t>
        </is>
      </c>
      <c r="C328" t="inlineStr">
        <is>
          <t>Продажа · Городская · Доля в квартире</t>
        </is>
      </c>
      <c r="D328" t="inlineStr">
        <is>
          <t>Премиум, ₽/сут</t>
        </is>
      </c>
      <c r="E328" t="n">
        <v>207</v>
      </c>
    </row>
    <row r="329">
      <c r="A329" t="inlineStr">
        <is>
          <t>CIAN</t>
        </is>
      </c>
      <c r="B329" t="inlineStr">
        <is>
          <t>Санкт-Петербург</t>
        </is>
      </c>
      <c r="C329" t="inlineStr">
        <is>
          <t>Продажа · Городская · Доля в квартире</t>
        </is>
      </c>
      <c r="D329" t="inlineStr">
        <is>
          <t>Стандарт, ₽/сут</t>
        </is>
      </c>
      <c r="E329" t="n">
        <v>89</v>
      </c>
    </row>
    <row r="330">
      <c r="A330" t="inlineStr">
        <is>
          <t>CIAN</t>
        </is>
      </c>
      <c r="B330" t="inlineStr">
        <is>
          <t>Новосибирск</t>
        </is>
      </c>
      <c r="C330" t="inlineStr">
        <is>
          <t>Продажа · Городская · Доля в квартире</t>
        </is>
      </c>
      <c r="D330" t="inlineStr">
        <is>
          <t>Публикация, ₽/30 дн</t>
        </is>
      </c>
      <c r="E330" t="n">
        <v>1596</v>
      </c>
    </row>
    <row r="331">
      <c r="A331" t="inlineStr">
        <is>
          <t>CIAN</t>
        </is>
      </c>
      <c r="B331" t="inlineStr">
        <is>
          <t>Новосибирск</t>
        </is>
      </c>
      <c r="C331" t="inlineStr">
        <is>
          <t>Продажа · Городская · Доля в квартире</t>
        </is>
      </c>
      <c r="D331" t="inlineStr">
        <is>
          <t>Топ, ₽/сут</t>
        </is>
      </c>
      <c r="E331" t="n">
        <v>420</v>
      </c>
    </row>
    <row r="332">
      <c r="A332" t="inlineStr">
        <is>
          <t>CIAN</t>
        </is>
      </c>
      <c r="B332" t="inlineStr">
        <is>
          <t>Новосибирск</t>
        </is>
      </c>
      <c r="C332" t="inlineStr">
        <is>
          <t>Продажа · Городская · Доля в квартире</t>
        </is>
      </c>
      <c r="D332" t="inlineStr">
        <is>
          <t>Премиум, ₽/сут</t>
        </is>
      </c>
      <c r="E332" t="n">
        <v>189</v>
      </c>
    </row>
    <row r="333">
      <c r="A333" t="inlineStr">
        <is>
          <t>CIAN</t>
        </is>
      </c>
      <c r="B333" t="inlineStr">
        <is>
          <t>Новосибирск</t>
        </is>
      </c>
      <c r="C333" t="inlineStr">
        <is>
          <t>Продажа · Городская · Доля в квартире</t>
        </is>
      </c>
      <c r="D333" t="inlineStr">
        <is>
          <t>Стандарт, ₽/сут</t>
        </is>
      </c>
      <c r="E333" t="n">
        <v>56</v>
      </c>
    </row>
    <row r="334">
      <c r="A334" t="inlineStr">
        <is>
          <t>CIAN</t>
        </is>
      </c>
      <c r="B334" t="inlineStr">
        <is>
          <t>Екатеринбург</t>
        </is>
      </c>
      <c r="C334" t="inlineStr">
        <is>
          <t>Продажа · Городская · Доля в квартире</t>
        </is>
      </c>
      <c r="D334" t="inlineStr">
        <is>
          <t>Публикация, ₽/30 дн</t>
        </is>
      </c>
      <c r="E334" t="n">
        <v>489</v>
      </c>
    </row>
    <row r="335">
      <c r="A335" t="inlineStr">
        <is>
          <t>CIAN</t>
        </is>
      </c>
      <c r="B335" t="inlineStr">
        <is>
          <t>Екатеринбург</t>
        </is>
      </c>
      <c r="C335" t="inlineStr">
        <is>
          <t>Продажа · Городская · Доля в квартире</t>
        </is>
      </c>
      <c r="D335" t="inlineStr">
        <is>
          <t>Топ, ₽/сут</t>
        </is>
      </c>
      <c r="E335" t="n">
        <v>459</v>
      </c>
    </row>
    <row r="336">
      <c r="A336" t="inlineStr">
        <is>
          <t>CIAN</t>
        </is>
      </c>
      <c r="B336" t="inlineStr">
        <is>
          <t>Екатеринбург</t>
        </is>
      </c>
      <c r="C336" t="inlineStr">
        <is>
          <t>Продажа · Городская · Доля в квартире</t>
        </is>
      </c>
      <c r="D336" t="inlineStr">
        <is>
          <t>Премиум, ₽/сут</t>
        </is>
      </c>
      <c r="E336" t="n">
        <v>228</v>
      </c>
    </row>
    <row r="337">
      <c r="A337" t="inlineStr">
        <is>
          <t>CIAN</t>
        </is>
      </c>
      <c r="B337" t="inlineStr">
        <is>
          <t>Екатеринбург</t>
        </is>
      </c>
      <c r="C337" t="inlineStr">
        <is>
          <t>Продажа · Городская · Доля в квартире</t>
        </is>
      </c>
      <c r="D337" t="inlineStr">
        <is>
          <t>Стандарт, ₽/сут</t>
        </is>
      </c>
      <c r="E337" t="n">
        <v>69</v>
      </c>
    </row>
    <row r="338">
      <c r="A338" t="inlineStr">
        <is>
          <t>CIAN</t>
        </is>
      </c>
      <c r="B338" t="inlineStr">
        <is>
          <t>Казань</t>
        </is>
      </c>
      <c r="C338" t="inlineStr">
        <is>
          <t>Продажа · Городская · Доля в квартире</t>
        </is>
      </c>
      <c r="D338" t="inlineStr">
        <is>
          <t>Публикация, ₽/30 дн</t>
        </is>
      </c>
      <c r="E338" t="n">
        <v>354</v>
      </c>
    </row>
    <row r="339">
      <c r="A339" t="inlineStr">
        <is>
          <t>CIAN</t>
        </is>
      </c>
      <c r="B339" t="inlineStr">
        <is>
          <t>Казань</t>
        </is>
      </c>
      <c r="C339" t="inlineStr">
        <is>
          <t>Продажа · Городская · Доля в квартире</t>
        </is>
      </c>
      <c r="D339" t="inlineStr">
        <is>
          <t>Топ, ₽/сут</t>
        </is>
      </c>
      <c r="E339" t="n">
        <v>222</v>
      </c>
    </row>
    <row r="340">
      <c r="A340" t="inlineStr">
        <is>
          <t>CIAN</t>
        </is>
      </c>
      <c r="B340" t="inlineStr">
        <is>
          <t>Казань</t>
        </is>
      </c>
      <c r="C340" t="inlineStr">
        <is>
          <t>Продажа · Городская · Доля в квартире</t>
        </is>
      </c>
      <c r="D340" t="inlineStr">
        <is>
          <t>Премиум, ₽/сут</t>
        </is>
      </c>
      <c r="E340" t="n">
        <v>86</v>
      </c>
    </row>
    <row r="341">
      <c r="A341" t="inlineStr">
        <is>
          <t>CIAN</t>
        </is>
      </c>
      <c r="B341" t="inlineStr">
        <is>
          <t>Казань</t>
        </is>
      </c>
      <c r="C341" t="inlineStr">
        <is>
          <t>Продажа · Городская · Доля в квартире</t>
        </is>
      </c>
      <c r="D341" t="inlineStr">
        <is>
          <t>Стандарт, ₽/сут</t>
        </is>
      </c>
      <c r="E341" t="n">
        <v>25</v>
      </c>
    </row>
    <row r="342">
      <c r="A342" t="inlineStr">
        <is>
          <t>CIAN</t>
        </is>
      </c>
      <c r="B342" t="inlineStr">
        <is>
          <t>Красноярск</t>
        </is>
      </c>
      <c r="C342" t="inlineStr">
        <is>
          <t>Продажа · Городская · Доля в квартире</t>
        </is>
      </c>
      <c r="D342" t="inlineStr">
        <is>
          <t>Публикация, ₽/30 дн</t>
        </is>
      </c>
      <c r="E342" t="n">
        <v>573</v>
      </c>
    </row>
    <row r="343">
      <c r="A343" t="inlineStr">
        <is>
          <t>CIAN</t>
        </is>
      </c>
      <c r="B343" t="inlineStr">
        <is>
          <t>Красноярск</t>
        </is>
      </c>
      <c r="C343" t="inlineStr">
        <is>
          <t>Продажа · Городская · Доля в квартире</t>
        </is>
      </c>
      <c r="D343" t="inlineStr">
        <is>
          <t>Топ, ₽/сут</t>
        </is>
      </c>
      <c r="E343" t="inlineStr">
        <is>
          <t>—</t>
        </is>
      </c>
    </row>
    <row r="344">
      <c r="A344" t="inlineStr">
        <is>
          <t>CIAN</t>
        </is>
      </c>
      <c r="B344" t="inlineStr">
        <is>
          <t>Красноярск</t>
        </is>
      </c>
      <c r="C344" t="inlineStr">
        <is>
          <t>Продажа · Городская · Доля в квартире</t>
        </is>
      </c>
      <c r="D344" t="inlineStr">
        <is>
          <t>Премиум, ₽/сут</t>
        </is>
      </c>
      <c r="E344" t="inlineStr">
        <is>
          <t>—</t>
        </is>
      </c>
    </row>
    <row r="345">
      <c r="A345" t="inlineStr">
        <is>
          <t>CIAN</t>
        </is>
      </c>
      <c r="B345" t="inlineStr">
        <is>
          <t>Красноярск</t>
        </is>
      </c>
      <c r="C345" t="inlineStr">
        <is>
          <t>Продажа · Городская · Доля в квартире</t>
        </is>
      </c>
      <c r="D345" t="inlineStr">
        <is>
          <t>Стандарт, ₽/сут</t>
        </is>
      </c>
      <c r="E345" t="inlineStr">
        <is>
          <t>—</t>
        </is>
      </c>
    </row>
    <row r="346">
      <c r="A346" t="inlineStr">
        <is>
          <t>CIAN</t>
        </is>
      </c>
      <c r="B346" t="inlineStr">
        <is>
          <t>Нижний Новгород</t>
        </is>
      </c>
      <c r="C346" t="inlineStr">
        <is>
          <t>Продажа · Городская · Доля в квартире</t>
        </is>
      </c>
      <c r="D346" t="inlineStr">
        <is>
          <t>Публикация, ₽/30 дн</t>
        </is>
      </c>
      <c r="E346" t="n">
        <v>441</v>
      </c>
    </row>
    <row r="347">
      <c r="A347" t="inlineStr">
        <is>
          <t>CIAN</t>
        </is>
      </c>
      <c r="B347" t="inlineStr">
        <is>
          <t>Нижний Новгород</t>
        </is>
      </c>
      <c r="C347" t="inlineStr">
        <is>
          <t>Продажа · Городская · Доля в квартире</t>
        </is>
      </c>
      <c r="D347" t="inlineStr">
        <is>
          <t>Топ, ₽/сут</t>
        </is>
      </c>
      <c r="E347" t="n">
        <v>231</v>
      </c>
    </row>
    <row r="348">
      <c r="A348" t="inlineStr">
        <is>
          <t>CIAN</t>
        </is>
      </c>
      <c r="B348" t="inlineStr">
        <is>
          <t>Нижний Новгород</t>
        </is>
      </c>
      <c r="C348" t="inlineStr">
        <is>
          <t>Продажа · Городская · Доля в квартире</t>
        </is>
      </c>
      <c r="D348" t="inlineStr">
        <is>
          <t>Премиум, ₽/сут</t>
        </is>
      </c>
      <c r="E348" t="n">
        <v>90</v>
      </c>
    </row>
    <row r="349">
      <c r="A349" t="inlineStr">
        <is>
          <t>CIAN</t>
        </is>
      </c>
      <c r="B349" t="inlineStr">
        <is>
          <t>Нижний Новгород</t>
        </is>
      </c>
      <c r="C349" t="inlineStr">
        <is>
          <t>Продажа · Городская · Доля в квартире</t>
        </is>
      </c>
      <c r="D349" t="inlineStr">
        <is>
          <t>Стандарт, ₽/сут</t>
        </is>
      </c>
      <c r="E349" t="n">
        <v>26</v>
      </c>
    </row>
    <row r="350">
      <c r="A350" t="inlineStr">
        <is>
          <t>CIAN</t>
        </is>
      </c>
      <c r="B350" t="inlineStr">
        <is>
          <t>Челябинск</t>
        </is>
      </c>
      <c r="C350" t="inlineStr">
        <is>
          <t>Продажа · Городская · Доля в квартире</t>
        </is>
      </c>
      <c r="D350" t="inlineStr">
        <is>
          <t>Публикация, ₽/30 дн</t>
        </is>
      </c>
      <c r="E350" t="n">
        <v>291</v>
      </c>
    </row>
    <row r="351">
      <c r="A351" t="inlineStr">
        <is>
          <t>CIAN</t>
        </is>
      </c>
      <c r="B351" t="inlineStr">
        <is>
          <t>Челябинск</t>
        </is>
      </c>
      <c r="C351" t="inlineStr">
        <is>
          <t>Продажа · Городская · Доля в квартире</t>
        </is>
      </c>
      <c r="D351" t="inlineStr">
        <is>
          <t>Топ, ₽/сут</t>
        </is>
      </c>
      <c r="E351" t="n">
        <v>235</v>
      </c>
    </row>
    <row r="352">
      <c r="A352" t="inlineStr">
        <is>
          <t>CIAN</t>
        </is>
      </c>
      <c r="B352" t="inlineStr">
        <is>
          <t>Челябинск</t>
        </is>
      </c>
      <c r="C352" t="inlineStr">
        <is>
          <t>Продажа · Городская · Доля в квартире</t>
        </is>
      </c>
      <c r="D352" t="inlineStr">
        <is>
          <t>Премиум, ₽/сут</t>
        </is>
      </c>
      <c r="E352" t="n">
        <v>109</v>
      </c>
    </row>
    <row r="353">
      <c r="A353" t="inlineStr">
        <is>
          <t>CIAN</t>
        </is>
      </c>
      <c r="B353" t="inlineStr">
        <is>
          <t>Челябинск</t>
        </is>
      </c>
      <c r="C353" t="inlineStr">
        <is>
          <t>Продажа · Городская · Доля в квартире</t>
        </is>
      </c>
      <c r="D353" t="inlineStr">
        <is>
          <t>Стандарт, ₽/сут</t>
        </is>
      </c>
      <c r="E353" t="n">
        <v>31</v>
      </c>
    </row>
    <row r="354">
      <c r="A354" t="inlineStr">
        <is>
          <t>CIAN</t>
        </is>
      </c>
      <c r="B354" t="inlineStr">
        <is>
          <t>Уфа</t>
        </is>
      </c>
      <c r="C354" t="inlineStr">
        <is>
          <t>Продажа · Городская · Доля в квартире</t>
        </is>
      </c>
      <c r="D354" t="inlineStr">
        <is>
          <t>Публикация, ₽/30 дн</t>
        </is>
      </c>
      <c r="E354" t="n">
        <v>213</v>
      </c>
    </row>
    <row r="355">
      <c r="A355" t="inlineStr">
        <is>
          <t>CIAN</t>
        </is>
      </c>
      <c r="B355" t="inlineStr">
        <is>
          <t>Уфа</t>
        </is>
      </c>
      <c r="C355" t="inlineStr">
        <is>
          <t>Продажа · Городская · Доля в квартире</t>
        </is>
      </c>
      <c r="D355" t="inlineStr">
        <is>
          <t>Топ, ₽/сут</t>
        </is>
      </c>
      <c r="E355" t="n">
        <v>187</v>
      </c>
    </row>
    <row r="356">
      <c r="A356" t="inlineStr">
        <is>
          <t>CIAN</t>
        </is>
      </c>
      <c r="B356" t="inlineStr">
        <is>
          <t>Уфа</t>
        </is>
      </c>
      <c r="C356" t="inlineStr">
        <is>
          <t>Продажа · Городская · Доля в квартире</t>
        </is>
      </c>
      <c r="D356" t="inlineStr">
        <is>
          <t>Премиум, ₽/сут</t>
        </is>
      </c>
      <c r="E356" t="n">
        <v>87</v>
      </c>
    </row>
    <row r="357">
      <c r="A357" t="inlineStr">
        <is>
          <t>CIAN</t>
        </is>
      </c>
      <c r="B357" t="inlineStr">
        <is>
          <t>Уфа</t>
        </is>
      </c>
      <c r="C357" t="inlineStr">
        <is>
          <t>Продажа · Городская · Доля в квартире</t>
        </is>
      </c>
      <c r="D357" t="inlineStr">
        <is>
          <t>Стандарт, ₽/сут</t>
        </is>
      </c>
      <c r="E357" t="n">
        <v>25</v>
      </c>
    </row>
    <row r="358">
      <c r="A358" t="inlineStr">
        <is>
          <t>CIAN</t>
        </is>
      </c>
      <c r="B358" t="inlineStr">
        <is>
          <t>Краснодар</t>
        </is>
      </c>
      <c r="C358" t="inlineStr">
        <is>
          <t>Продажа · Городская · Доля в квартире</t>
        </is>
      </c>
      <c r="D358" t="inlineStr">
        <is>
          <t>Публикация, ₽/30 дн</t>
        </is>
      </c>
      <c r="E358" t="n">
        <v>468</v>
      </c>
    </row>
    <row r="359">
      <c r="A359" t="inlineStr">
        <is>
          <t>CIAN</t>
        </is>
      </c>
      <c r="B359" t="inlineStr">
        <is>
          <t>Краснодар</t>
        </is>
      </c>
      <c r="C359" t="inlineStr">
        <is>
          <t>Продажа · Городская · Доля в квартире</t>
        </is>
      </c>
      <c r="D359" t="inlineStr">
        <is>
          <t>Топ, ₽/сут</t>
        </is>
      </c>
      <c r="E359" t="n">
        <v>197</v>
      </c>
    </row>
    <row r="360">
      <c r="A360" t="inlineStr">
        <is>
          <t>CIAN</t>
        </is>
      </c>
      <c r="B360" t="inlineStr">
        <is>
          <t>Краснодар</t>
        </is>
      </c>
      <c r="C360" t="inlineStr">
        <is>
          <t>Продажа · Городская · Доля в квартире</t>
        </is>
      </c>
      <c r="D360" t="inlineStr">
        <is>
          <t>Премиум, ₽/сут</t>
        </is>
      </c>
      <c r="E360" t="n">
        <v>76</v>
      </c>
    </row>
    <row r="361">
      <c r="A361" t="inlineStr">
        <is>
          <t>CIAN</t>
        </is>
      </c>
      <c r="B361" t="inlineStr">
        <is>
          <t>Краснодар</t>
        </is>
      </c>
      <c r="C361" t="inlineStr">
        <is>
          <t>Продажа · Городская · Доля в квартире</t>
        </is>
      </c>
      <c r="D361" t="inlineStr">
        <is>
          <t>Стандарт, ₽/сут</t>
        </is>
      </c>
      <c r="E361" t="n">
        <v>23</v>
      </c>
    </row>
    <row r="362">
      <c r="A362" t="inlineStr">
        <is>
          <t>CIAN</t>
        </is>
      </c>
      <c r="B362" t="inlineStr">
        <is>
          <t>Самара</t>
        </is>
      </c>
      <c r="C362" t="inlineStr">
        <is>
          <t>Продажа · Городская · Доля в квартире</t>
        </is>
      </c>
      <c r="D362" t="inlineStr">
        <is>
          <t>Публикация, ₽/30 дн</t>
        </is>
      </c>
      <c r="E362" t="n">
        <v>354</v>
      </c>
    </row>
    <row r="363">
      <c r="A363" t="inlineStr">
        <is>
          <t>CIAN</t>
        </is>
      </c>
      <c r="B363" t="inlineStr">
        <is>
          <t>Самара</t>
        </is>
      </c>
      <c r="C363" t="inlineStr">
        <is>
          <t>Продажа · Городская · Доля в квартире</t>
        </is>
      </c>
      <c r="D363" t="inlineStr">
        <is>
          <t>Топ, ₽/сут</t>
        </is>
      </c>
      <c r="E363" t="inlineStr">
        <is>
          <t>—</t>
        </is>
      </c>
    </row>
    <row r="364">
      <c r="A364" t="inlineStr">
        <is>
          <t>CIAN</t>
        </is>
      </c>
      <c r="B364" t="inlineStr">
        <is>
          <t>Самара</t>
        </is>
      </c>
      <c r="C364" t="inlineStr">
        <is>
          <t>Продажа · Городская · Доля в квартире</t>
        </is>
      </c>
      <c r="D364" t="inlineStr">
        <is>
          <t>Премиум, ₽/сут</t>
        </is>
      </c>
      <c r="E364" t="inlineStr">
        <is>
          <t>—</t>
        </is>
      </c>
    </row>
    <row r="365">
      <c r="A365" t="inlineStr">
        <is>
          <t>CIAN</t>
        </is>
      </c>
      <c r="B365" t="inlineStr">
        <is>
          <t>Самара</t>
        </is>
      </c>
      <c r="C365" t="inlineStr">
        <is>
          <t>Продажа · Городская · Доля в квартире</t>
        </is>
      </c>
      <c r="D365" t="inlineStr">
        <is>
          <t>Стандарт, ₽/сут</t>
        </is>
      </c>
      <c r="E365" t="inlineStr">
        <is>
          <t>—</t>
        </is>
      </c>
    </row>
    <row r="366">
      <c r="A366" t="inlineStr">
        <is>
          <t>CIAN</t>
        </is>
      </c>
      <c r="B366" t="inlineStr">
        <is>
          <t>Ростов-на-Дону</t>
        </is>
      </c>
      <c r="C366" t="inlineStr">
        <is>
          <t>Продажа · Городская · Доля в квартире</t>
        </is>
      </c>
      <c r="D366" t="inlineStr">
        <is>
          <t>Публикация, ₽/30 дн</t>
        </is>
      </c>
      <c r="E366" t="n">
        <v>468</v>
      </c>
    </row>
    <row r="367">
      <c r="A367" t="inlineStr">
        <is>
          <t>CIAN</t>
        </is>
      </c>
      <c r="B367" t="inlineStr">
        <is>
          <t>Ростов-на-Дону</t>
        </is>
      </c>
      <c r="C367" t="inlineStr">
        <is>
          <t>Продажа · Городская · Доля в квартире</t>
        </is>
      </c>
      <c r="D367" t="inlineStr">
        <is>
          <t>Топ, ₽/сут</t>
        </is>
      </c>
      <c r="E367" t="n">
        <v>223</v>
      </c>
    </row>
    <row r="368">
      <c r="A368" t="inlineStr">
        <is>
          <t>CIAN</t>
        </is>
      </c>
      <c r="B368" t="inlineStr">
        <is>
          <t>Ростов-на-Дону</t>
        </is>
      </c>
      <c r="C368" t="inlineStr">
        <is>
          <t>Продажа · Городская · Доля в квартире</t>
        </is>
      </c>
      <c r="D368" t="inlineStr">
        <is>
          <t>Премиум, ₽/сут</t>
        </is>
      </c>
      <c r="E368" t="n">
        <v>90</v>
      </c>
    </row>
    <row r="369">
      <c r="A369" t="inlineStr">
        <is>
          <t>CIAN</t>
        </is>
      </c>
      <c r="B369" t="inlineStr">
        <is>
          <t>Ростов-на-Дону</t>
        </is>
      </c>
      <c r="C369" t="inlineStr">
        <is>
          <t>Продажа · Городская · Доля в квартире</t>
        </is>
      </c>
      <c r="D369" t="inlineStr">
        <is>
          <t>Стандарт, ₽/сут</t>
        </is>
      </c>
      <c r="E369" t="n">
        <v>26</v>
      </c>
    </row>
    <row r="370">
      <c r="A370" t="inlineStr">
        <is>
          <t>CIAN</t>
        </is>
      </c>
      <c r="B370" t="inlineStr">
        <is>
          <t>Омск</t>
        </is>
      </c>
      <c r="C370" t="inlineStr">
        <is>
          <t>Продажа · Городская · Доля в квартире</t>
        </is>
      </c>
      <c r="D370" t="inlineStr">
        <is>
          <t>Публикация, ₽/30 дн</t>
        </is>
      </c>
      <c r="E370" t="n">
        <v>780</v>
      </c>
    </row>
    <row r="371">
      <c r="A371" t="inlineStr">
        <is>
          <t>CIAN</t>
        </is>
      </c>
      <c r="B371" t="inlineStr">
        <is>
          <t>Омск</t>
        </is>
      </c>
      <c r="C371" t="inlineStr">
        <is>
          <t>Продажа · Городская · Доля в квартире</t>
        </is>
      </c>
      <c r="D371" t="inlineStr">
        <is>
          <t>Топ, ₽/сут</t>
        </is>
      </c>
      <c r="E371" t="n">
        <v>406</v>
      </c>
    </row>
    <row r="372">
      <c r="A372" t="inlineStr">
        <is>
          <t>CIAN</t>
        </is>
      </c>
      <c r="B372" t="inlineStr">
        <is>
          <t>Омск</t>
        </is>
      </c>
      <c r="C372" t="inlineStr">
        <is>
          <t>Продажа · Городская · Доля в квартире</t>
        </is>
      </c>
      <c r="D372" t="inlineStr">
        <is>
          <t>Премиум, ₽/сут</t>
        </is>
      </c>
      <c r="E372" t="n">
        <v>220</v>
      </c>
    </row>
    <row r="373">
      <c r="A373" t="inlineStr">
        <is>
          <t>CIAN</t>
        </is>
      </c>
      <c r="B373" t="inlineStr">
        <is>
          <t>Омск</t>
        </is>
      </c>
      <c r="C373" t="inlineStr">
        <is>
          <t>Продажа · Городская · Доля в квартире</t>
        </is>
      </c>
      <c r="D373" t="inlineStr">
        <is>
          <t>Стандарт, ₽/сут</t>
        </is>
      </c>
      <c r="E373" t="n">
        <v>68</v>
      </c>
    </row>
    <row r="374">
      <c r="A374" t="inlineStr">
        <is>
          <t>CIAN</t>
        </is>
      </c>
      <c r="B374" t="inlineStr">
        <is>
          <t>Воронеж</t>
        </is>
      </c>
      <c r="C374" t="inlineStr">
        <is>
          <t>Продажа · Городская · Доля в квартире</t>
        </is>
      </c>
      <c r="D374" t="inlineStr">
        <is>
          <t>Публикация, ₽/30 дн</t>
        </is>
      </c>
      <c r="E374" t="n">
        <v>204</v>
      </c>
    </row>
    <row r="375">
      <c r="A375" t="inlineStr">
        <is>
          <t>CIAN</t>
        </is>
      </c>
      <c r="B375" t="inlineStr">
        <is>
          <t>Воронеж</t>
        </is>
      </c>
      <c r="C375" t="inlineStr">
        <is>
          <t>Продажа · Городская · Доля в квартире</t>
        </is>
      </c>
      <c r="D375" t="inlineStr">
        <is>
          <t>Топ, ₽/сут</t>
        </is>
      </c>
      <c r="E375" t="inlineStr">
        <is>
          <t>—</t>
        </is>
      </c>
    </row>
    <row r="376">
      <c r="A376" t="inlineStr">
        <is>
          <t>CIAN</t>
        </is>
      </c>
      <c r="B376" t="inlineStr">
        <is>
          <t>Воронеж</t>
        </is>
      </c>
      <c r="C376" t="inlineStr">
        <is>
          <t>Продажа · Городская · Доля в квартире</t>
        </is>
      </c>
      <c r="D376" t="inlineStr">
        <is>
          <t>Премиум, ₽/сут</t>
        </is>
      </c>
      <c r="E376" t="inlineStr">
        <is>
          <t>—</t>
        </is>
      </c>
    </row>
    <row r="377">
      <c r="A377" t="inlineStr">
        <is>
          <t>CIAN</t>
        </is>
      </c>
      <c r="B377" t="inlineStr">
        <is>
          <t>Воронеж</t>
        </is>
      </c>
      <c r="C377" t="inlineStr">
        <is>
          <t>Продажа · Городская · Доля в квартире</t>
        </is>
      </c>
      <c r="D377" t="inlineStr">
        <is>
          <t>Стандарт, ₽/сут</t>
        </is>
      </c>
      <c r="E377" t="inlineStr">
        <is>
          <t>—</t>
        </is>
      </c>
    </row>
    <row r="378">
      <c r="A378" t="inlineStr">
        <is>
          <t>CIAN</t>
        </is>
      </c>
      <c r="B378" t="inlineStr">
        <is>
          <t>Пермь</t>
        </is>
      </c>
      <c r="C378" t="inlineStr">
        <is>
          <t>Продажа · Городская · Доля в квартире</t>
        </is>
      </c>
      <c r="D378" t="inlineStr">
        <is>
          <t>Публикация, ₽/30 дн</t>
        </is>
      </c>
      <c r="E378" t="n">
        <v>99</v>
      </c>
    </row>
    <row r="379">
      <c r="A379" t="inlineStr">
        <is>
          <t>CIAN</t>
        </is>
      </c>
      <c r="B379" t="inlineStr">
        <is>
          <t>Пермь</t>
        </is>
      </c>
      <c r="C379" t="inlineStr">
        <is>
          <t>Продажа · Городская · Доля в квартире</t>
        </is>
      </c>
      <c r="D379" t="inlineStr">
        <is>
          <t>Топ, ₽/сут</t>
        </is>
      </c>
      <c r="E379" t="inlineStr">
        <is>
          <t>—</t>
        </is>
      </c>
    </row>
    <row r="380">
      <c r="A380" t="inlineStr">
        <is>
          <t>CIAN</t>
        </is>
      </c>
      <c r="B380" t="inlineStr">
        <is>
          <t>Пермь</t>
        </is>
      </c>
      <c r="C380" t="inlineStr">
        <is>
          <t>Продажа · Городская · Доля в квартире</t>
        </is>
      </c>
      <c r="D380" t="inlineStr">
        <is>
          <t>Премиум, ₽/сут</t>
        </is>
      </c>
      <c r="E380" t="inlineStr">
        <is>
          <t>—</t>
        </is>
      </c>
    </row>
    <row r="381">
      <c r="A381" t="inlineStr">
        <is>
          <t>CIAN</t>
        </is>
      </c>
      <c r="B381" t="inlineStr">
        <is>
          <t>Пермь</t>
        </is>
      </c>
      <c r="C381" t="inlineStr">
        <is>
          <t>Продажа · Городская · Доля в квартире</t>
        </is>
      </c>
      <c r="D381" t="inlineStr">
        <is>
          <t>Стандарт, ₽/сут</t>
        </is>
      </c>
      <c r="E381" t="inlineStr">
        <is>
          <t>—</t>
        </is>
      </c>
    </row>
    <row r="382">
      <c r="A382" t="inlineStr">
        <is>
          <t>CIAN</t>
        </is>
      </c>
      <c r="B382" t="inlineStr">
        <is>
          <t>Волгоград</t>
        </is>
      </c>
      <c r="C382" t="inlineStr">
        <is>
          <t>Продажа · Городская · Доля в квартире</t>
        </is>
      </c>
      <c r="D382" t="inlineStr">
        <is>
          <t>Публикация, ₽/30 дн</t>
        </is>
      </c>
      <c r="E382" t="n">
        <v>303</v>
      </c>
    </row>
    <row r="383">
      <c r="A383" t="inlineStr">
        <is>
          <t>CIAN</t>
        </is>
      </c>
      <c r="B383" t="inlineStr">
        <is>
          <t>Волгоград</t>
        </is>
      </c>
      <c r="C383" t="inlineStr">
        <is>
          <t>Продажа · Городская · Доля в квартире</t>
        </is>
      </c>
      <c r="D383" t="inlineStr">
        <is>
          <t>Топ, ₽/сут</t>
        </is>
      </c>
      <c r="E383" t="inlineStr">
        <is>
          <t>—</t>
        </is>
      </c>
    </row>
    <row r="384">
      <c r="A384" t="inlineStr">
        <is>
          <t>CIAN</t>
        </is>
      </c>
      <c r="B384" t="inlineStr">
        <is>
          <t>Волгоград</t>
        </is>
      </c>
      <c r="C384" t="inlineStr">
        <is>
          <t>Продажа · Городская · Доля в квартире</t>
        </is>
      </c>
      <c r="D384" t="inlineStr">
        <is>
          <t>Премиум, ₽/сут</t>
        </is>
      </c>
      <c r="E384" t="inlineStr">
        <is>
          <t>—</t>
        </is>
      </c>
    </row>
    <row r="385">
      <c r="A385" t="inlineStr">
        <is>
          <t>CIAN</t>
        </is>
      </c>
      <c r="B385" t="inlineStr">
        <is>
          <t>Волгоград</t>
        </is>
      </c>
      <c r="C385" t="inlineStr">
        <is>
          <t>Продажа · Городская · Доля в квартире</t>
        </is>
      </c>
      <c r="D385" t="inlineStr">
        <is>
          <t>Стандарт, ₽/сут</t>
        </is>
      </c>
      <c r="E385" t="inlineStr">
        <is>
          <t>—</t>
        </is>
      </c>
    </row>
    <row r="386">
      <c r="A386" t="inlineStr">
        <is>
          <t>CIAN</t>
        </is>
      </c>
      <c r="B386" t="inlineStr">
        <is>
          <t>Москва</t>
        </is>
      </c>
      <c r="C386" t="inlineStr">
        <is>
          <t>Продажа · Загородная · Коттедж</t>
        </is>
      </c>
      <c r="D386" t="inlineStr">
        <is>
          <t>Публикация, ₽/30 дн</t>
        </is>
      </c>
      <c r="E386" t="n">
        <v>3090</v>
      </c>
    </row>
    <row r="387">
      <c r="A387" t="inlineStr">
        <is>
          <t>CIAN</t>
        </is>
      </c>
      <c r="B387" t="inlineStr">
        <is>
          <t>Москва</t>
        </is>
      </c>
      <c r="C387" t="inlineStr">
        <is>
          <t>Продажа · Загородная · Коттедж</t>
        </is>
      </c>
      <c r="D387" t="inlineStr">
        <is>
          <t>Топ, ₽/сут</t>
        </is>
      </c>
      <c r="E387" t="n">
        <v>1074</v>
      </c>
    </row>
    <row r="388">
      <c r="A388" t="inlineStr">
        <is>
          <t>CIAN</t>
        </is>
      </c>
      <c r="B388" t="inlineStr">
        <is>
          <t>Москва</t>
        </is>
      </c>
      <c r="C388" t="inlineStr">
        <is>
          <t>Продажа · Загородная · Коттедж</t>
        </is>
      </c>
      <c r="D388" t="inlineStr">
        <is>
          <t>Премиум, ₽/сут</t>
        </is>
      </c>
      <c r="E388" t="n">
        <v>437</v>
      </c>
    </row>
    <row r="389">
      <c r="A389" t="inlineStr">
        <is>
          <t>CIAN</t>
        </is>
      </c>
      <c r="B389" t="inlineStr">
        <is>
          <t>Москва</t>
        </is>
      </c>
      <c r="C389" t="inlineStr">
        <is>
          <t>Продажа · Загородная · Коттедж</t>
        </is>
      </c>
      <c r="D389" t="inlineStr">
        <is>
          <t>Стандарт, ₽/сут</t>
        </is>
      </c>
      <c r="E389" t="n">
        <v>131</v>
      </c>
    </row>
    <row r="390">
      <c r="A390" t="inlineStr">
        <is>
          <t>CIAN</t>
        </is>
      </c>
      <c r="B390" t="inlineStr">
        <is>
          <t>Санкт-Петербург</t>
        </is>
      </c>
      <c r="C390" t="inlineStr">
        <is>
          <t>Продажа · Загородная · Коттедж</t>
        </is>
      </c>
      <c r="D390" t="inlineStr">
        <is>
          <t>Публикация, ₽/30 дн</t>
        </is>
      </c>
      <c r="E390" t="n">
        <v>783</v>
      </c>
    </row>
    <row r="391">
      <c r="A391" t="inlineStr">
        <is>
          <t>CIAN</t>
        </is>
      </c>
      <c r="B391" t="inlineStr">
        <is>
          <t>Санкт-Петербург</t>
        </is>
      </c>
      <c r="C391" t="inlineStr">
        <is>
          <t>Продажа · Загородная · Коттедж</t>
        </is>
      </c>
      <c r="D391" t="inlineStr">
        <is>
          <t>Топ, ₽/сут</t>
        </is>
      </c>
      <c r="E391" t="n">
        <v>268</v>
      </c>
    </row>
    <row r="392">
      <c r="A392" t="inlineStr">
        <is>
          <t>CIAN</t>
        </is>
      </c>
      <c r="B392" t="inlineStr">
        <is>
          <t>Санкт-Петербург</t>
        </is>
      </c>
      <c r="C392" t="inlineStr">
        <is>
          <t>Продажа · Загородная · Коттедж</t>
        </is>
      </c>
      <c r="D392" t="inlineStr">
        <is>
          <t>Премиум, ₽/сут</t>
        </is>
      </c>
      <c r="E392" t="n">
        <v>113</v>
      </c>
    </row>
    <row r="393">
      <c r="A393" t="inlineStr">
        <is>
          <t>CIAN</t>
        </is>
      </c>
      <c r="B393" t="inlineStr">
        <is>
          <t>Санкт-Петербург</t>
        </is>
      </c>
      <c r="C393" t="inlineStr">
        <is>
          <t>Продажа · Загородная · Коттедж</t>
        </is>
      </c>
      <c r="D393" t="inlineStr">
        <is>
          <t>Стандарт, ₽/сут</t>
        </is>
      </c>
      <c r="E393" t="n">
        <v>36</v>
      </c>
    </row>
    <row r="394">
      <c r="A394" t="inlineStr">
        <is>
          <t>CIAN</t>
        </is>
      </c>
      <c r="B394" t="inlineStr">
        <is>
          <t>Новосибирск</t>
        </is>
      </c>
      <c r="C394" t="inlineStr">
        <is>
          <t>Продажа · Загородная · Коттедж</t>
        </is>
      </c>
      <c r="D394" t="inlineStr">
        <is>
          <t>Публикация, ₽/30 дн</t>
        </is>
      </c>
      <c r="E394" t="n">
        <v>1149</v>
      </c>
    </row>
    <row r="395">
      <c r="A395" t="inlineStr">
        <is>
          <t>CIAN</t>
        </is>
      </c>
      <c r="B395" t="inlineStr">
        <is>
          <t>Новосибирск</t>
        </is>
      </c>
      <c r="C395" t="inlineStr">
        <is>
          <t>Продажа · Загородная · Коттедж</t>
        </is>
      </c>
      <c r="D395" t="inlineStr">
        <is>
          <t>Топ, ₽/сут</t>
        </is>
      </c>
      <c r="E395" t="n">
        <v>385</v>
      </c>
    </row>
    <row r="396">
      <c r="A396" t="inlineStr">
        <is>
          <t>CIAN</t>
        </is>
      </c>
      <c r="B396" t="inlineStr">
        <is>
          <t>Новосибирск</t>
        </is>
      </c>
      <c r="C396" t="inlineStr">
        <is>
          <t>Продажа · Загородная · Коттедж</t>
        </is>
      </c>
      <c r="D396" t="inlineStr">
        <is>
          <t>Премиум, ₽/сут</t>
        </is>
      </c>
      <c r="E396" t="n">
        <v>181</v>
      </c>
    </row>
    <row r="397">
      <c r="A397" t="inlineStr">
        <is>
          <t>CIAN</t>
        </is>
      </c>
      <c r="B397" t="inlineStr">
        <is>
          <t>Новосибирск</t>
        </is>
      </c>
      <c r="C397" t="inlineStr">
        <is>
          <t>Продажа · Загородная · Коттедж</t>
        </is>
      </c>
      <c r="D397" t="inlineStr">
        <is>
          <t>Стандарт, ₽/сут</t>
        </is>
      </c>
      <c r="E397" t="n">
        <v>54</v>
      </c>
    </row>
    <row r="398">
      <c r="A398" t="inlineStr">
        <is>
          <t>CIAN</t>
        </is>
      </c>
      <c r="B398" t="inlineStr">
        <is>
          <t>Екатеринбург</t>
        </is>
      </c>
      <c r="C398" t="inlineStr">
        <is>
          <t>Продажа · Загородная · Коттедж</t>
        </is>
      </c>
      <c r="D398" t="inlineStr">
        <is>
          <t>Публикация, ₽/30 дн</t>
        </is>
      </c>
      <c r="E398" t="n">
        <v>813</v>
      </c>
    </row>
    <row r="399">
      <c r="A399" t="inlineStr">
        <is>
          <t>CIAN</t>
        </is>
      </c>
      <c r="B399" t="inlineStr">
        <is>
          <t>Екатеринбург</t>
        </is>
      </c>
      <c r="C399" t="inlineStr">
        <is>
          <t>Продажа · Загородная · Коттедж</t>
        </is>
      </c>
      <c r="D399" t="inlineStr">
        <is>
          <t>Топ, ₽/сут</t>
        </is>
      </c>
      <c r="E399" t="n">
        <v>286</v>
      </c>
    </row>
    <row r="400">
      <c r="A400" t="inlineStr">
        <is>
          <t>CIAN</t>
        </is>
      </c>
      <c r="B400" t="inlineStr">
        <is>
          <t>Екатеринбург</t>
        </is>
      </c>
      <c r="C400" t="inlineStr">
        <is>
          <t>Продажа · Загородная · Коттедж</t>
        </is>
      </c>
      <c r="D400" t="inlineStr">
        <is>
          <t>Премиум, ₽/сут</t>
        </is>
      </c>
      <c r="E400" t="n">
        <v>162</v>
      </c>
    </row>
    <row r="401">
      <c r="A401" t="inlineStr">
        <is>
          <t>CIAN</t>
        </is>
      </c>
      <c r="B401" t="inlineStr">
        <is>
          <t>Екатеринбург</t>
        </is>
      </c>
      <c r="C401" t="inlineStr">
        <is>
          <t>Продажа · Загородная · Коттедж</t>
        </is>
      </c>
      <c r="D401" t="inlineStr">
        <is>
          <t>Стандарт, ₽/сут</t>
        </is>
      </c>
      <c r="E401" t="n">
        <v>48</v>
      </c>
    </row>
    <row r="402">
      <c r="A402" t="inlineStr">
        <is>
          <t>CIAN</t>
        </is>
      </c>
      <c r="B402" t="inlineStr">
        <is>
          <t>Казань</t>
        </is>
      </c>
      <c r="C402" t="inlineStr">
        <is>
          <t>Продажа · Загородная · Коттедж</t>
        </is>
      </c>
      <c r="D402" t="inlineStr">
        <is>
          <t>Публикация, ₽/30 дн</t>
        </is>
      </c>
      <c r="E402" t="n">
        <v>207</v>
      </c>
    </row>
    <row r="403">
      <c r="A403" t="inlineStr">
        <is>
          <t>CIAN</t>
        </is>
      </c>
      <c r="B403" t="inlineStr">
        <is>
          <t>Казань</t>
        </is>
      </c>
      <c r="C403" t="inlineStr">
        <is>
          <t>Продажа · Загородная · Коттедж</t>
        </is>
      </c>
      <c r="D403" t="inlineStr">
        <is>
          <t>Топ, ₽/сут</t>
        </is>
      </c>
      <c r="E403" t="n">
        <v>169</v>
      </c>
    </row>
    <row r="404">
      <c r="A404" t="inlineStr">
        <is>
          <t>CIAN</t>
        </is>
      </c>
      <c r="B404" t="inlineStr">
        <is>
          <t>Казань</t>
        </is>
      </c>
      <c r="C404" t="inlineStr">
        <is>
          <t>Продажа · Загородная · Коттедж</t>
        </is>
      </c>
      <c r="D404" t="inlineStr">
        <is>
          <t>Премиум, ₽/сут</t>
        </is>
      </c>
      <c r="E404" t="n">
        <v>70</v>
      </c>
    </row>
    <row r="405">
      <c r="A405" t="inlineStr">
        <is>
          <t>CIAN</t>
        </is>
      </c>
      <c r="B405" t="inlineStr">
        <is>
          <t>Казань</t>
        </is>
      </c>
      <c r="C405" t="inlineStr">
        <is>
          <t>Продажа · Загородная · Коттедж</t>
        </is>
      </c>
      <c r="D405" t="inlineStr">
        <is>
          <t>Стандарт, ₽/сут</t>
        </is>
      </c>
      <c r="E405" t="n">
        <v>23</v>
      </c>
    </row>
    <row r="406">
      <c r="A406" t="inlineStr">
        <is>
          <t>CIAN</t>
        </is>
      </c>
      <c r="B406" t="inlineStr">
        <is>
          <t>Красноярск</t>
        </is>
      </c>
      <c r="C406" t="inlineStr">
        <is>
          <t>Продажа · Загородная · Коттедж</t>
        </is>
      </c>
      <c r="D406" t="inlineStr">
        <is>
          <t>Публикация, ₽/30 дн</t>
        </is>
      </c>
      <c r="E406" t="n">
        <v>258</v>
      </c>
    </row>
    <row r="407">
      <c r="A407" t="inlineStr">
        <is>
          <t>CIAN</t>
        </is>
      </c>
      <c r="B407" t="inlineStr">
        <is>
          <t>Красноярск</t>
        </is>
      </c>
      <c r="C407" t="inlineStr">
        <is>
          <t>Продажа · Загородная · Коттедж</t>
        </is>
      </c>
      <c r="D407" t="inlineStr">
        <is>
          <t>Топ, ₽/сут</t>
        </is>
      </c>
      <c r="E407" t="inlineStr">
        <is>
          <t>—</t>
        </is>
      </c>
    </row>
    <row r="408">
      <c r="A408" t="inlineStr">
        <is>
          <t>CIAN</t>
        </is>
      </c>
      <c r="B408" t="inlineStr">
        <is>
          <t>Красноярск</t>
        </is>
      </c>
      <c r="C408" t="inlineStr">
        <is>
          <t>Продажа · Загородная · Коттедж</t>
        </is>
      </c>
      <c r="D408" t="inlineStr">
        <is>
          <t>Премиум, ₽/сут</t>
        </is>
      </c>
      <c r="E408" t="inlineStr">
        <is>
          <t>—</t>
        </is>
      </c>
    </row>
    <row r="409">
      <c r="A409" t="inlineStr">
        <is>
          <t>CIAN</t>
        </is>
      </c>
      <c r="B409" t="inlineStr">
        <is>
          <t>Красноярск</t>
        </is>
      </c>
      <c r="C409" t="inlineStr">
        <is>
          <t>Продажа · Загородная · Коттедж</t>
        </is>
      </c>
      <c r="D409" t="inlineStr">
        <is>
          <t>Стандарт, ₽/сут</t>
        </is>
      </c>
      <c r="E409" t="inlineStr">
        <is>
          <t>—</t>
        </is>
      </c>
    </row>
    <row r="410">
      <c r="A410" t="inlineStr">
        <is>
          <t>CIAN</t>
        </is>
      </c>
      <c r="B410" t="inlineStr">
        <is>
          <t>Нижний Новгород</t>
        </is>
      </c>
      <c r="C410" t="inlineStr">
        <is>
          <t>Продажа · Загородная · Коттедж</t>
        </is>
      </c>
      <c r="D410" t="inlineStr">
        <is>
          <t>Публикация, ₽/30 дн</t>
        </is>
      </c>
      <c r="E410" t="n">
        <v>234</v>
      </c>
    </row>
    <row r="411">
      <c r="A411" t="inlineStr">
        <is>
          <t>CIAN</t>
        </is>
      </c>
      <c r="B411" t="inlineStr">
        <is>
          <t>Нижний Новгород</t>
        </is>
      </c>
      <c r="C411" t="inlineStr">
        <is>
          <t>Продажа · Загородная · Коттедж</t>
        </is>
      </c>
      <c r="D411" t="inlineStr">
        <is>
          <t>Топ, ₽/сут</t>
        </is>
      </c>
      <c r="E411" t="n">
        <v>128</v>
      </c>
    </row>
    <row r="412">
      <c r="A412" t="inlineStr">
        <is>
          <t>CIAN</t>
        </is>
      </c>
      <c r="B412" t="inlineStr">
        <is>
          <t>Нижний Новгород</t>
        </is>
      </c>
      <c r="C412" t="inlineStr">
        <is>
          <t>Продажа · Загородная · Коттедж</t>
        </is>
      </c>
      <c r="D412" t="inlineStr">
        <is>
          <t>Премиум, ₽/сут</t>
        </is>
      </c>
      <c r="E412" t="n">
        <v>54</v>
      </c>
    </row>
    <row r="413">
      <c r="A413" t="inlineStr">
        <is>
          <t>CIAN</t>
        </is>
      </c>
      <c r="B413" t="inlineStr">
        <is>
          <t>Нижний Новгород</t>
        </is>
      </c>
      <c r="C413" t="inlineStr">
        <is>
          <t>Продажа · Загородная · Коттедж</t>
        </is>
      </c>
      <c r="D413" t="inlineStr">
        <is>
          <t>Стандарт, ₽/сут</t>
        </is>
      </c>
      <c r="E413" t="n">
        <v>15</v>
      </c>
    </row>
    <row r="414">
      <c r="A414" t="inlineStr">
        <is>
          <t>CIAN</t>
        </is>
      </c>
      <c r="B414" t="inlineStr">
        <is>
          <t>Челябинск</t>
        </is>
      </c>
      <c r="C414" t="inlineStr">
        <is>
          <t>Продажа · Загородная · Коттедж</t>
        </is>
      </c>
      <c r="D414" t="inlineStr">
        <is>
          <t>Публикация, ₽/30 дн</t>
        </is>
      </c>
      <c r="E414" t="n">
        <v>153</v>
      </c>
    </row>
    <row r="415">
      <c r="A415" t="inlineStr">
        <is>
          <t>CIAN</t>
        </is>
      </c>
      <c r="B415" t="inlineStr">
        <is>
          <t>Челябинск</t>
        </is>
      </c>
      <c r="C415" t="inlineStr">
        <is>
          <t>Продажа · Загородная · Коттедж</t>
        </is>
      </c>
      <c r="D415" t="inlineStr">
        <is>
          <t>Топ, ₽/сут</t>
        </is>
      </c>
      <c r="E415" t="n">
        <v>226</v>
      </c>
    </row>
    <row r="416">
      <c r="A416" t="inlineStr">
        <is>
          <t>CIAN</t>
        </is>
      </c>
      <c r="B416" t="inlineStr">
        <is>
          <t>Челябинск</t>
        </is>
      </c>
      <c r="C416" t="inlineStr">
        <is>
          <t>Продажа · Загородная · Коттедж</t>
        </is>
      </c>
      <c r="D416" t="inlineStr">
        <is>
          <t>Премиум, ₽/сут</t>
        </is>
      </c>
      <c r="E416" t="n">
        <v>105</v>
      </c>
    </row>
    <row r="417">
      <c r="A417" t="inlineStr">
        <is>
          <t>CIAN</t>
        </is>
      </c>
      <c r="B417" t="inlineStr">
        <is>
          <t>Челябинск</t>
        </is>
      </c>
      <c r="C417" t="inlineStr">
        <is>
          <t>Продажа · Загородная · Коттедж</t>
        </is>
      </c>
      <c r="D417" t="inlineStr">
        <is>
          <t>Стандарт, ₽/сут</t>
        </is>
      </c>
      <c r="E417" t="n">
        <v>30</v>
      </c>
    </row>
    <row r="418">
      <c r="A418" t="inlineStr">
        <is>
          <t>CIAN</t>
        </is>
      </c>
      <c r="B418" t="inlineStr">
        <is>
          <t>Уфа</t>
        </is>
      </c>
      <c r="C418" t="inlineStr">
        <is>
          <t>Продажа · Загородная · Коттедж</t>
        </is>
      </c>
      <c r="D418" t="inlineStr">
        <is>
          <t>Публикация, ₽/30 дн</t>
        </is>
      </c>
      <c r="E418" t="n">
        <v>141</v>
      </c>
    </row>
    <row r="419">
      <c r="A419" t="inlineStr">
        <is>
          <t>CIAN</t>
        </is>
      </c>
      <c r="B419" t="inlineStr">
        <is>
          <t>Уфа</t>
        </is>
      </c>
      <c r="C419" t="inlineStr">
        <is>
          <t>Продажа · Загородная · Коттедж</t>
        </is>
      </c>
      <c r="D419" t="inlineStr">
        <is>
          <t>Топ, ₽/сут</t>
        </is>
      </c>
      <c r="E419" t="n">
        <v>131</v>
      </c>
    </row>
    <row r="420">
      <c r="A420" t="inlineStr">
        <is>
          <t>CIAN</t>
        </is>
      </c>
      <c r="B420" t="inlineStr">
        <is>
          <t>Уфа</t>
        </is>
      </c>
      <c r="C420" t="inlineStr">
        <is>
          <t>Продажа · Загородная · Коттедж</t>
        </is>
      </c>
      <c r="D420" t="inlineStr">
        <is>
          <t>Премиум, ₽/сут</t>
        </is>
      </c>
      <c r="E420" t="n">
        <v>54</v>
      </c>
    </row>
    <row r="421">
      <c r="A421" t="inlineStr">
        <is>
          <t>CIAN</t>
        </is>
      </c>
      <c r="B421" t="inlineStr">
        <is>
          <t>Уфа</t>
        </is>
      </c>
      <c r="C421" t="inlineStr">
        <is>
          <t>Продажа · Загородная · Коттедж</t>
        </is>
      </c>
      <c r="D421" t="inlineStr">
        <is>
          <t>Стандарт, ₽/сут</t>
        </is>
      </c>
      <c r="E421" t="n">
        <v>18</v>
      </c>
    </row>
    <row r="422">
      <c r="A422" t="inlineStr">
        <is>
          <t>CIAN</t>
        </is>
      </c>
      <c r="B422" t="inlineStr">
        <is>
          <t>Краснодар</t>
        </is>
      </c>
      <c r="C422" t="inlineStr">
        <is>
          <t>Продажа · Загородная · Коттедж</t>
        </is>
      </c>
      <c r="D422" t="inlineStr">
        <is>
          <t>Публикация, ₽/30 дн</t>
        </is>
      </c>
      <c r="E422" t="n">
        <v>210</v>
      </c>
    </row>
    <row r="423">
      <c r="A423" t="inlineStr">
        <is>
          <t>CIAN</t>
        </is>
      </c>
      <c r="B423" t="inlineStr">
        <is>
          <t>Краснодар</t>
        </is>
      </c>
      <c r="C423" t="inlineStr">
        <is>
          <t>Продажа · Загородная · Коттедж</t>
        </is>
      </c>
      <c r="D423" t="inlineStr">
        <is>
          <t>Топ, ₽/сут</t>
        </is>
      </c>
      <c r="E423" t="n">
        <v>169</v>
      </c>
    </row>
    <row r="424">
      <c r="A424" t="inlineStr">
        <is>
          <t>CIAN</t>
        </is>
      </c>
      <c r="B424" t="inlineStr">
        <is>
          <t>Краснодар</t>
        </is>
      </c>
      <c r="C424" t="inlineStr">
        <is>
          <t>Продажа · Загородная · Коттедж</t>
        </is>
      </c>
      <c r="D424" t="inlineStr">
        <is>
          <t>Премиум, ₽/сут</t>
        </is>
      </c>
      <c r="E424" t="n">
        <v>66</v>
      </c>
    </row>
    <row r="425">
      <c r="A425" t="inlineStr">
        <is>
          <t>CIAN</t>
        </is>
      </c>
      <c r="B425" t="inlineStr">
        <is>
          <t>Краснодар</t>
        </is>
      </c>
      <c r="C425" t="inlineStr">
        <is>
          <t>Продажа · Загородная · Коттедж</t>
        </is>
      </c>
      <c r="D425" t="inlineStr">
        <is>
          <t>Стандарт, ₽/сут</t>
        </is>
      </c>
      <c r="E425" t="n">
        <v>19</v>
      </c>
    </row>
    <row r="426">
      <c r="A426" t="inlineStr">
        <is>
          <t>CIAN</t>
        </is>
      </c>
      <c r="B426" t="inlineStr">
        <is>
          <t>Самара</t>
        </is>
      </c>
      <c r="C426" t="inlineStr">
        <is>
          <t>Продажа · Загородная · Коттедж</t>
        </is>
      </c>
      <c r="D426" t="inlineStr">
        <is>
          <t>Публикация, ₽/30 дн</t>
        </is>
      </c>
      <c r="E426" t="n">
        <v>252</v>
      </c>
    </row>
    <row r="427">
      <c r="A427" t="inlineStr">
        <is>
          <t>CIAN</t>
        </is>
      </c>
      <c r="B427" t="inlineStr">
        <is>
          <t>Самара</t>
        </is>
      </c>
      <c r="C427" t="inlineStr">
        <is>
          <t>Продажа · Загородная · Коттедж</t>
        </is>
      </c>
      <c r="D427" t="inlineStr">
        <is>
          <t>Топ, ₽/сут</t>
        </is>
      </c>
      <c r="E427" t="inlineStr">
        <is>
          <t>—</t>
        </is>
      </c>
    </row>
    <row r="428">
      <c r="A428" t="inlineStr">
        <is>
          <t>CIAN</t>
        </is>
      </c>
      <c r="B428" t="inlineStr">
        <is>
          <t>Самара</t>
        </is>
      </c>
      <c r="C428" t="inlineStr">
        <is>
          <t>Продажа · Загородная · Коттедж</t>
        </is>
      </c>
      <c r="D428" t="inlineStr">
        <is>
          <t>Премиум, ₽/сут</t>
        </is>
      </c>
      <c r="E428" t="inlineStr">
        <is>
          <t>—</t>
        </is>
      </c>
    </row>
    <row r="429">
      <c r="A429" t="inlineStr">
        <is>
          <t>CIAN</t>
        </is>
      </c>
      <c r="B429" t="inlineStr">
        <is>
          <t>Самара</t>
        </is>
      </c>
      <c r="C429" t="inlineStr">
        <is>
          <t>Продажа · Загородная · Коттедж</t>
        </is>
      </c>
      <c r="D429" t="inlineStr">
        <is>
          <t>Стандарт, ₽/сут</t>
        </is>
      </c>
      <c r="E429" t="inlineStr">
        <is>
          <t>—</t>
        </is>
      </c>
    </row>
    <row r="430">
      <c r="A430" t="inlineStr">
        <is>
          <t>CIAN</t>
        </is>
      </c>
      <c r="B430" t="inlineStr">
        <is>
          <t>Ростов-на-Дону</t>
        </is>
      </c>
      <c r="C430" t="inlineStr">
        <is>
          <t>Продажа · Загородная · Коттедж</t>
        </is>
      </c>
      <c r="D430" t="inlineStr">
        <is>
          <t>Публикация, ₽/30 дн</t>
        </is>
      </c>
      <c r="E430" t="n">
        <v>234</v>
      </c>
    </row>
    <row r="431">
      <c r="A431" t="inlineStr">
        <is>
          <t>CIAN</t>
        </is>
      </c>
      <c r="B431" t="inlineStr">
        <is>
          <t>Ростов-на-Дону</t>
        </is>
      </c>
      <c r="C431" t="inlineStr">
        <is>
          <t>Продажа · Загородная · Коттедж</t>
        </is>
      </c>
      <c r="D431" t="inlineStr">
        <is>
          <t>Топ, ₽/сут</t>
        </is>
      </c>
      <c r="E431" t="n">
        <v>172</v>
      </c>
    </row>
    <row r="432">
      <c r="A432" t="inlineStr">
        <is>
          <t>CIAN</t>
        </is>
      </c>
      <c r="B432" t="inlineStr">
        <is>
          <t>Ростов-на-Дону</t>
        </is>
      </c>
      <c r="C432" t="inlineStr">
        <is>
          <t>Продажа · Загородная · Коттедж</t>
        </is>
      </c>
      <c r="D432" t="inlineStr">
        <is>
          <t>Премиум, ₽/сут</t>
        </is>
      </c>
      <c r="E432" t="n">
        <v>75</v>
      </c>
    </row>
    <row r="433">
      <c r="A433" t="inlineStr">
        <is>
          <t>CIAN</t>
        </is>
      </c>
      <c r="B433" t="inlineStr">
        <is>
          <t>Ростов-на-Дону</t>
        </is>
      </c>
      <c r="C433" t="inlineStr">
        <is>
          <t>Продажа · Загородная · Коттедж</t>
        </is>
      </c>
      <c r="D433" t="inlineStr">
        <is>
          <t>Стандарт, ₽/сут</t>
        </is>
      </c>
      <c r="E433" t="n">
        <v>22</v>
      </c>
    </row>
    <row r="434">
      <c r="A434" t="inlineStr">
        <is>
          <t>CIAN</t>
        </is>
      </c>
      <c r="B434" t="inlineStr">
        <is>
          <t>Омск</t>
        </is>
      </c>
      <c r="C434" t="inlineStr">
        <is>
          <t>Продажа · Загородная · Коттедж</t>
        </is>
      </c>
      <c r="D434" t="inlineStr">
        <is>
          <t>Публикация, ₽/30 дн</t>
        </is>
      </c>
      <c r="E434" t="n">
        <v>354</v>
      </c>
    </row>
    <row r="435">
      <c r="A435" t="inlineStr">
        <is>
          <t>CIAN</t>
        </is>
      </c>
      <c r="B435" t="inlineStr">
        <is>
          <t>Омск</t>
        </is>
      </c>
      <c r="C435" t="inlineStr">
        <is>
          <t>Продажа · Загородная · Коттедж</t>
        </is>
      </c>
      <c r="D435" t="inlineStr">
        <is>
          <t>Топ, ₽/сут</t>
        </is>
      </c>
      <c r="E435" t="n">
        <v>219</v>
      </c>
    </row>
    <row r="436">
      <c r="A436" t="inlineStr">
        <is>
          <t>CIAN</t>
        </is>
      </c>
      <c r="B436" t="inlineStr">
        <is>
          <t>Омск</t>
        </is>
      </c>
      <c r="C436" t="inlineStr">
        <is>
          <t>Продажа · Загородная · Коттедж</t>
        </is>
      </c>
      <c r="D436" t="inlineStr">
        <is>
          <t>Премиум, ₽/сут</t>
        </is>
      </c>
      <c r="E436" t="n">
        <v>102</v>
      </c>
    </row>
    <row r="437">
      <c r="A437" t="inlineStr">
        <is>
          <t>CIAN</t>
        </is>
      </c>
      <c r="B437" t="inlineStr">
        <is>
          <t>Омск</t>
        </is>
      </c>
      <c r="C437" t="inlineStr">
        <is>
          <t>Продажа · Загородная · Коттедж</t>
        </is>
      </c>
      <c r="D437" t="inlineStr">
        <is>
          <t>Стандарт, ₽/сут</t>
        </is>
      </c>
      <c r="E437" t="n">
        <v>32</v>
      </c>
    </row>
    <row r="438">
      <c r="A438" t="inlineStr">
        <is>
          <t>CIAN</t>
        </is>
      </c>
      <c r="B438" t="inlineStr">
        <is>
          <t>Воронеж</t>
        </is>
      </c>
      <c r="C438" t="inlineStr">
        <is>
          <t>Продажа · Загородная · Коттедж</t>
        </is>
      </c>
      <c r="D438" t="inlineStr">
        <is>
          <t>Публикация, ₽/30 дн</t>
        </is>
      </c>
      <c r="E438" t="n">
        <v>168</v>
      </c>
    </row>
    <row r="439">
      <c r="A439" t="inlineStr">
        <is>
          <t>CIAN</t>
        </is>
      </c>
      <c r="B439" t="inlineStr">
        <is>
          <t>Воронеж</t>
        </is>
      </c>
      <c r="C439" t="inlineStr">
        <is>
          <t>Продажа · Загородная · Коттедж</t>
        </is>
      </c>
      <c r="D439" t="inlineStr">
        <is>
          <t>Топ, ₽/сут</t>
        </is>
      </c>
      <c r="E439" t="inlineStr">
        <is>
          <t>—</t>
        </is>
      </c>
    </row>
    <row r="440">
      <c r="A440" t="inlineStr">
        <is>
          <t>CIAN</t>
        </is>
      </c>
      <c r="B440" t="inlineStr">
        <is>
          <t>Воронеж</t>
        </is>
      </c>
      <c r="C440" t="inlineStr">
        <is>
          <t>Продажа · Загородная · Коттедж</t>
        </is>
      </c>
      <c r="D440" t="inlineStr">
        <is>
          <t>Премиум, ₽/сут</t>
        </is>
      </c>
      <c r="E440" t="inlineStr">
        <is>
          <t>—</t>
        </is>
      </c>
    </row>
    <row r="441">
      <c r="A441" t="inlineStr">
        <is>
          <t>CIAN</t>
        </is>
      </c>
      <c r="B441" t="inlineStr">
        <is>
          <t>Воронеж</t>
        </is>
      </c>
      <c r="C441" t="inlineStr">
        <is>
          <t>Продажа · Загородная · Коттедж</t>
        </is>
      </c>
      <c r="D441" t="inlineStr">
        <is>
          <t>Стандарт, ₽/сут</t>
        </is>
      </c>
      <c r="E441" t="inlineStr">
        <is>
          <t>—</t>
        </is>
      </c>
    </row>
    <row r="442">
      <c r="A442" t="inlineStr">
        <is>
          <t>CIAN</t>
        </is>
      </c>
      <c r="B442" t="inlineStr">
        <is>
          <t>Пермь</t>
        </is>
      </c>
      <c r="C442" t="inlineStr">
        <is>
          <t>Продажа · Загородная · Коттедж</t>
        </is>
      </c>
      <c r="D442" t="inlineStr">
        <is>
          <t>Публикация, ₽/30 дн</t>
        </is>
      </c>
      <c r="E442" t="n">
        <v>153</v>
      </c>
    </row>
    <row r="443">
      <c r="A443" t="inlineStr">
        <is>
          <t>CIAN</t>
        </is>
      </c>
      <c r="B443" t="inlineStr">
        <is>
          <t>Пермь</t>
        </is>
      </c>
      <c r="C443" t="inlineStr">
        <is>
          <t>Продажа · Загородная · Коттедж</t>
        </is>
      </c>
      <c r="D443" t="inlineStr">
        <is>
          <t>Топ, ₽/сут</t>
        </is>
      </c>
      <c r="E443" t="inlineStr">
        <is>
          <t>—</t>
        </is>
      </c>
    </row>
    <row r="444">
      <c r="A444" t="inlineStr">
        <is>
          <t>CIAN</t>
        </is>
      </c>
      <c r="B444" t="inlineStr">
        <is>
          <t>Пермь</t>
        </is>
      </c>
      <c r="C444" t="inlineStr">
        <is>
          <t>Продажа · Загородная · Коттедж</t>
        </is>
      </c>
      <c r="D444" t="inlineStr">
        <is>
          <t>Премиум, ₽/сут</t>
        </is>
      </c>
      <c r="E444" t="inlineStr">
        <is>
          <t>—</t>
        </is>
      </c>
    </row>
    <row r="445">
      <c r="A445" t="inlineStr">
        <is>
          <t>CIAN</t>
        </is>
      </c>
      <c r="B445" t="inlineStr">
        <is>
          <t>Пермь</t>
        </is>
      </c>
      <c r="C445" t="inlineStr">
        <is>
          <t>Продажа · Загородная · Коттедж</t>
        </is>
      </c>
      <c r="D445" t="inlineStr">
        <is>
          <t>Стандарт, ₽/сут</t>
        </is>
      </c>
      <c r="E445" t="inlineStr">
        <is>
          <t>—</t>
        </is>
      </c>
    </row>
    <row r="446">
      <c r="A446" t="inlineStr">
        <is>
          <t>CIAN</t>
        </is>
      </c>
      <c r="B446" t="inlineStr">
        <is>
          <t>Волгоград</t>
        </is>
      </c>
      <c r="C446" t="inlineStr">
        <is>
          <t>Продажа · Загородная · Коттедж</t>
        </is>
      </c>
      <c r="D446" t="inlineStr">
        <is>
          <t>Публикация, ₽/30 дн</t>
        </is>
      </c>
      <c r="E446" t="n">
        <v>111</v>
      </c>
    </row>
    <row r="447">
      <c r="A447" t="inlineStr">
        <is>
          <t>CIAN</t>
        </is>
      </c>
      <c r="B447" t="inlineStr">
        <is>
          <t>Волгоград</t>
        </is>
      </c>
      <c r="C447" t="inlineStr">
        <is>
          <t>Продажа · Загородная · Коттедж</t>
        </is>
      </c>
      <c r="D447" t="inlineStr">
        <is>
          <t>Топ, ₽/сут</t>
        </is>
      </c>
      <c r="E447" t="inlineStr">
        <is>
          <t>—</t>
        </is>
      </c>
    </row>
    <row r="448">
      <c r="A448" t="inlineStr">
        <is>
          <t>CIAN</t>
        </is>
      </c>
      <c r="B448" t="inlineStr">
        <is>
          <t>Волгоград</t>
        </is>
      </c>
      <c r="C448" t="inlineStr">
        <is>
          <t>Продажа · Загородная · Коттедж</t>
        </is>
      </c>
      <c r="D448" t="inlineStr">
        <is>
          <t>Премиум, ₽/сут</t>
        </is>
      </c>
      <c r="E448" t="inlineStr">
        <is>
          <t>—</t>
        </is>
      </c>
    </row>
    <row r="449">
      <c r="A449" t="inlineStr">
        <is>
          <t>CIAN</t>
        </is>
      </c>
      <c r="B449" t="inlineStr">
        <is>
          <t>Волгоград</t>
        </is>
      </c>
      <c r="C449" t="inlineStr">
        <is>
          <t>Продажа · Загородная · Коттедж</t>
        </is>
      </c>
      <c r="D449" t="inlineStr">
        <is>
          <t>Стандарт, ₽/сут</t>
        </is>
      </c>
      <c r="E449" t="inlineStr">
        <is>
          <t>—</t>
        </is>
      </c>
    </row>
    <row r="450">
      <c r="A450" t="inlineStr">
        <is>
          <t>CIAN</t>
        </is>
      </c>
      <c r="B450" t="inlineStr">
        <is>
          <t>Москва</t>
        </is>
      </c>
      <c r="C450" t="inlineStr">
        <is>
          <t>Продажа · Загородная · Дом/Дача</t>
        </is>
      </c>
      <c r="D450" t="inlineStr">
        <is>
          <t>Публикация, ₽/30 дн</t>
        </is>
      </c>
      <c r="E450" t="n">
        <v>3090</v>
      </c>
    </row>
    <row r="451">
      <c r="A451" t="inlineStr">
        <is>
          <t>CIAN</t>
        </is>
      </c>
      <c r="B451" t="inlineStr">
        <is>
          <t>Москва</t>
        </is>
      </c>
      <c r="C451" t="inlineStr">
        <is>
          <t>Продажа · Загородная · Дом/Дача</t>
        </is>
      </c>
      <c r="D451" t="inlineStr">
        <is>
          <t>Топ, ₽/сут</t>
        </is>
      </c>
      <c r="E451" t="n">
        <v>1213</v>
      </c>
    </row>
    <row r="452">
      <c r="A452" t="inlineStr">
        <is>
          <t>CIAN</t>
        </is>
      </c>
      <c r="B452" t="inlineStr">
        <is>
          <t>Москва</t>
        </is>
      </c>
      <c r="C452" t="inlineStr">
        <is>
          <t>Продажа · Загородная · Дом/Дача</t>
        </is>
      </c>
      <c r="D452" t="inlineStr">
        <is>
          <t>Премиум, ₽/сут</t>
        </is>
      </c>
      <c r="E452" t="n">
        <v>512</v>
      </c>
    </row>
    <row r="453">
      <c r="A453" t="inlineStr">
        <is>
          <t>CIAN</t>
        </is>
      </c>
      <c r="B453" t="inlineStr">
        <is>
          <t>Москва</t>
        </is>
      </c>
      <c r="C453" t="inlineStr">
        <is>
          <t>Продажа · Загородная · Дом/Дача</t>
        </is>
      </c>
      <c r="D453" t="inlineStr">
        <is>
          <t>Стандарт, ₽/сут</t>
        </is>
      </c>
      <c r="E453" t="n">
        <v>155</v>
      </c>
    </row>
    <row r="454">
      <c r="A454" t="inlineStr">
        <is>
          <t>CIAN</t>
        </is>
      </c>
      <c r="B454" t="inlineStr">
        <is>
          <t>Санкт-Петербург</t>
        </is>
      </c>
      <c r="C454" t="inlineStr">
        <is>
          <t>Продажа · Загородная · Дом/Дача</t>
        </is>
      </c>
      <c r="D454" t="inlineStr">
        <is>
          <t>Публикация, ₽/30 дн</t>
        </is>
      </c>
      <c r="E454" t="n">
        <v>723</v>
      </c>
    </row>
    <row r="455">
      <c r="A455" t="inlineStr">
        <is>
          <t>CIAN</t>
        </is>
      </c>
      <c r="B455" t="inlineStr">
        <is>
          <t>Санкт-Петербург</t>
        </is>
      </c>
      <c r="C455" t="inlineStr">
        <is>
          <t>Продажа · Загородная · Дом/Дача</t>
        </is>
      </c>
      <c r="D455" t="inlineStr">
        <is>
          <t>Топ, ₽/сут</t>
        </is>
      </c>
      <c r="E455" t="n">
        <v>272</v>
      </c>
    </row>
    <row r="456">
      <c r="A456" t="inlineStr">
        <is>
          <t>CIAN</t>
        </is>
      </c>
      <c r="B456" t="inlineStr">
        <is>
          <t>Санкт-Петербург</t>
        </is>
      </c>
      <c r="C456" t="inlineStr">
        <is>
          <t>Продажа · Загородная · Дом/Дача</t>
        </is>
      </c>
      <c r="D456" t="inlineStr">
        <is>
          <t>Премиум, ₽/сут</t>
        </is>
      </c>
      <c r="E456" t="n">
        <v>115</v>
      </c>
    </row>
    <row r="457">
      <c r="A457" t="inlineStr">
        <is>
          <t>CIAN</t>
        </is>
      </c>
      <c r="B457" t="inlineStr">
        <is>
          <t>Санкт-Петербург</t>
        </is>
      </c>
      <c r="C457" t="inlineStr">
        <is>
          <t>Продажа · Загородная · Дом/Дача</t>
        </is>
      </c>
      <c r="D457" t="inlineStr">
        <is>
          <t>Стандарт, ₽/сут</t>
        </is>
      </c>
      <c r="E457" t="n">
        <v>36</v>
      </c>
    </row>
    <row r="458">
      <c r="A458" t="inlineStr">
        <is>
          <t>CIAN</t>
        </is>
      </c>
      <c r="B458" t="inlineStr">
        <is>
          <t>Новосибирск</t>
        </is>
      </c>
      <c r="C458" t="inlineStr">
        <is>
          <t>Продажа · Загородная · Дом/Дача</t>
        </is>
      </c>
      <c r="D458" t="inlineStr">
        <is>
          <t>Публикация, ₽/30 дн</t>
        </is>
      </c>
      <c r="E458" t="n">
        <v>1050</v>
      </c>
    </row>
    <row r="459">
      <c r="A459" t="inlineStr">
        <is>
          <t>CIAN</t>
        </is>
      </c>
      <c r="B459" t="inlineStr">
        <is>
          <t>Новосибирск</t>
        </is>
      </c>
      <c r="C459" t="inlineStr">
        <is>
          <t>Продажа · Загородная · Дом/Дача</t>
        </is>
      </c>
      <c r="D459" t="inlineStr">
        <is>
          <t>Топ, ₽/сут</t>
        </is>
      </c>
      <c r="E459" t="n">
        <v>290</v>
      </c>
    </row>
    <row r="460">
      <c r="A460" t="inlineStr">
        <is>
          <t>CIAN</t>
        </is>
      </c>
      <c r="B460" t="inlineStr">
        <is>
          <t>Новосибирск</t>
        </is>
      </c>
      <c r="C460" t="inlineStr">
        <is>
          <t>Продажа · Загородная · Дом/Дача</t>
        </is>
      </c>
      <c r="D460" t="inlineStr">
        <is>
          <t>Премиум, ₽/сут</t>
        </is>
      </c>
      <c r="E460" t="n">
        <v>149</v>
      </c>
    </row>
    <row r="461">
      <c r="A461" t="inlineStr">
        <is>
          <t>CIAN</t>
        </is>
      </c>
      <c r="B461" t="inlineStr">
        <is>
          <t>Новосибирск</t>
        </is>
      </c>
      <c r="C461" t="inlineStr">
        <is>
          <t>Продажа · Загородная · Дом/Дача</t>
        </is>
      </c>
      <c r="D461" t="inlineStr">
        <is>
          <t>Стандарт, ₽/сут</t>
        </is>
      </c>
      <c r="E461" t="n">
        <v>45</v>
      </c>
    </row>
    <row r="462">
      <c r="A462" t="inlineStr">
        <is>
          <t>CIAN</t>
        </is>
      </c>
      <c r="B462" t="inlineStr">
        <is>
          <t>Екатеринбург</t>
        </is>
      </c>
      <c r="C462" t="inlineStr">
        <is>
          <t>Продажа · Загородная · Дом/Дача</t>
        </is>
      </c>
      <c r="D462" t="inlineStr">
        <is>
          <t>Публикация, ₽/30 дн</t>
        </is>
      </c>
      <c r="E462" t="n">
        <v>813</v>
      </c>
    </row>
    <row r="463">
      <c r="A463" t="inlineStr">
        <is>
          <t>CIAN</t>
        </is>
      </c>
      <c r="B463" t="inlineStr">
        <is>
          <t>Екатеринбург</t>
        </is>
      </c>
      <c r="C463" t="inlineStr">
        <is>
          <t>Продажа · Загородная · Дом/Дача</t>
        </is>
      </c>
      <c r="D463" t="inlineStr">
        <is>
          <t>Топ, ₽/сут</t>
        </is>
      </c>
      <c r="E463" t="n">
        <v>317</v>
      </c>
    </row>
    <row r="464">
      <c r="A464" t="inlineStr">
        <is>
          <t>CIAN</t>
        </is>
      </c>
      <c r="B464" t="inlineStr">
        <is>
          <t>Екатеринбург</t>
        </is>
      </c>
      <c r="C464" t="inlineStr">
        <is>
          <t>Продажа · Загородная · Дом/Дача</t>
        </is>
      </c>
      <c r="D464" t="inlineStr">
        <is>
          <t>Премиум, ₽/сут</t>
        </is>
      </c>
      <c r="E464" t="n">
        <v>171</v>
      </c>
    </row>
    <row r="465">
      <c r="A465" t="inlineStr">
        <is>
          <t>CIAN</t>
        </is>
      </c>
      <c r="B465" t="inlineStr">
        <is>
          <t>Екатеринбург</t>
        </is>
      </c>
      <c r="C465" t="inlineStr">
        <is>
          <t>Продажа · Загородная · Дом/Дача</t>
        </is>
      </c>
      <c r="D465" t="inlineStr">
        <is>
          <t>Стандарт, ₽/сут</t>
        </is>
      </c>
      <c r="E465" t="n">
        <v>50</v>
      </c>
    </row>
    <row r="466">
      <c r="A466" t="inlineStr">
        <is>
          <t>CIAN</t>
        </is>
      </c>
      <c r="B466" t="inlineStr">
        <is>
          <t>Казань</t>
        </is>
      </c>
      <c r="C466" t="inlineStr">
        <is>
          <t>Продажа · Загородная · Дом/Дача</t>
        </is>
      </c>
      <c r="D466" t="inlineStr">
        <is>
          <t>Публикация, ₽/30 дн</t>
        </is>
      </c>
      <c r="E466" t="n">
        <v>207</v>
      </c>
    </row>
    <row r="467">
      <c r="A467" t="inlineStr">
        <is>
          <t>CIAN</t>
        </is>
      </c>
      <c r="B467" t="inlineStr">
        <is>
          <t>Казань</t>
        </is>
      </c>
      <c r="C467" t="inlineStr">
        <is>
          <t>Продажа · Загородная · Дом/Дача</t>
        </is>
      </c>
      <c r="D467" t="inlineStr">
        <is>
          <t>Топ, ₽/сут</t>
        </is>
      </c>
      <c r="E467" t="n">
        <v>126</v>
      </c>
    </row>
    <row r="468">
      <c r="A468" t="inlineStr">
        <is>
          <t>CIAN</t>
        </is>
      </c>
      <c r="B468" t="inlineStr">
        <is>
          <t>Казань</t>
        </is>
      </c>
      <c r="C468" t="inlineStr">
        <is>
          <t>Продажа · Загородная · Дом/Дача</t>
        </is>
      </c>
      <c r="D468" t="inlineStr">
        <is>
          <t>Премиум, ₽/сут</t>
        </is>
      </c>
      <c r="E468" t="n">
        <v>56</v>
      </c>
    </row>
    <row r="469">
      <c r="A469" t="inlineStr">
        <is>
          <t>CIAN</t>
        </is>
      </c>
      <c r="B469" t="inlineStr">
        <is>
          <t>Казань</t>
        </is>
      </c>
      <c r="C469" t="inlineStr">
        <is>
          <t>Продажа · Загородная · Дом/Дача</t>
        </is>
      </c>
      <c r="D469" t="inlineStr">
        <is>
          <t>Стандарт, ₽/сут</t>
        </is>
      </c>
      <c r="E469" t="n">
        <v>18</v>
      </c>
    </row>
    <row r="470">
      <c r="A470" t="inlineStr">
        <is>
          <t>CIAN</t>
        </is>
      </c>
      <c r="B470" t="inlineStr">
        <is>
          <t>Красноярск</t>
        </is>
      </c>
      <c r="C470" t="inlineStr">
        <is>
          <t>Продажа · Загородная · Дом/Дача</t>
        </is>
      </c>
      <c r="D470" t="inlineStr">
        <is>
          <t>Публикация, ₽/30 дн</t>
        </is>
      </c>
      <c r="E470" t="n">
        <v>270</v>
      </c>
    </row>
    <row r="471">
      <c r="A471" t="inlineStr">
        <is>
          <t>CIAN</t>
        </is>
      </c>
      <c r="B471" t="inlineStr">
        <is>
          <t>Красноярск</t>
        </is>
      </c>
      <c r="C471" t="inlineStr">
        <is>
          <t>Продажа · Загородная · Дом/Дача</t>
        </is>
      </c>
      <c r="D471" t="inlineStr">
        <is>
          <t>Топ, ₽/сут</t>
        </is>
      </c>
      <c r="E471" t="inlineStr">
        <is>
          <t>—</t>
        </is>
      </c>
    </row>
    <row r="472">
      <c r="A472" t="inlineStr">
        <is>
          <t>CIAN</t>
        </is>
      </c>
      <c r="B472" t="inlineStr">
        <is>
          <t>Красноярск</t>
        </is>
      </c>
      <c r="C472" t="inlineStr">
        <is>
          <t>Продажа · Загородная · Дом/Дача</t>
        </is>
      </c>
      <c r="D472" t="inlineStr">
        <is>
          <t>Премиум, ₽/сут</t>
        </is>
      </c>
      <c r="E472" t="inlineStr">
        <is>
          <t>—</t>
        </is>
      </c>
    </row>
    <row r="473">
      <c r="A473" t="inlineStr">
        <is>
          <t>CIAN</t>
        </is>
      </c>
      <c r="B473" t="inlineStr">
        <is>
          <t>Красноярск</t>
        </is>
      </c>
      <c r="C473" t="inlineStr">
        <is>
          <t>Продажа · Загородная · Дом/Дача</t>
        </is>
      </c>
      <c r="D473" t="inlineStr">
        <is>
          <t>Стандарт, ₽/сут</t>
        </is>
      </c>
      <c r="E473" t="inlineStr">
        <is>
          <t>—</t>
        </is>
      </c>
    </row>
    <row r="474">
      <c r="A474" t="inlineStr">
        <is>
          <t>CIAN</t>
        </is>
      </c>
      <c r="B474" t="inlineStr">
        <is>
          <t>Нижний Новгород</t>
        </is>
      </c>
      <c r="C474" t="inlineStr">
        <is>
          <t>Продажа · Загородная · Дом/Дача</t>
        </is>
      </c>
      <c r="D474" t="inlineStr">
        <is>
          <t>Публикация, ₽/30 дн</t>
        </is>
      </c>
      <c r="E474" t="n">
        <v>207</v>
      </c>
    </row>
    <row r="475">
      <c r="A475" t="inlineStr">
        <is>
          <t>CIAN</t>
        </is>
      </c>
      <c r="B475" t="inlineStr">
        <is>
          <t>Нижний Новгород</t>
        </is>
      </c>
      <c r="C475" t="inlineStr">
        <is>
          <t>Продажа · Загородная · Дом/Дача</t>
        </is>
      </c>
      <c r="D475" t="inlineStr">
        <is>
          <t>Топ, ₽/сут</t>
        </is>
      </c>
      <c r="E475" t="n">
        <v>118</v>
      </c>
    </row>
    <row r="476">
      <c r="A476" t="inlineStr">
        <is>
          <t>CIAN</t>
        </is>
      </c>
      <c r="B476" t="inlineStr">
        <is>
          <t>Нижний Новгород</t>
        </is>
      </c>
      <c r="C476" t="inlineStr">
        <is>
          <t>Продажа · Загородная · Дом/Дача</t>
        </is>
      </c>
      <c r="D476" t="inlineStr">
        <is>
          <t>Премиум, ₽/сут</t>
        </is>
      </c>
      <c r="E476" t="n">
        <v>48</v>
      </c>
    </row>
    <row r="477">
      <c r="A477" t="inlineStr">
        <is>
          <t>CIAN</t>
        </is>
      </c>
      <c r="B477" t="inlineStr">
        <is>
          <t>Нижний Новгород</t>
        </is>
      </c>
      <c r="C477" t="inlineStr">
        <is>
          <t>Продажа · Загородная · Дом/Дача</t>
        </is>
      </c>
      <c r="D477" t="inlineStr">
        <is>
          <t>Стандарт, ₽/сут</t>
        </is>
      </c>
      <c r="E477" t="n">
        <v>14</v>
      </c>
    </row>
    <row r="478">
      <c r="A478" t="inlineStr">
        <is>
          <t>CIAN</t>
        </is>
      </c>
      <c r="B478" t="inlineStr">
        <is>
          <t>Челябинск</t>
        </is>
      </c>
      <c r="C478" t="inlineStr">
        <is>
          <t>Продажа · Загородная · Дом/Дача</t>
        </is>
      </c>
      <c r="D478" t="inlineStr">
        <is>
          <t>Публикация, ₽/30 дн</t>
        </is>
      </c>
      <c r="E478" t="n">
        <v>258</v>
      </c>
    </row>
    <row r="479">
      <c r="A479" t="inlineStr">
        <is>
          <t>CIAN</t>
        </is>
      </c>
      <c r="B479" t="inlineStr">
        <is>
          <t>Челябинск</t>
        </is>
      </c>
      <c r="C479" t="inlineStr">
        <is>
          <t>Продажа · Загородная · Дом/Дача</t>
        </is>
      </c>
      <c r="D479" t="inlineStr">
        <is>
          <t>Топ, ₽/сут</t>
        </is>
      </c>
      <c r="E479" t="n">
        <v>184</v>
      </c>
    </row>
    <row r="480">
      <c r="A480" t="inlineStr">
        <is>
          <t>CIAN</t>
        </is>
      </c>
      <c r="B480" t="inlineStr">
        <is>
          <t>Челябинск</t>
        </is>
      </c>
      <c r="C480" t="inlineStr">
        <is>
          <t>Продажа · Загородная · Дом/Дача</t>
        </is>
      </c>
      <c r="D480" t="inlineStr">
        <is>
          <t>Премиум, ₽/сут</t>
        </is>
      </c>
      <c r="E480" t="n">
        <v>89</v>
      </c>
    </row>
    <row r="481">
      <c r="A481" t="inlineStr">
        <is>
          <t>CIAN</t>
        </is>
      </c>
      <c r="B481" t="inlineStr">
        <is>
          <t>Челябинск</t>
        </is>
      </c>
      <c r="C481" t="inlineStr">
        <is>
          <t>Продажа · Загородная · Дом/Дача</t>
        </is>
      </c>
      <c r="D481" t="inlineStr">
        <is>
          <t>Стандарт, ₽/сут</t>
        </is>
      </c>
      <c r="E481" t="n">
        <v>26</v>
      </c>
    </row>
    <row r="482">
      <c r="A482" t="inlineStr">
        <is>
          <t>CIAN</t>
        </is>
      </c>
      <c r="B482" t="inlineStr">
        <is>
          <t>Уфа</t>
        </is>
      </c>
      <c r="C482" t="inlineStr">
        <is>
          <t>Продажа · Загородная · Дом/Дача</t>
        </is>
      </c>
      <c r="D482" t="inlineStr">
        <is>
          <t>Публикация, ₽/30 дн</t>
        </is>
      </c>
      <c r="E482" t="n">
        <v>234</v>
      </c>
    </row>
    <row r="483">
      <c r="A483" t="inlineStr">
        <is>
          <t>CIAN</t>
        </is>
      </c>
      <c r="B483" t="inlineStr">
        <is>
          <t>Уфа</t>
        </is>
      </c>
      <c r="C483" t="inlineStr">
        <is>
          <t>Продажа · Загородная · Дом/Дача</t>
        </is>
      </c>
      <c r="D483" t="inlineStr">
        <is>
          <t>Топ, ₽/сут</t>
        </is>
      </c>
      <c r="E483" t="n">
        <v>115</v>
      </c>
    </row>
    <row r="484">
      <c r="A484" t="inlineStr">
        <is>
          <t>CIAN</t>
        </is>
      </c>
      <c r="B484" t="inlineStr">
        <is>
          <t>Уфа</t>
        </is>
      </c>
      <c r="C484" t="inlineStr">
        <is>
          <t>Продажа · Загородная · Дом/Дача</t>
        </is>
      </c>
      <c r="D484" t="inlineStr">
        <is>
          <t>Премиум, ₽/сут</t>
        </is>
      </c>
      <c r="E484" t="n">
        <v>48</v>
      </c>
    </row>
    <row r="485">
      <c r="A485" t="inlineStr">
        <is>
          <t>CIAN</t>
        </is>
      </c>
      <c r="B485" t="inlineStr">
        <is>
          <t>Уфа</t>
        </is>
      </c>
      <c r="C485" t="inlineStr">
        <is>
          <t>Продажа · Загородная · Дом/Дача</t>
        </is>
      </c>
      <c r="D485" t="inlineStr">
        <is>
          <t>Стандарт, ₽/сут</t>
        </is>
      </c>
      <c r="E485" t="n">
        <v>15</v>
      </c>
    </row>
    <row r="486">
      <c r="A486" t="inlineStr">
        <is>
          <t>CIAN</t>
        </is>
      </c>
      <c r="B486" t="inlineStr">
        <is>
          <t>Краснодар</t>
        </is>
      </c>
      <c r="C486" t="inlineStr">
        <is>
          <t>Продажа · Загородная · Дом/Дача</t>
        </is>
      </c>
      <c r="D486" t="inlineStr">
        <is>
          <t>Публикация, ₽/30 дн</t>
        </is>
      </c>
      <c r="E486" t="n">
        <v>150</v>
      </c>
    </row>
    <row r="487">
      <c r="A487" t="inlineStr">
        <is>
          <t>CIAN</t>
        </is>
      </c>
      <c r="B487" t="inlineStr">
        <is>
          <t>Краснодар</t>
        </is>
      </c>
      <c r="C487" t="inlineStr">
        <is>
          <t>Продажа · Загородная · Дом/Дача</t>
        </is>
      </c>
      <c r="D487" t="inlineStr">
        <is>
          <t>Топ, ₽/сут</t>
        </is>
      </c>
      <c r="E487" t="n">
        <v>170</v>
      </c>
    </row>
    <row r="488">
      <c r="A488" t="inlineStr">
        <is>
          <t>CIAN</t>
        </is>
      </c>
      <c r="B488" t="inlineStr">
        <is>
          <t>Краснодар</t>
        </is>
      </c>
      <c r="C488" t="inlineStr">
        <is>
          <t>Продажа · Загородная · Дом/Дача</t>
        </is>
      </c>
      <c r="D488" t="inlineStr">
        <is>
          <t>Премиум, ₽/сут</t>
        </is>
      </c>
      <c r="E488" t="n">
        <v>67</v>
      </c>
    </row>
    <row r="489">
      <c r="A489" t="inlineStr">
        <is>
          <t>CIAN</t>
        </is>
      </c>
      <c r="B489" t="inlineStr">
        <is>
          <t>Краснодар</t>
        </is>
      </c>
      <c r="C489" t="inlineStr">
        <is>
          <t>Продажа · Загородная · Дом/Дача</t>
        </is>
      </c>
      <c r="D489" t="inlineStr">
        <is>
          <t>Стандарт, ₽/сут</t>
        </is>
      </c>
      <c r="E489" t="n">
        <v>20</v>
      </c>
    </row>
    <row r="490">
      <c r="A490" t="inlineStr">
        <is>
          <t>CIAN</t>
        </is>
      </c>
      <c r="B490" t="inlineStr">
        <is>
          <t>Самара</t>
        </is>
      </c>
      <c r="C490" t="inlineStr">
        <is>
          <t>Продажа · Загородная · Дом/Дача</t>
        </is>
      </c>
      <c r="D490" t="inlineStr">
        <is>
          <t>Публикация, ₽/30 дн</t>
        </is>
      </c>
      <c r="E490" t="n">
        <v>225</v>
      </c>
    </row>
    <row r="491">
      <c r="A491" t="inlineStr">
        <is>
          <t>CIAN</t>
        </is>
      </c>
      <c r="B491" t="inlineStr">
        <is>
          <t>Самара</t>
        </is>
      </c>
      <c r="C491" t="inlineStr">
        <is>
          <t>Продажа · Загородная · Дом/Дача</t>
        </is>
      </c>
      <c r="D491" t="inlineStr">
        <is>
          <t>Топ, ₽/сут</t>
        </is>
      </c>
      <c r="E491" t="inlineStr">
        <is>
          <t>—</t>
        </is>
      </c>
    </row>
    <row r="492">
      <c r="A492" t="inlineStr">
        <is>
          <t>CIAN</t>
        </is>
      </c>
      <c r="B492" t="inlineStr">
        <is>
          <t>Самара</t>
        </is>
      </c>
      <c r="C492" t="inlineStr">
        <is>
          <t>Продажа · Загородная · Дом/Дача</t>
        </is>
      </c>
      <c r="D492" t="inlineStr">
        <is>
          <t>Премиум, ₽/сут</t>
        </is>
      </c>
      <c r="E492" t="inlineStr">
        <is>
          <t>—</t>
        </is>
      </c>
    </row>
    <row r="493">
      <c r="A493" t="inlineStr">
        <is>
          <t>CIAN</t>
        </is>
      </c>
      <c r="B493" t="inlineStr">
        <is>
          <t>Самара</t>
        </is>
      </c>
      <c r="C493" t="inlineStr">
        <is>
          <t>Продажа · Загородная · Дом/Дача</t>
        </is>
      </c>
      <c r="D493" t="inlineStr">
        <is>
          <t>Стандарт, ₽/сут</t>
        </is>
      </c>
      <c r="E493" t="inlineStr">
        <is>
          <t>—</t>
        </is>
      </c>
    </row>
    <row r="494">
      <c r="A494" t="inlineStr">
        <is>
          <t>CIAN</t>
        </is>
      </c>
      <c r="B494" t="inlineStr">
        <is>
          <t>Ростов-на-Дону</t>
        </is>
      </c>
      <c r="C494" t="inlineStr">
        <is>
          <t>Продажа · Загородная · Дом/Дача</t>
        </is>
      </c>
      <c r="D494" t="inlineStr">
        <is>
          <t>Публикация, ₽/30 дн</t>
        </is>
      </c>
      <c r="E494" t="n">
        <v>234</v>
      </c>
    </row>
    <row r="495">
      <c r="A495" t="inlineStr">
        <is>
          <t>CIAN</t>
        </is>
      </c>
      <c r="B495" t="inlineStr">
        <is>
          <t>Ростов-на-Дону</t>
        </is>
      </c>
      <c r="C495" t="inlineStr">
        <is>
          <t>Продажа · Загородная · Дом/Дача</t>
        </is>
      </c>
      <c r="D495" t="inlineStr">
        <is>
          <t>Топ, ₽/сут</t>
        </is>
      </c>
      <c r="E495" t="n">
        <v>154</v>
      </c>
    </row>
    <row r="496">
      <c r="A496" t="inlineStr">
        <is>
          <t>CIAN</t>
        </is>
      </c>
      <c r="B496" t="inlineStr">
        <is>
          <t>Ростов-на-Дону</t>
        </is>
      </c>
      <c r="C496" t="inlineStr">
        <is>
          <t>Продажа · Загородная · Дом/Дача</t>
        </is>
      </c>
      <c r="D496" t="inlineStr">
        <is>
          <t>Премиум, ₽/сут</t>
        </is>
      </c>
      <c r="E496" t="n">
        <v>63</v>
      </c>
    </row>
    <row r="497">
      <c r="A497" t="inlineStr">
        <is>
          <t>CIAN</t>
        </is>
      </c>
      <c r="B497" t="inlineStr">
        <is>
          <t>Ростов-на-Дону</t>
        </is>
      </c>
      <c r="C497" t="inlineStr">
        <is>
          <t>Продажа · Загородная · Дом/Дача</t>
        </is>
      </c>
      <c r="D497" t="inlineStr">
        <is>
          <t>Стандарт, ₽/сут</t>
        </is>
      </c>
      <c r="E497" t="n">
        <v>20</v>
      </c>
    </row>
    <row r="498">
      <c r="A498" t="inlineStr">
        <is>
          <t>CIAN</t>
        </is>
      </c>
      <c r="B498" t="inlineStr">
        <is>
          <t>Омск</t>
        </is>
      </c>
      <c r="C498" t="inlineStr">
        <is>
          <t>Продажа · Загородная · Дом/Дача</t>
        </is>
      </c>
      <c r="D498" t="inlineStr">
        <is>
          <t>Публикация, ₽/30 дн</t>
        </is>
      </c>
      <c r="E498" t="n">
        <v>354</v>
      </c>
    </row>
    <row r="499">
      <c r="A499" t="inlineStr">
        <is>
          <t>CIAN</t>
        </is>
      </c>
      <c r="B499" t="inlineStr">
        <is>
          <t>Омск</t>
        </is>
      </c>
      <c r="C499" t="inlineStr">
        <is>
          <t>Продажа · Загородная · Дом/Дача</t>
        </is>
      </c>
      <c r="D499" t="inlineStr">
        <is>
          <t>Топ, ₽/сут</t>
        </is>
      </c>
      <c r="E499" t="n">
        <v>200</v>
      </c>
    </row>
    <row r="500">
      <c r="A500" t="inlineStr">
        <is>
          <t>CIAN</t>
        </is>
      </c>
      <c r="B500" t="inlineStr">
        <is>
          <t>Омск</t>
        </is>
      </c>
      <c r="C500" t="inlineStr">
        <is>
          <t>Продажа · Загородная · Дом/Дача</t>
        </is>
      </c>
      <c r="D500" t="inlineStr">
        <is>
          <t>Премиум, ₽/сут</t>
        </is>
      </c>
      <c r="E500" t="n">
        <v>97</v>
      </c>
    </row>
    <row r="501">
      <c r="A501" t="inlineStr">
        <is>
          <t>CIAN</t>
        </is>
      </c>
      <c r="B501" t="inlineStr">
        <is>
          <t>Омск</t>
        </is>
      </c>
      <c r="C501" t="inlineStr">
        <is>
          <t>Продажа · Загородная · Дом/Дача</t>
        </is>
      </c>
      <c r="D501" t="inlineStr">
        <is>
          <t>Стандарт, ₽/сут</t>
        </is>
      </c>
      <c r="E501" t="n">
        <v>31</v>
      </c>
    </row>
    <row r="502">
      <c r="A502" t="inlineStr">
        <is>
          <t>CIAN</t>
        </is>
      </c>
      <c r="B502" t="inlineStr">
        <is>
          <t>Воронеж</t>
        </is>
      </c>
      <c r="C502" t="inlineStr">
        <is>
          <t>Продажа · Загородная · Дом/Дача</t>
        </is>
      </c>
      <c r="D502" t="inlineStr">
        <is>
          <t>Публикация, ₽/30 дн</t>
        </is>
      </c>
      <c r="E502" t="n">
        <v>99</v>
      </c>
    </row>
    <row r="503">
      <c r="A503" t="inlineStr">
        <is>
          <t>CIAN</t>
        </is>
      </c>
      <c r="B503" t="inlineStr">
        <is>
          <t>Воронеж</t>
        </is>
      </c>
      <c r="C503" t="inlineStr">
        <is>
          <t>Продажа · Загородная · Дом/Дача</t>
        </is>
      </c>
      <c r="D503" t="inlineStr">
        <is>
          <t>Топ, ₽/сут</t>
        </is>
      </c>
      <c r="E503" t="inlineStr">
        <is>
          <t>—</t>
        </is>
      </c>
    </row>
    <row r="504">
      <c r="A504" t="inlineStr">
        <is>
          <t>CIAN</t>
        </is>
      </c>
      <c r="B504" t="inlineStr">
        <is>
          <t>Воронеж</t>
        </is>
      </c>
      <c r="C504" t="inlineStr">
        <is>
          <t>Продажа · Загородная · Дом/Дача</t>
        </is>
      </c>
      <c r="D504" t="inlineStr">
        <is>
          <t>Премиум, ₽/сут</t>
        </is>
      </c>
      <c r="E504" t="inlineStr">
        <is>
          <t>—</t>
        </is>
      </c>
    </row>
    <row r="505">
      <c r="A505" t="inlineStr">
        <is>
          <t>CIAN</t>
        </is>
      </c>
      <c r="B505" t="inlineStr">
        <is>
          <t>Воронеж</t>
        </is>
      </c>
      <c r="C505" t="inlineStr">
        <is>
          <t>Продажа · Загородная · Дом/Дача</t>
        </is>
      </c>
      <c r="D505" t="inlineStr">
        <is>
          <t>Стандарт, ₽/сут</t>
        </is>
      </c>
      <c r="E505" t="inlineStr">
        <is>
          <t>—</t>
        </is>
      </c>
    </row>
    <row r="506">
      <c r="A506" t="inlineStr">
        <is>
          <t>CIAN</t>
        </is>
      </c>
      <c r="B506" t="inlineStr">
        <is>
          <t>Пермь</t>
        </is>
      </c>
      <c r="C506" t="inlineStr">
        <is>
          <t>Продажа · Загородная · Дом/Дача</t>
        </is>
      </c>
      <c r="D506" t="inlineStr">
        <is>
          <t>Публикация, ₽/30 дн</t>
        </is>
      </c>
      <c r="E506" t="n">
        <v>168</v>
      </c>
    </row>
    <row r="507">
      <c r="A507" t="inlineStr">
        <is>
          <t>CIAN</t>
        </is>
      </c>
      <c r="B507" t="inlineStr">
        <is>
          <t>Пермь</t>
        </is>
      </c>
      <c r="C507" t="inlineStr">
        <is>
          <t>Продажа · Загородная · Дом/Дача</t>
        </is>
      </c>
      <c r="D507" t="inlineStr">
        <is>
          <t>Топ, ₽/сут</t>
        </is>
      </c>
      <c r="E507" t="inlineStr">
        <is>
          <t>—</t>
        </is>
      </c>
    </row>
    <row r="508">
      <c r="A508" t="inlineStr">
        <is>
          <t>CIAN</t>
        </is>
      </c>
      <c r="B508" t="inlineStr">
        <is>
          <t>Пермь</t>
        </is>
      </c>
      <c r="C508" t="inlineStr">
        <is>
          <t>Продажа · Загородная · Дом/Дача</t>
        </is>
      </c>
      <c r="D508" t="inlineStr">
        <is>
          <t>Премиум, ₽/сут</t>
        </is>
      </c>
      <c r="E508" t="inlineStr">
        <is>
          <t>—</t>
        </is>
      </c>
    </row>
    <row r="509">
      <c r="A509" t="inlineStr">
        <is>
          <t>CIAN</t>
        </is>
      </c>
      <c r="B509" t="inlineStr">
        <is>
          <t>Пермь</t>
        </is>
      </c>
      <c r="C509" t="inlineStr">
        <is>
          <t>Продажа · Загородная · Дом/Дача</t>
        </is>
      </c>
      <c r="D509" t="inlineStr">
        <is>
          <t>Стандарт, ₽/сут</t>
        </is>
      </c>
      <c r="E509" t="inlineStr">
        <is>
          <t>—</t>
        </is>
      </c>
    </row>
    <row r="510">
      <c r="A510" t="inlineStr">
        <is>
          <t>CIAN</t>
        </is>
      </c>
      <c r="B510" t="inlineStr">
        <is>
          <t>Волгоград</t>
        </is>
      </c>
      <c r="C510" t="inlineStr">
        <is>
          <t>Продажа · Загородная · Дом/Дача</t>
        </is>
      </c>
      <c r="D510" t="inlineStr">
        <is>
          <t>Публикация, ₽/30 дн</t>
        </is>
      </c>
      <c r="E510" t="n">
        <v>273</v>
      </c>
    </row>
    <row r="511">
      <c r="A511" t="inlineStr">
        <is>
          <t>CIAN</t>
        </is>
      </c>
      <c r="B511" t="inlineStr">
        <is>
          <t>Волгоград</t>
        </is>
      </c>
      <c r="C511" t="inlineStr">
        <is>
          <t>Продажа · Загородная · Дом/Дача</t>
        </is>
      </c>
      <c r="D511" t="inlineStr">
        <is>
          <t>Топ, ₽/сут</t>
        </is>
      </c>
      <c r="E511" t="inlineStr">
        <is>
          <t>—</t>
        </is>
      </c>
    </row>
    <row r="512">
      <c r="A512" t="inlineStr">
        <is>
          <t>CIAN</t>
        </is>
      </c>
      <c r="B512" t="inlineStr">
        <is>
          <t>Волгоград</t>
        </is>
      </c>
      <c r="C512" t="inlineStr">
        <is>
          <t>Продажа · Загородная · Дом/Дача</t>
        </is>
      </c>
      <c r="D512" t="inlineStr">
        <is>
          <t>Премиум, ₽/сут</t>
        </is>
      </c>
      <c r="E512" t="inlineStr">
        <is>
          <t>—</t>
        </is>
      </c>
    </row>
    <row r="513">
      <c r="A513" t="inlineStr">
        <is>
          <t>CIAN</t>
        </is>
      </c>
      <c r="B513" t="inlineStr">
        <is>
          <t>Волгоград</t>
        </is>
      </c>
      <c r="C513" t="inlineStr">
        <is>
          <t>Продажа · Загородная · Дом/Дача</t>
        </is>
      </c>
      <c r="D513" t="inlineStr">
        <is>
          <t>Стандарт, ₽/сут</t>
        </is>
      </c>
      <c r="E513" t="inlineStr">
        <is>
          <t>—</t>
        </is>
      </c>
    </row>
    <row r="514">
      <c r="A514" t="inlineStr">
        <is>
          <t>CIAN</t>
        </is>
      </c>
      <c r="B514" t="inlineStr">
        <is>
          <t>Москва</t>
        </is>
      </c>
      <c r="C514" t="inlineStr">
        <is>
          <t>Продажа · Загородная · Таунхаус</t>
        </is>
      </c>
      <c r="D514" t="inlineStr">
        <is>
          <t>Публикация, ₽/30 дн</t>
        </is>
      </c>
      <c r="E514" t="n">
        <v>3090</v>
      </c>
    </row>
    <row r="515">
      <c r="A515" t="inlineStr">
        <is>
          <t>CIAN</t>
        </is>
      </c>
      <c r="B515" t="inlineStr">
        <is>
          <t>Москва</t>
        </is>
      </c>
      <c r="C515" t="inlineStr">
        <is>
          <t>Продажа · Загородная · Таунхаус</t>
        </is>
      </c>
      <c r="D515" t="inlineStr">
        <is>
          <t>Топ, ₽/сут</t>
        </is>
      </c>
      <c r="E515" t="n">
        <v>1031</v>
      </c>
    </row>
    <row r="516">
      <c r="A516" t="inlineStr">
        <is>
          <t>CIAN</t>
        </is>
      </c>
      <c r="B516" t="inlineStr">
        <is>
          <t>Москва</t>
        </is>
      </c>
      <c r="C516" t="inlineStr">
        <is>
          <t>Продажа · Загородная · Таунхаус</t>
        </is>
      </c>
      <c r="D516" t="inlineStr">
        <is>
          <t>Премиум, ₽/сут</t>
        </is>
      </c>
      <c r="E516" t="n">
        <v>418</v>
      </c>
    </row>
    <row r="517">
      <c r="A517" t="inlineStr">
        <is>
          <t>CIAN</t>
        </is>
      </c>
      <c r="B517" t="inlineStr">
        <is>
          <t>Москва</t>
        </is>
      </c>
      <c r="C517" t="inlineStr">
        <is>
          <t>Продажа · Загородная · Таунхаус</t>
        </is>
      </c>
      <c r="D517" t="inlineStr">
        <is>
          <t>Стандарт, ₽/сут</t>
        </is>
      </c>
      <c r="E517" t="n">
        <v>125</v>
      </c>
    </row>
    <row r="518">
      <c r="A518" t="inlineStr">
        <is>
          <t>CIAN</t>
        </is>
      </c>
      <c r="B518" t="inlineStr">
        <is>
          <t>Санкт-Петербург</t>
        </is>
      </c>
      <c r="C518" t="inlineStr">
        <is>
          <t>Продажа · Загородная · Таунхаус</t>
        </is>
      </c>
      <c r="D518" t="inlineStr">
        <is>
          <t>Публикация, ₽/30 дн</t>
        </is>
      </c>
      <c r="E518" t="n">
        <v>783</v>
      </c>
    </row>
    <row r="519">
      <c r="A519" t="inlineStr">
        <is>
          <t>CIAN</t>
        </is>
      </c>
      <c r="B519" t="inlineStr">
        <is>
          <t>Санкт-Петербург</t>
        </is>
      </c>
      <c r="C519" t="inlineStr">
        <is>
          <t>Продажа · Загородная · Таунхаус</t>
        </is>
      </c>
      <c r="D519" t="inlineStr">
        <is>
          <t>Топ, ₽/сут</t>
        </is>
      </c>
      <c r="E519" t="n">
        <v>204</v>
      </c>
    </row>
    <row r="520">
      <c r="A520" t="inlineStr">
        <is>
          <t>CIAN</t>
        </is>
      </c>
      <c r="B520" t="inlineStr">
        <is>
          <t>Санкт-Петербург</t>
        </is>
      </c>
      <c r="C520" t="inlineStr">
        <is>
          <t>Продажа · Загородная · Таунхаус</t>
        </is>
      </c>
      <c r="D520" t="inlineStr">
        <is>
          <t>Премиум, ₽/сут</t>
        </is>
      </c>
      <c r="E520" t="n">
        <v>89</v>
      </c>
    </row>
    <row r="521">
      <c r="A521" t="inlineStr">
        <is>
          <t>CIAN</t>
        </is>
      </c>
      <c r="B521" t="inlineStr">
        <is>
          <t>Санкт-Петербург</t>
        </is>
      </c>
      <c r="C521" t="inlineStr">
        <is>
          <t>Продажа · Загородная · Таунхаус</t>
        </is>
      </c>
      <c r="D521" t="inlineStr">
        <is>
          <t>Стандарт, ₽/сут</t>
        </is>
      </c>
      <c r="E521" t="n">
        <v>26</v>
      </c>
    </row>
    <row r="522">
      <c r="A522" t="inlineStr">
        <is>
          <t>CIAN</t>
        </is>
      </c>
      <c r="B522" t="inlineStr">
        <is>
          <t>Новосибирск</t>
        </is>
      </c>
      <c r="C522" t="inlineStr">
        <is>
          <t>Продажа · Загородная · Таунхаус</t>
        </is>
      </c>
      <c r="D522" t="inlineStr">
        <is>
          <t>Публикация, ₽/30 дн</t>
        </is>
      </c>
      <c r="E522" t="n">
        <v>1200</v>
      </c>
    </row>
    <row r="523">
      <c r="A523" t="inlineStr">
        <is>
          <t>CIAN</t>
        </is>
      </c>
      <c r="B523" t="inlineStr">
        <is>
          <t>Новосибирск</t>
        </is>
      </c>
      <c r="C523" t="inlineStr">
        <is>
          <t>Продажа · Загородная · Таунхаус</t>
        </is>
      </c>
      <c r="D523" t="inlineStr">
        <is>
          <t>Топ, ₽/сут</t>
        </is>
      </c>
      <c r="E523" t="n">
        <v>353</v>
      </c>
    </row>
    <row r="524">
      <c r="A524" t="inlineStr">
        <is>
          <t>CIAN</t>
        </is>
      </c>
      <c r="B524" t="inlineStr">
        <is>
          <t>Новосибирск</t>
        </is>
      </c>
      <c r="C524" t="inlineStr">
        <is>
          <t>Продажа · Загородная · Таунхаус</t>
        </is>
      </c>
      <c r="D524" t="inlineStr">
        <is>
          <t>Премиум, ₽/сут</t>
        </is>
      </c>
      <c r="E524" t="n">
        <v>164</v>
      </c>
    </row>
    <row r="525">
      <c r="A525" t="inlineStr">
        <is>
          <t>CIAN</t>
        </is>
      </c>
      <c r="B525" t="inlineStr">
        <is>
          <t>Новосибирск</t>
        </is>
      </c>
      <c r="C525" t="inlineStr">
        <is>
          <t>Продажа · Загородная · Таунхаус</t>
        </is>
      </c>
      <c r="D525" t="inlineStr">
        <is>
          <t>Стандарт, ₽/сут</t>
        </is>
      </c>
      <c r="E525" t="n">
        <v>50</v>
      </c>
    </row>
    <row r="526">
      <c r="A526" t="inlineStr">
        <is>
          <t>CIAN</t>
        </is>
      </c>
      <c r="B526" t="inlineStr">
        <is>
          <t>Екатеринбург</t>
        </is>
      </c>
      <c r="C526" t="inlineStr">
        <is>
          <t>Продажа · Загородная · Таунхаус</t>
        </is>
      </c>
      <c r="D526" t="inlineStr">
        <is>
          <t>Публикация, ₽/30 дн</t>
        </is>
      </c>
      <c r="E526" t="n">
        <v>813</v>
      </c>
    </row>
    <row r="527">
      <c r="A527" t="inlineStr">
        <is>
          <t>CIAN</t>
        </is>
      </c>
      <c r="B527" t="inlineStr">
        <is>
          <t>Екатеринбург</t>
        </is>
      </c>
      <c r="C527" t="inlineStr">
        <is>
          <t>Продажа · Загородная · Таунхаус</t>
        </is>
      </c>
      <c r="D527" t="inlineStr">
        <is>
          <t>Топ, ₽/сут</t>
        </is>
      </c>
      <c r="E527" t="n">
        <v>402</v>
      </c>
    </row>
    <row r="528">
      <c r="A528" t="inlineStr">
        <is>
          <t>CIAN</t>
        </is>
      </c>
      <c r="B528" t="inlineStr">
        <is>
          <t>Екатеринбург</t>
        </is>
      </c>
      <c r="C528" t="inlineStr">
        <is>
          <t>Продажа · Загородная · Таунхаус</t>
        </is>
      </c>
      <c r="D528" t="inlineStr">
        <is>
          <t>Премиум, ₽/сут</t>
        </is>
      </c>
      <c r="E528" t="n">
        <v>198</v>
      </c>
    </row>
    <row r="529">
      <c r="A529" t="inlineStr">
        <is>
          <t>CIAN</t>
        </is>
      </c>
      <c r="B529" t="inlineStr">
        <is>
          <t>Екатеринбург</t>
        </is>
      </c>
      <c r="C529" t="inlineStr">
        <is>
          <t>Продажа · Загородная · Таунхаус</t>
        </is>
      </c>
      <c r="D529" t="inlineStr">
        <is>
          <t>Стандарт, ₽/сут</t>
        </is>
      </c>
      <c r="E529" t="n">
        <v>61</v>
      </c>
    </row>
    <row r="530">
      <c r="A530" t="inlineStr">
        <is>
          <t>CIAN</t>
        </is>
      </c>
      <c r="B530" t="inlineStr">
        <is>
          <t>Казань</t>
        </is>
      </c>
      <c r="C530" t="inlineStr">
        <is>
          <t>Продажа · Загородная · Таунхаус</t>
        </is>
      </c>
      <c r="D530" t="inlineStr">
        <is>
          <t>Публикация, ₽/30 дн</t>
        </is>
      </c>
      <c r="E530" t="n">
        <v>165</v>
      </c>
    </row>
    <row r="531">
      <c r="A531" t="inlineStr">
        <is>
          <t>CIAN</t>
        </is>
      </c>
      <c r="B531" t="inlineStr">
        <is>
          <t>Казань</t>
        </is>
      </c>
      <c r="C531" t="inlineStr">
        <is>
          <t>Продажа · Загородная · Таунхаус</t>
        </is>
      </c>
      <c r="D531" t="inlineStr">
        <is>
          <t>Топ, ₽/сут</t>
        </is>
      </c>
      <c r="E531" t="n">
        <v>147</v>
      </c>
    </row>
    <row r="532">
      <c r="A532" t="inlineStr">
        <is>
          <t>CIAN</t>
        </is>
      </c>
      <c r="B532" t="inlineStr">
        <is>
          <t>Казань</t>
        </is>
      </c>
      <c r="C532" t="inlineStr">
        <is>
          <t>Продажа · Загородная · Таунхаус</t>
        </is>
      </c>
      <c r="D532" t="inlineStr">
        <is>
          <t>Премиум, ₽/сут</t>
        </is>
      </c>
      <c r="E532" t="n">
        <v>65</v>
      </c>
    </row>
    <row r="533">
      <c r="A533" t="inlineStr">
        <is>
          <t>CIAN</t>
        </is>
      </c>
      <c r="B533" t="inlineStr">
        <is>
          <t>Казань</t>
        </is>
      </c>
      <c r="C533" t="inlineStr">
        <is>
          <t>Продажа · Загородная · Таунхаус</t>
        </is>
      </c>
      <c r="D533" t="inlineStr">
        <is>
          <t>Стандарт, ₽/сут</t>
        </is>
      </c>
      <c r="E533" t="n">
        <v>21</v>
      </c>
    </row>
    <row r="534">
      <c r="A534" t="inlineStr">
        <is>
          <t>CIAN</t>
        </is>
      </c>
      <c r="B534" t="inlineStr">
        <is>
          <t>Красноярск</t>
        </is>
      </c>
      <c r="C534" t="inlineStr">
        <is>
          <t>Продажа · Загородная · Таунхаус</t>
        </is>
      </c>
      <c r="D534" t="inlineStr">
        <is>
          <t>Публикация, ₽/30 дн</t>
        </is>
      </c>
      <c r="E534" t="n">
        <v>354</v>
      </c>
    </row>
    <row r="535">
      <c r="A535" t="inlineStr">
        <is>
          <t>CIAN</t>
        </is>
      </c>
      <c r="B535" t="inlineStr">
        <is>
          <t>Красноярск</t>
        </is>
      </c>
      <c r="C535" t="inlineStr">
        <is>
          <t>Продажа · Загородная · Таунхаус</t>
        </is>
      </c>
      <c r="D535" t="inlineStr">
        <is>
          <t>Топ, ₽/сут</t>
        </is>
      </c>
      <c r="E535" t="inlineStr">
        <is>
          <t>—</t>
        </is>
      </c>
    </row>
    <row r="536">
      <c r="A536" t="inlineStr">
        <is>
          <t>CIAN</t>
        </is>
      </c>
      <c r="B536" t="inlineStr">
        <is>
          <t>Красноярск</t>
        </is>
      </c>
      <c r="C536" t="inlineStr">
        <is>
          <t>Продажа · Загородная · Таунхаус</t>
        </is>
      </c>
      <c r="D536" t="inlineStr">
        <is>
          <t>Премиум, ₽/сут</t>
        </is>
      </c>
      <c r="E536" t="inlineStr">
        <is>
          <t>—</t>
        </is>
      </c>
    </row>
    <row r="537">
      <c r="A537" t="inlineStr">
        <is>
          <t>CIAN</t>
        </is>
      </c>
      <c r="B537" t="inlineStr">
        <is>
          <t>Красноярск</t>
        </is>
      </c>
      <c r="C537" t="inlineStr">
        <is>
          <t>Продажа · Загородная · Таунхаус</t>
        </is>
      </c>
      <c r="D537" t="inlineStr">
        <is>
          <t>Стандарт, ₽/сут</t>
        </is>
      </c>
      <c r="E537" t="inlineStr">
        <is>
          <t>—</t>
        </is>
      </c>
    </row>
    <row r="538">
      <c r="A538" t="inlineStr">
        <is>
          <t>CIAN</t>
        </is>
      </c>
      <c r="B538" t="inlineStr">
        <is>
          <t>Нижний Новгород</t>
        </is>
      </c>
      <c r="C538" t="inlineStr">
        <is>
          <t>Продажа · Загородная · Таунхаус</t>
        </is>
      </c>
      <c r="D538" t="inlineStr">
        <is>
          <t>Публикация, ₽/30 дн</t>
        </is>
      </c>
      <c r="E538" t="n">
        <v>234</v>
      </c>
    </row>
    <row r="539">
      <c r="A539" t="inlineStr">
        <is>
          <t>CIAN</t>
        </is>
      </c>
      <c r="B539" t="inlineStr">
        <is>
          <t>Нижний Новгород</t>
        </is>
      </c>
      <c r="C539" t="inlineStr">
        <is>
          <t>Продажа · Загородная · Таунхаус</t>
        </is>
      </c>
      <c r="D539" t="inlineStr">
        <is>
          <t>Топ, ₽/сут</t>
        </is>
      </c>
      <c r="E539" t="n">
        <v>121</v>
      </c>
    </row>
    <row r="540">
      <c r="A540" t="inlineStr">
        <is>
          <t>CIAN</t>
        </is>
      </c>
      <c r="B540" t="inlineStr">
        <is>
          <t>Нижний Новгород</t>
        </is>
      </c>
      <c r="C540" t="inlineStr">
        <is>
          <t>Продажа · Загородная · Таунхаус</t>
        </is>
      </c>
      <c r="D540" t="inlineStr">
        <is>
          <t>Премиум, ₽/сут</t>
        </is>
      </c>
      <c r="E540" t="n">
        <v>54</v>
      </c>
    </row>
    <row r="541">
      <c r="A541" t="inlineStr">
        <is>
          <t>CIAN</t>
        </is>
      </c>
      <c r="B541" t="inlineStr">
        <is>
          <t>Нижний Новгород</t>
        </is>
      </c>
      <c r="C541" t="inlineStr">
        <is>
          <t>Продажа · Загородная · Таунхаус</t>
        </is>
      </c>
      <c r="D541" t="inlineStr">
        <is>
          <t>Стандарт, ₽/сут</t>
        </is>
      </c>
      <c r="E541" t="n">
        <v>17</v>
      </c>
    </row>
    <row r="542">
      <c r="A542" t="inlineStr">
        <is>
          <t>CIAN</t>
        </is>
      </c>
      <c r="B542" t="inlineStr">
        <is>
          <t>Челябинск</t>
        </is>
      </c>
      <c r="C542" t="inlineStr">
        <is>
          <t>Продажа · Загородная · Таунхаус</t>
        </is>
      </c>
      <c r="D542" t="inlineStr">
        <is>
          <t>Публикация, ₽/30 дн</t>
        </is>
      </c>
      <c r="E542" t="n">
        <v>195</v>
      </c>
    </row>
    <row r="543">
      <c r="A543" t="inlineStr">
        <is>
          <t>CIAN</t>
        </is>
      </c>
      <c r="B543" t="inlineStr">
        <is>
          <t>Челябинск</t>
        </is>
      </c>
      <c r="C543" t="inlineStr">
        <is>
          <t>Продажа · Загородная · Таунхаус</t>
        </is>
      </c>
      <c r="D543" t="inlineStr">
        <is>
          <t>Топ, ₽/сут</t>
        </is>
      </c>
      <c r="E543" t="n">
        <v>257</v>
      </c>
    </row>
    <row r="544">
      <c r="A544" t="inlineStr">
        <is>
          <t>CIAN</t>
        </is>
      </c>
      <c r="B544" t="inlineStr">
        <is>
          <t>Челябинск</t>
        </is>
      </c>
      <c r="C544" t="inlineStr">
        <is>
          <t>Продажа · Загородная · Таунхаус</t>
        </is>
      </c>
      <c r="D544" t="inlineStr">
        <is>
          <t>Премиум, ₽/сут</t>
        </is>
      </c>
      <c r="E544" t="n">
        <v>121</v>
      </c>
    </row>
    <row r="545">
      <c r="A545" t="inlineStr">
        <is>
          <t>CIAN</t>
        </is>
      </c>
      <c r="B545" t="inlineStr">
        <is>
          <t>Челябинск</t>
        </is>
      </c>
      <c r="C545" t="inlineStr">
        <is>
          <t>Продажа · Загородная · Таунхаус</t>
        </is>
      </c>
      <c r="D545" t="inlineStr">
        <is>
          <t>Стандарт, ₽/сут</t>
        </is>
      </c>
      <c r="E545" t="n">
        <v>36</v>
      </c>
    </row>
    <row r="546">
      <c r="A546" t="inlineStr">
        <is>
          <t>CIAN</t>
        </is>
      </c>
      <c r="B546" t="inlineStr">
        <is>
          <t>Уфа</t>
        </is>
      </c>
      <c r="C546" t="inlineStr">
        <is>
          <t>Продажа · Загородная · Таунхаус</t>
        </is>
      </c>
      <c r="D546" t="inlineStr">
        <is>
          <t>Публикация, ₽/30 дн</t>
        </is>
      </c>
      <c r="E546" t="n">
        <v>156</v>
      </c>
    </row>
    <row r="547">
      <c r="A547" t="inlineStr">
        <is>
          <t>CIAN</t>
        </is>
      </c>
      <c r="B547" t="inlineStr">
        <is>
          <t>Уфа</t>
        </is>
      </c>
      <c r="C547" t="inlineStr">
        <is>
          <t>Продажа · Загородная · Таунхаус</t>
        </is>
      </c>
      <c r="D547" t="inlineStr">
        <is>
          <t>Топ, ₽/сут</t>
        </is>
      </c>
      <c r="E547" t="n">
        <v>141</v>
      </c>
    </row>
    <row r="548">
      <c r="A548" t="inlineStr">
        <is>
          <t>CIAN</t>
        </is>
      </c>
      <c r="B548" t="inlineStr">
        <is>
          <t>Уфа</t>
        </is>
      </c>
      <c r="C548" t="inlineStr">
        <is>
          <t>Продажа · Загородная · Таунхаус</t>
        </is>
      </c>
      <c r="D548" t="inlineStr">
        <is>
          <t>Премиум, ₽/сут</t>
        </is>
      </c>
      <c r="E548" t="n">
        <v>62</v>
      </c>
    </row>
    <row r="549">
      <c r="A549" t="inlineStr">
        <is>
          <t>CIAN</t>
        </is>
      </c>
      <c r="B549" t="inlineStr">
        <is>
          <t>Уфа</t>
        </is>
      </c>
      <c r="C549" t="inlineStr">
        <is>
          <t>Продажа · Загородная · Таунхаус</t>
        </is>
      </c>
      <c r="D549" t="inlineStr">
        <is>
          <t>Стандарт, ₽/сут</t>
        </is>
      </c>
      <c r="E549" t="n">
        <v>20</v>
      </c>
    </row>
    <row r="550">
      <c r="A550" t="inlineStr">
        <is>
          <t>CIAN</t>
        </is>
      </c>
      <c r="B550" t="inlineStr">
        <is>
          <t>Краснодар</t>
        </is>
      </c>
      <c r="C550" t="inlineStr">
        <is>
          <t>Продажа · Загородная · Таунхаус</t>
        </is>
      </c>
      <c r="D550" t="inlineStr">
        <is>
          <t>Публикация, ₽/30 дн</t>
        </is>
      </c>
      <c r="E550" t="n">
        <v>183</v>
      </c>
    </row>
    <row r="551">
      <c r="A551" t="inlineStr">
        <is>
          <t>CIAN</t>
        </is>
      </c>
      <c r="B551" t="inlineStr">
        <is>
          <t>Краснодар</t>
        </is>
      </c>
      <c r="C551" t="inlineStr">
        <is>
          <t>Продажа · Загородная · Таунхаус</t>
        </is>
      </c>
      <c r="D551" t="inlineStr">
        <is>
          <t>Топ, ₽/сут</t>
        </is>
      </c>
      <c r="E551" t="n">
        <v>127</v>
      </c>
    </row>
    <row r="552">
      <c r="A552" t="inlineStr">
        <is>
          <t>CIAN</t>
        </is>
      </c>
      <c r="B552" t="inlineStr">
        <is>
          <t>Краснодар</t>
        </is>
      </c>
      <c r="C552" t="inlineStr">
        <is>
          <t>Продажа · Загородная · Таунхаус</t>
        </is>
      </c>
      <c r="D552" t="inlineStr">
        <is>
          <t>Премиум, ₽/сут</t>
        </is>
      </c>
      <c r="E552" t="n">
        <v>50</v>
      </c>
    </row>
    <row r="553">
      <c r="A553" t="inlineStr">
        <is>
          <t>CIAN</t>
        </is>
      </c>
      <c r="B553" t="inlineStr">
        <is>
          <t>Краснодар</t>
        </is>
      </c>
      <c r="C553" t="inlineStr">
        <is>
          <t>Продажа · Загородная · Таунхаус</t>
        </is>
      </c>
      <c r="D553" t="inlineStr">
        <is>
          <t>Стандарт, ₽/сут</t>
        </is>
      </c>
      <c r="E553" t="n">
        <v>15</v>
      </c>
    </row>
    <row r="554">
      <c r="A554" t="inlineStr">
        <is>
          <t>CIAN</t>
        </is>
      </c>
      <c r="B554" t="inlineStr">
        <is>
          <t>Самара</t>
        </is>
      </c>
      <c r="C554" t="inlineStr">
        <is>
          <t>Продажа · Загородная · Таунхаус</t>
        </is>
      </c>
      <c r="D554" t="inlineStr">
        <is>
          <t>Публикация, ₽/30 дн</t>
        </is>
      </c>
      <c r="E554" t="n">
        <v>300</v>
      </c>
    </row>
    <row r="555">
      <c r="A555" t="inlineStr">
        <is>
          <t>CIAN</t>
        </is>
      </c>
      <c r="B555" t="inlineStr">
        <is>
          <t>Самара</t>
        </is>
      </c>
      <c r="C555" t="inlineStr">
        <is>
          <t>Продажа · Загородная · Таунхаус</t>
        </is>
      </c>
      <c r="D555" t="inlineStr">
        <is>
          <t>Топ, ₽/сут</t>
        </is>
      </c>
      <c r="E555" t="inlineStr">
        <is>
          <t>—</t>
        </is>
      </c>
    </row>
    <row r="556">
      <c r="A556" t="inlineStr">
        <is>
          <t>CIAN</t>
        </is>
      </c>
      <c r="B556" t="inlineStr">
        <is>
          <t>Самара</t>
        </is>
      </c>
      <c r="C556" t="inlineStr">
        <is>
          <t>Продажа · Загородная · Таунхаус</t>
        </is>
      </c>
      <c r="D556" t="inlineStr">
        <is>
          <t>Премиум, ₽/сут</t>
        </is>
      </c>
      <c r="E556" t="inlineStr">
        <is>
          <t>—</t>
        </is>
      </c>
    </row>
    <row r="557">
      <c r="A557" t="inlineStr">
        <is>
          <t>CIAN</t>
        </is>
      </c>
      <c r="B557" t="inlineStr">
        <is>
          <t>Самара</t>
        </is>
      </c>
      <c r="C557" t="inlineStr">
        <is>
          <t>Продажа · Загородная · Таунхаус</t>
        </is>
      </c>
      <c r="D557" t="inlineStr">
        <is>
          <t>Стандарт, ₽/сут</t>
        </is>
      </c>
      <c r="E557" t="inlineStr">
        <is>
          <t>—</t>
        </is>
      </c>
    </row>
    <row r="558">
      <c r="A558" t="inlineStr">
        <is>
          <t>CIAN</t>
        </is>
      </c>
      <c r="B558" t="inlineStr">
        <is>
          <t>Ростов-на-Дону</t>
        </is>
      </c>
      <c r="C558" t="inlineStr">
        <is>
          <t>Продажа · Загородная · Таунхаус</t>
        </is>
      </c>
      <c r="D558" t="inlineStr">
        <is>
          <t>Публикация, ₽/30 дн</t>
        </is>
      </c>
      <c r="E558" t="n">
        <v>234</v>
      </c>
    </row>
    <row r="559">
      <c r="A559" t="inlineStr">
        <is>
          <t>CIAN</t>
        </is>
      </c>
      <c r="B559" t="inlineStr">
        <is>
          <t>Ростов-на-Дону</t>
        </is>
      </c>
      <c r="C559" t="inlineStr">
        <is>
          <t>Продажа · Загородная · Таунхаус</t>
        </is>
      </c>
      <c r="D559" t="inlineStr">
        <is>
          <t>Топ, ₽/сут</t>
        </is>
      </c>
      <c r="E559" t="n">
        <v>198</v>
      </c>
    </row>
    <row r="560">
      <c r="A560" t="inlineStr">
        <is>
          <t>CIAN</t>
        </is>
      </c>
      <c r="B560" t="inlineStr">
        <is>
          <t>Ростов-на-Дону</t>
        </is>
      </c>
      <c r="C560" t="inlineStr">
        <is>
          <t>Продажа · Загородная · Таунхаус</t>
        </is>
      </c>
      <c r="D560" t="inlineStr">
        <is>
          <t>Премиум, ₽/сут</t>
        </is>
      </c>
      <c r="E560" t="n">
        <v>82</v>
      </c>
    </row>
    <row r="561">
      <c r="A561" t="inlineStr">
        <is>
          <t>CIAN</t>
        </is>
      </c>
      <c r="B561" t="inlineStr">
        <is>
          <t>Ростов-на-Дону</t>
        </is>
      </c>
      <c r="C561" t="inlineStr">
        <is>
          <t>Продажа · Загородная · Таунхаус</t>
        </is>
      </c>
      <c r="D561" t="inlineStr">
        <is>
          <t>Стандарт, ₽/сут</t>
        </is>
      </c>
      <c r="E561" t="n">
        <v>25</v>
      </c>
    </row>
    <row r="562">
      <c r="A562" t="inlineStr">
        <is>
          <t>CIAN</t>
        </is>
      </c>
      <c r="B562" t="inlineStr">
        <is>
          <t>Омск</t>
        </is>
      </c>
      <c r="C562" t="inlineStr">
        <is>
          <t>Продажа · Загородная · Таунхаус</t>
        </is>
      </c>
      <c r="D562" t="inlineStr">
        <is>
          <t>Публикация, ₽/30 дн</t>
        </is>
      </c>
      <c r="E562" t="n">
        <v>354</v>
      </c>
    </row>
    <row r="563">
      <c r="A563" t="inlineStr">
        <is>
          <t>CIAN</t>
        </is>
      </c>
      <c r="B563" t="inlineStr">
        <is>
          <t>Омск</t>
        </is>
      </c>
      <c r="C563" t="inlineStr">
        <is>
          <t>Продажа · Загородная · Таунхаус</t>
        </is>
      </c>
      <c r="D563" t="inlineStr">
        <is>
          <t>Топ, ₽/сут</t>
        </is>
      </c>
      <c r="E563" t="n">
        <v>235</v>
      </c>
    </row>
    <row r="564">
      <c r="A564" t="inlineStr">
        <is>
          <t>CIAN</t>
        </is>
      </c>
      <c r="B564" t="inlineStr">
        <is>
          <t>Омск</t>
        </is>
      </c>
      <c r="C564" t="inlineStr">
        <is>
          <t>Продажа · Загородная · Таунхаус</t>
        </is>
      </c>
      <c r="D564" t="inlineStr">
        <is>
          <t>Премиум, ₽/сут</t>
        </is>
      </c>
      <c r="E564" t="n">
        <v>114</v>
      </c>
    </row>
    <row r="565">
      <c r="A565" t="inlineStr">
        <is>
          <t>CIAN</t>
        </is>
      </c>
      <c r="B565" t="inlineStr">
        <is>
          <t>Омск</t>
        </is>
      </c>
      <c r="C565" t="inlineStr">
        <is>
          <t>Продажа · Загородная · Таунхаус</t>
        </is>
      </c>
      <c r="D565" t="inlineStr">
        <is>
          <t>Стандарт, ₽/сут</t>
        </is>
      </c>
      <c r="E565" t="n">
        <v>36</v>
      </c>
    </row>
    <row r="566">
      <c r="A566" t="inlineStr">
        <is>
          <t>CIAN</t>
        </is>
      </c>
      <c r="B566" t="inlineStr">
        <is>
          <t>Воронеж</t>
        </is>
      </c>
      <c r="C566" t="inlineStr">
        <is>
          <t>Продажа · Загородная · Таунхаус</t>
        </is>
      </c>
      <c r="D566" t="inlineStr">
        <is>
          <t>Публикация, ₽/30 дн</t>
        </is>
      </c>
      <c r="E566" t="n">
        <v>84</v>
      </c>
    </row>
    <row r="567">
      <c r="A567" t="inlineStr">
        <is>
          <t>CIAN</t>
        </is>
      </c>
      <c r="B567" t="inlineStr">
        <is>
          <t>Воронеж</t>
        </is>
      </c>
      <c r="C567" t="inlineStr">
        <is>
          <t>Продажа · Загородная · Таунхаус</t>
        </is>
      </c>
      <c r="D567" t="inlineStr">
        <is>
          <t>Топ, ₽/сут</t>
        </is>
      </c>
      <c r="E567" t="inlineStr">
        <is>
          <t>—</t>
        </is>
      </c>
    </row>
    <row r="568">
      <c r="A568" t="inlineStr">
        <is>
          <t>CIAN</t>
        </is>
      </c>
      <c r="B568" t="inlineStr">
        <is>
          <t>Воронеж</t>
        </is>
      </c>
      <c r="C568" t="inlineStr">
        <is>
          <t>Продажа · Загородная · Таунхаус</t>
        </is>
      </c>
      <c r="D568" t="inlineStr">
        <is>
          <t>Премиум, ₽/сут</t>
        </is>
      </c>
      <c r="E568" t="inlineStr">
        <is>
          <t>—</t>
        </is>
      </c>
    </row>
    <row r="569">
      <c r="A569" t="inlineStr">
        <is>
          <t>CIAN</t>
        </is>
      </c>
      <c r="B569" t="inlineStr">
        <is>
          <t>Воронеж</t>
        </is>
      </c>
      <c r="C569" t="inlineStr">
        <is>
          <t>Продажа · Загородная · Таунхаус</t>
        </is>
      </c>
      <c r="D569" t="inlineStr">
        <is>
          <t>Стандарт, ₽/сут</t>
        </is>
      </c>
      <c r="E569" t="inlineStr">
        <is>
          <t>—</t>
        </is>
      </c>
    </row>
    <row r="570">
      <c r="A570" t="inlineStr">
        <is>
          <t>CIAN</t>
        </is>
      </c>
      <c r="B570" t="inlineStr">
        <is>
          <t>Пермь</t>
        </is>
      </c>
      <c r="C570" t="inlineStr">
        <is>
          <t>Продажа · Загородная · Таунхаус</t>
        </is>
      </c>
      <c r="D570" t="inlineStr">
        <is>
          <t>Публикация, ₽/30 дн</t>
        </is>
      </c>
      <c r="E570" t="n">
        <v>168</v>
      </c>
    </row>
    <row r="571">
      <c r="A571" t="inlineStr">
        <is>
          <t>CIAN</t>
        </is>
      </c>
      <c r="B571" t="inlineStr">
        <is>
          <t>Пермь</t>
        </is>
      </c>
      <c r="C571" t="inlineStr">
        <is>
          <t>Продажа · Загородная · Таунхаус</t>
        </is>
      </c>
      <c r="D571" t="inlineStr">
        <is>
          <t>Топ, ₽/сут</t>
        </is>
      </c>
      <c r="E571" t="inlineStr">
        <is>
          <t>—</t>
        </is>
      </c>
    </row>
    <row r="572">
      <c r="A572" t="inlineStr">
        <is>
          <t>CIAN</t>
        </is>
      </c>
      <c r="B572" t="inlineStr">
        <is>
          <t>Пермь</t>
        </is>
      </c>
      <c r="C572" t="inlineStr">
        <is>
          <t>Продажа · Загородная · Таунхаус</t>
        </is>
      </c>
      <c r="D572" t="inlineStr">
        <is>
          <t>Премиум, ₽/сут</t>
        </is>
      </c>
      <c r="E572" t="inlineStr">
        <is>
          <t>—</t>
        </is>
      </c>
    </row>
    <row r="573">
      <c r="A573" t="inlineStr">
        <is>
          <t>CIAN</t>
        </is>
      </c>
      <c r="B573" t="inlineStr">
        <is>
          <t>Пермь</t>
        </is>
      </c>
      <c r="C573" t="inlineStr">
        <is>
          <t>Продажа · Загородная · Таунхаус</t>
        </is>
      </c>
      <c r="D573" t="inlineStr">
        <is>
          <t>Стандарт, ₽/сут</t>
        </is>
      </c>
      <c r="E573" t="inlineStr">
        <is>
          <t>—</t>
        </is>
      </c>
    </row>
    <row r="574">
      <c r="A574" t="inlineStr">
        <is>
          <t>CIAN</t>
        </is>
      </c>
      <c r="B574" t="inlineStr">
        <is>
          <t>Волгоград</t>
        </is>
      </c>
      <c r="C574" t="inlineStr">
        <is>
          <t>Продажа · Загородная · Таунхаус</t>
        </is>
      </c>
      <c r="D574" t="inlineStr">
        <is>
          <t>Публикация, ₽/30 дн</t>
        </is>
      </c>
      <c r="E574" t="n">
        <v>108</v>
      </c>
    </row>
    <row r="575">
      <c r="A575" t="inlineStr">
        <is>
          <t>CIAN</t>
        </is>
      </c>
      <c r="B575" t="inlineStr">
        <is>
          <t>Волгоград</t>
        </is>
      </c>
      <c r="C575" t="inlineStr">
        <is>
          <t>Продажа · Загородная · Таунхаус</t>
        </is>
      </c>
      <c r="D575" t="inlineStr">
        <is>
          <t>Топ, ₽/сут</t>
        </is>
      </c>
      <c r="E575" t="inlineStr">
        <is>
          <t>—</t>
        </is>
      </c>
    </row>
    <row r="576">
      <c r="A576" t="inlineStr">
        <is>
          <t>CIAN</t>
        </is>
      </c>
      <c r="B576" t="inlineStr">
        <is>
          <t>Волгоград</t>
        </is>
      </c>
      <c r="C576" t="inlineStr">
        <is>
          <t>Продажа · Загородная · Таунхаус</t>
        </is>
      </c>
      <c r="D576" t="inlineStr">
        <is>
          <t>Премиум, ₽/сут</t>
        </is>
      </c>
      <c r="E576" t="inlineStr">
        <is>
          <t>—</t>
        </is>
      </c>
    </row>
    <row r="577">
      <c r="A577" t="inlineStr">
        <is>
          <t>CIAN</t>
        </is>
      </c>
      <c r="B577" t="inlineStr">
        <is>
          <t>Волгоград</t>
        </is>
      </c>
      <c r="C577" t="inlineStr">
        <is>
          <t>Продажа · Загородная · Таунхаус</t>
        </is>
      </c>
      <c r="D577" t="inlineStr">
        <is>
          <t>Стандарт, ₽/сут</t>
        </is>
      </c>
      <c r="E577" t="inlineStr">
        <is>
          <t>—</t>
        </is>
      </c>
    </row>
    <row r="578">
      <c r="A578" t="inlineStr">
        <is>
          <t>CIAN</t>
        </is>
      </c>
      <c r="B578" t="inlineStr">
        <is>
          <t>Москва</t>
        </is>
      </c>
      <c r="C578" t="inlineStr">
        <is>
          <t>Продажа · Загородная · Часть дома</t>
        </is>
      </c>
      <c r="D578" t="inlineStr">
        <is>
          <t>Публикация, ₽/30 дн</t>
        </is>
      </c>
      <c r="E578" t="n">
        <v>3090</v>
      </c>
    </row>
    <row r="579">
      <c r="A579" t="inlineStr">
        <is>
          <t>CIAN</t>
        </is>
      </c>
      <c r="B579" t="inlineStr">
        <is>
          <t>Москва</t>
        </is>
      </c>
      <c r="C579" t="inlineStr">
        <is>
          <t>Продажа · Загородная · Часть дома</t>
        </is>
      </c>
      <c r="D579" t="inlineStr">
        <is>
          <t>Топ, ₽/сут</t>
        </is>
      </c>
      <c r="E579" t="n">
        <v>1213</v>
      </c>
    </row>
    <row r="580">
      <c r="A580" t="inlineStr">
        <is>
          <t>CIAN</t>
        </is>
      </c>
      <c r="B580" t="inlineStr">
        <is>
          <t>Москва</t>
        </is>
      </c>
      <c r="C580" t="inlineStr">
        <is>
          <t>Продажа · Загородная · Часть дома</t>
        </is>
      </c>
      <c r="D580" t="inlineStr">
        <is>
          <t>Премиум, ₽/сут</t>
        </is>
      </c>
      <c r="E580" t="n">
        <v>492</v>
      </c>
    </row>
    <row r="581">
      <c r="A581" t="inlineStr">
        <is>
          <t>CIAN</t>
        </is>
      </c>
      <c r="B581" t="inlineStr">
        <is>
          <t>Москва</t>
        </is>
      </c>
      <c r="C581" t="inlineStr">
        <is>
          <t>Продажа · Загородная · Часть дома</t>
        </is>
      </c>
      <c r="D581" t="inlineStr">
        <is>
          <t>Стандарт, ₽/сут</t>
        </is>
      </c>
      <c r="E581" t="n">
        <v>147</v>
      </c>
    </row>
    <row r="582">
      <c r="A582" t="inlineStr">
        <is>
          <t>CIAN</t>
        </is>
      </c>
      <c r="B582" t="inlineStr">
        <is>
          <t>Санкт-Петербург</t>
        </is>
      </c>
      <c r="C582" t="inlineStr">
        <is>
          <t>Продажа · Загородная · Часть дома</t>
        </is>
      </c>
      <c r="D582" t="inlineStr">
        <is>
          <t>Публикация, ₽/30 дн</t>
        </is>
      </c>
      <c r="E582" t="n">
        <v>723</v>
      </c>
    </row>
    <row r="583">
      <c r="A583" t="inlineStr">
        <is>
          <t>CIAN</t>
        </is>
      </c>
      <c r="B583" t="inlineStr">
        <is>
          <t>Санкт-Петербург</t>
        </is>
      </c>
      <c r="C583" t="inlineStr">
        <is>
          <t>Продажа · Загородная · Часть дома</t>
        </is>
      </c>
      <c r="D583" t="inlineStr">
        <is>
          <t>Топ, ₽/сут</t>
        </is>
      </c>
      <c r="E583" t="n">
        <v>290</v>
      </c>
    </row>
    <row r="584">
      <c r="A584" t="inlineStr">
        <is>
          <t>CIAN</t>
        </is>
      </c>
      <c r="B584" t="inlineStr">
        <is>
          <t>Санкт-Петербург</t>
        </is>
      </c>
      <c r="C584" t="inlineStr">
        <is>
          <t>Продажа · Загородная · Часть дома</t>
        </is>
      </c>
      <c r="D584" t="inlineStr">
        <is>
          <t>Премиум, ₽/сут</t>
        </is>
      </c>
      <c r="E584" t="n">
        <v>122</v>
      </c>
    </row>
    <row r="585">
      <c r="A585" t="inlineStr">
        <is>
          <t>CIAN</t>
        </is>
      </c>
      <c r="B585" t="inlineStr">
        <is>
          <t>Санкт-Петербург</t>
        </is>
      </c>
      <c r="C585" t="inlineStr">
        <is>
          <t>Продажа · Загородная · Часть дома</t>
        </is>
      </c>
      <c r="D585" t="inlineStr">
        <is>
          <t>Стандарт, ₽/сут</t>
        </is>
      </c>
      <c r="E585" t="n">
        <v>38</v>
      </c>
    </row>
    <row r="586">
      <c r="A586" t="inlineStr">
        <is>
          <t>CIAN</t>
        </is>
      </c>
      <c r="B586" t="inlineStr">
        <is>
          <t>Новосибирск</t>
        </is>
      </c>
      <c r="C586" t="inlineStr">
        <is>
          <t>Продажа · Загородная · Часть дома</t>
        </is>
      </c>
      <c r="D586" t="inlineStr">
        <is>
          <t>Публикация, ₽/30 дн</t>
        </is>
      </c>
      <c r="E586" t="n">
        <v>1050</v>
      </c>
    </row>
    <row r="587">
      <c r="A587" t="inlineStr">
        <is>
          <t>CIAN</t>
        </is>
      </c>
      <c r="B587" t="inlineStr">
        <is>
          <t>Новосибирск</t>
        </is>
      </c>
      <c r="C587" t="inlineStr">
        <is>
          <t>Продажа · Загородная · Часть дома</t>
        </is>
      </c>
      <c r="D587" t="inlineStr">
        <is>
          <t>Топ, ₽/сут</t>
        </is>
      </c>
      <c r="E587" t="n">
        <v>322</v>
      </c>
    </row>
    <row r="588">
      <c r="A588" t="inlineStr">
        <is>
          <t>CIAN</t>
        </is>
      </c>
      <c r="B588" t="inlineStr">
        <is>
          <t>Новосибирск</t>
        </is>
      </c>
      <c r="C588" t="inlineStr">
        <is>
          <t>Продажа · Загородная · Часть дома</t>
        </is>
      </c>
      <c r="D588" t="inlineStr">
        <is>
          <t>Премиум, ₽/сут</t>
        </is>
      </c>
      <c r="E588" t="n">
        <v>157</v>
      </c>
    </row>
    <row r="589">
      <c r="A589" t="inlineStr">
        <is>
          <t>CIAN</t>
        </is>
      </c>
      <c r="B589" t="inlineStr">
        <is>
          <t>Новосибирск</t>
        </is>
      </c>
      <c r="C589" t="inlineStr">
        <is>
          <t>Продажа · Загородная · Часть дома</t>
        </is>
      </c>
      <c r="D589" t="inlineStr">
        <is>
          <t>Стандарт, ₽/сут</t>
        </is>
      </c>
      <c r="E589" t="n">
        <v>48</v>
      </c>
    </row>
    <row r="590">
      <c r="A590" t="inlineStr">
        <is>
          <t>CIAN</t>
        </is>
      </c>
      <c r="B590" t="inlineStr">
        <is>
          <t>Екатеринбург</t>
        </is>
      </c>
      <c r="C590" t="inlineStr">
        <is>
          <t>Продажа · Загородная · Часть дома</t>
        </is>
      </c>
      <c r="D590" t="inlineStr">
        <is>
          <t>Публикация, ₽/30 дн</t>
        </is>
      </c>
      <c r="E590" t="n">
        <v>813</v>
      </c>
    </row>
    <row r="591">
      <c r="A591" t="inlineStr">
        <is>
          <t>CIAN</t>
        </is>
      </c>
      <c r="B591" t="inlineStr">
        <is>
          <t>Екатеринбург</t>
        </is>
      </c>
      <c r="C591" t="inlineStr">
        <is>
          <t>Продажа · Загородная · Часть дома</t>
        </is>
      </c>
      <c r="D591" t="inlineStr">
        <is>
          <t>Топ, ₽/сут</t>
        </is>
      </c>
      <c r="E591" t="n">
        <v>365</v>
      </c>
    </row>
    <row r="592">
      <c r="A592" t="inlineStr">
        <is>
          <t>CIAN</t>
        </is>
      </c>
      <c r="B592" t="inlineStr">
        <is>
          <t>Екатеринбург</t>
        </is>
      </c>
      <c r="C592" t="inlineStr">
        <is>
          <t>Продажа · Загородная · Часть дома</t>
        </is>
      </c>
      <c r="D592" t="inlineStr">
        <is>
          <t>Премиум, ₽/сут</t>
        </is>
      </c>
      <c r="E592" t="n">
        <v>190</v>
      </c>
    </row>
    <row r="593">
      <c r="A593" t="inlineStr">
        <is>
          <t>CIAN</t>
        </is>
      </c>
      <c r="B593" t="inlineStr">
        <is>
          <t>Екатеринбург</t>
        </is>
      </c>
      <c r="C593" t="inlineStr">
        <is>
          <t>Продажа · Загородная · Часть дома</t>
        </is>
      </c>
      <c r="D593" t="inlineStr">
        <is>
          <t>Стандарт, ₽/сут</t>
        </is>
      </c>
      <c r="E593" t="n">
        <v>56</v>
      </c>
    </row>
    <row r="594">
      <c r="A594" t="inlineStr">
        <is>
          <t>CIAN</t>
        </is>
      </c>
      <c r="B594" t="inlineStr">
        <is>
          <t>Казань</t>
        </is>
      </c>
      <c r="C594" t="inlineStr">
        <is>
          <t>Продажа · Загородная · Часть дома</t>
        </is>
      </c>
      <c r="D594" t="inlineStr">
        <is>
          <t>Публикация, ₽/30 дн</t>
        </is>
      </c>
      <c r="E594" t="n">
        <v>207</v>
      </c>
    </row>
    <row r="595">
      <c r="A595" t="inlineStr">
        <is>
          <t>CIAN</t>
        </is>
      </c>
      <c r="B595" t="inlineStr">
        <is>
          <t>Казань</t>
        </is>
      </c>
      <c r="C595" t="inlineStr">
        <is>
          <t>Продажа · Загородная · Часть дома</t>
        </is>
      </c>
      <c r="D595" t="inlineStr">
        <is>
          <t>Топ, ₽/сут</t>
        </is>
      </c>
      <c r="E595" t="n">
        <v>148</v>
      </c>
    </row>
    <row r="596">
      <c r="A596" t="inlineStr">
        <is>
          <t>CIAN</t>
        </is>
      </c>
      <c r="B596" t="inlineStr">
        <is>
          <t>Казань</t>
        </is>
      </c>
      <c r="C596" t="inlineStr">
        <is>
          <t>Продажа · Загородная · Часть дома</t>
        </is>
      </c>
      <c r="D596" t="inlineStr">
        <is>
          <t>Премиум, ₽/сут</t>
        </is>
      </c>
      <c r="E596" t="n">
        <v>66</v>
      </c>
    </row>
    <row r="597">
      <c r="A597" t="inlineStr">
        <is>
          <t>CIAN</t>
        </is>
      </c>
      <c r="B597" t="inlineStr">
        <is>
          <t>Казань</t>
        </is>
      </c>
      <c r="C597" t="inlineStr">
        <is>
          <t>Продажа · Загородная · Часть дома</t>
        </is>
      </c>
      <c r="D597" t="inlineStr">
        <is>
          <t>Стандарт, ₽/сут</t>
        </is>
      </c>
      <c r="E597" t="n">
        <v>21</v>
      </c>
    </row>
    <row r="598">
      <c r="A598" t="inlineStr">
        <is>
          <t>CIAN</t>
        </is>
      </c>
      <c r="B598" t="inlineStr">
        <is>
          <t>Красноярск</t>
        </is>
      </c>
      <c r="C598" t="inlineStr">
        <is>
          <t>Продажа · Загородная · Часть дома</t>
        </is>
      </c>
      <c r="D598" t="inlineStr">
        <is>
          <t>Публикация, ₽/30 дн</t>
        </is>
      </c>
      <c r="E598" t="n">
        <v>270</v>
      </c>
    </row>
    <row r="599">
      <c r="A599" t="inlineStr">
        <is>
          <t>CIAN</t>
        </is>
      </c>
      <c r="B599" t="inlineStr">
        <is>
          <t>Красноярск</t>
        </is>
      </c>
      <c r="C599" t="inlineStr">
        <is>
          <t>Продажа · Загородная · Часть дома</t>
        </is>
      </c>
      <c r="D599" t="inlineStr">
        <is>
          <t>Топ, ₽/сут</t>
        </is>
      </c>
      <c r="E599" t="inlineStr">
        <is>
          <t>—</t>
        </is>
      </c>
    </row>
    <row r="600">
      <c r="A600" t="inlineStr">
        <is>
          <t>CIAN</t>
        </is>
      </c>
      <c r="B600" t="inlineStr">
        <is>
          <t>Красноярск</t>
        </is>
      </c>
      <c r="C600" t="inlineStr">
        <is>
          <t>Продажа · Загородная · Часть дома</t>
        </is>
      </c>
      <c r="D600" t="inlineStr">
        <is>
          <t>Премиум, ₽/сут</t>
        </is>
      </c>
      <c r="E600" t="inlineStr">
        <is>
          <t>—</t>
        </is>
      </c>
    </row>
    <row r="601">
      <c r="A601" t="inlineStr">
        <is>
          <t>CIAN</t>
        </is>
      </c>
      <c r="B601" t="inlineStr">
        <is>
          <t>Красноярск</t>
        </is>
      </c>
      <c r="C601" t="inlineStr">
        <is>
          <t>Продажа · Загородная · Часть дома</t>
        </is>
      </c>
      <c r="D601" t="inlineStr">
        <is>
          <t>Стандарт, ₽/сут</t>
        </is>
      </c>
      <c r="E601" t="inlineStr">
        <is>
          <t>—</t>
        </is>
      </c>
    </row>
    <row r="602">
      <c r="A602" t="inlineStr">
        <is>
          <t>CIAN</t>
        </is>
      </c>
      <c r="B602" t="inlineStr">
        <is>
          <t>Нижний Новгород</t>
        </is>
      </c>
      <c r="C602" t="inlineStr">
        <is>
          <t>Продажа · Загородная · Часть дома</t>
        </is>
      </c>
      <c r="D602" t="inlineStr">
        <is>
          <t>Публикация, ₽/30 дн</t>
        </is>
      </c>
      <c r="E602" t="n">
        <v>207</v>
      </c>
    </row>
    <row r="603">
      <c r="A603" t="inlineStr">
        <is>
          <t>CIAN</t>
        </is>
      </c>
      <c r="B603" t="inlineStr">
        <is>
          <t>Нижний Новгород</t>
        </is>
      </c>
      <c r="C603" t="inlineStr">
        <is>
          <t>Продажа · Загородная · Часть дома</t>
        </is>
      </c>
      <c r="D603" t="inlineStr">
        <is>
          <t>Топ, ₽/сут</t>
        </is>
      </c>
      <c r="E603" t="n">
        <v>139</v>
      </c>
    </row>
    <row r="604">
      <c r="A604" t="inlineStr">
        <is>
          <t>CIAN</t>
        </is>
      </c>
      <c r="B604" t="inlineStr">
        <is>
          <t>Нижний Новгород</t>
        </is>
      </c>
      <c r="C604" t="inlineStr">
        <is>
          <t>Продажа · Загородная · Часть дома</t>
        </is>
      </c>
      <c r="D604" t="inlineStr">
        <is>
          <t>Премиум, ₽/сут</t>
        </is>
      </c>
      <c r="E604" t="n">
        <v>56</v>
      </c>
    </row>
    <row r="605">
      <c r="A605" t="inlineStr">
        <is>
          <t>CIAN</t>
        </is>
      </c>
      <c r="B605" t="inlineStr">
        <is>
          <t>Нижний Новгород</t>
        </is>
      </c>
      <c r="C605" t="inlineStr">
        <is>
          <t>Продажа · Загородная · Часть дома</t>
        </is>
      </c>
      <c r="D605" t="inlineStr">
        <is>
          <t>Стандарт, ₽/сут</t>
        </is>
      </c>
      <c r="E605" t="n">
        <v>16</v>
      </c>
    </row>
    <row r="606">
      <c r="A606" t="inlineStr">
        <is>
          <t>CIAN</t>
        </is>
      </c>
      <c r="B606" t="inlineStr">
        <is>
          <t>Челябинск</t>
        </is>
      </c>
      <c r="C606" t="inlineStr">
        <is>
          <t>Продажа · Загородная · Часть дома</t>
        </is>
      </c>
      <c r="D606" t="inlineStr">
        <is>
          <t>Публикация, ₽/30 дн</t>
        </is>
      </c>
      <c r="E606" t="n">
        <v>258</v>
      </c>
    </row>
    <row r="607">
      <c r="A607" t="inlineStr">
        <is>
          <t>CIAN</t>
        </is>
      </c>
      <c r="B607" t="inlineStr">
        <is>
          <t>Челябинск</t>
        </is>
      </c>
      <c r="C607" t="inlineStr">
        <is>
          <t>Продажа · Загородная · Часть дома</t>
        </is>
      </c>
      <c r="D607" t="inlineStr">
        <is>
          <t>Топ, ₽/сут</t>
        </is>
      </c>
      <c r="E607" t="n">
        <v>225</v>
      </c>
    </row>
    <row r="608">
      <c r="A608" t="inlineStr">
        <is>
          <t>CIAN</t>
        </is>
      </c>
      <c r="B608" t="inlineStr">
        <is>
          <t>Челябинск</t>
        </is>
      </c>
      <c r="C608" t="inlineStr">
        <is>
          <t>Продажа · Загородная · Часть дома</t>
        </is>
      </c>
      <c r="D608" t="inlineStr">
        <is>
          <t>Премиум, ₽/сут</t>
        </is>
      </c>
      <c r="E608" t="n">
        <v>109</v>
      </c>
    </row>
    <row r="609">
      <c r="A609" t="inlineStr">
        <is>
          <t>CIAN</t>
        </is>
      </c>
      <c r="B609" t="inlineStr">
        <is>
          <t>Челябинск</t>
        </is>
      </c>
      <c r="C609" t="inlineStr">
        <is>
          <t>Продажа · Загородная · Часть дома</t>
        </is>
      </c>
      <c r="D609" t="inlineStr">
        <is>
          <t>Стандарт, ₽/сут</t>
        </is>
      </c>
      <c r="E609" t="n">
        <v>31</v>
      </c>
    </row>
    <row r="610">
      <c r="A610" t="inlineStr">
        <is>
          <t>CIAN</t>
        </is>
      </c>
      <c r="B610" t="inlineStr">
        <is>
          <t>Уфа</t>
        </is>
      </c>
      <c r="C610" t="inlineStr">
        <is>
          <t>Продажа · Загородная · Часть дома</t>
        </is>
      </c>
      <c r="D610" t="inlineStr">
        <is>
          <t>Публикация, ₽/30 дн</t>
        </is>
      </c>
      <c r="E610" t="n">
        <v>234</v>
      </c>
    </row>
    <row r="611">
      <c r="A611" t="inlineStr">
        <is>
          <t>CIAN</t>
        </is>
      </c>
      <c r="B611" t="inlineStr">
        <is>
          <t>Уфа</t>
        </is>
      </c>
      <c r="C611" t="inlineStr">
        <is>
          <t>Продажа · Загородная · Часть дома</t>
        </is>
      </c>
      <c r="D611" t="inlineStr">
        <is>
          <t>Топ, ₽/сут</t>
        </is>
      </c>
      <c r="E611" t="n">
        <v>141</v>
      </c>
    </row>
    <row r="612">
      <c r="A612" t="inlineStr">
        <is>
          <t>CIAN</t>
        </is>
      </c>
      <c r="B612" t="inlineStr">
        <is>
          <t>Уфа</t>
        </is>
      </c>
      <c r="C612" t="inlineStr">
        <is>
          <t>Продажа · Загородная · Часть дома</t>
        </is>
      </c>
      <c r="D612" t="inlineStr">
        <is>
          <t>Премиум, ₽/сут</t>
        </is>
      </c>
      <c r="E612" t="n">
        <v>62</v>
      </c>
    </row>
    <row r="613">
      <c r="A613" t="inlineStr">
        <is>
          <t>CIAN</t>
        </is>
      </c>
      <c r="B613" t="inlineStr">
        <is>
          <t>Уфа</t>
        </is>
      </c>
      <c r="C613" t="inlineStr">
        <is>
          <t>Продажа · Загородная · Часть дома</t>
        </is>
      </c>
      <c r="D613" t="inlineStr">
        <is>
          <t>Стандарт, ₽/сут</t>
        </is>
      </c>
      <c r="E613" t="n">
        <v>20</v>
      </c>
    </row>
    <row r="614">
      <c r="A614" t="inlineStr">
        <is>
          <t>CIAN</t>
        </is>
      </c>
      <c r="B614" t="inlineStr">
        <is>
          <t>Краснодар</t>
        </is>
      </c>
      <c r="C614" t="inlineStr">
        <is>
          <t>Продажа · Загородная · Часть дома</t>
        </is>
      </c>
      <c r="D614" t="inlineStr">
        <is>
          <t>Публикация, ₽/30 дн</t>
        </is>
      </c>
      <c r="E614" t="n">
        <v>150</v>
      </c>
    </row>
    <row r="615">
      <c r="A615" t="inlineStr">
        <is>
          <t>CIAN</t>
        </is>
      </c>
      <c r="B615" t="inlineStr">
        <is>
          <t>Краснодар</t>
        </is>
      </c>
      <c r="C615" t="inlineStr">
        <is>
          <t>Продажа · Загородная · Часть дома</t>
        </is>
      </c>
      <c r="D615" t="inlineStr">
        <is>
          <t>Топ, ₽/сут</t>
        </is>
      </c>
      <c r="E615" t="n">
        <v>145</v>
      </c>
    </row>
    <row r="616">
      <c r="A616" t="inlineStr">
        <is>
          <t>CIAN</t>
        </is>
      </c>
      <c r="B616" t="inlineStr">
        <is>
          <t>Краснодар</t>
        </is>
      </c>
      <c r="C616" t="inlineStr">
        <is>
          <t>Продажа · Загородная · Часть дома</t>
        </is>
      </c>
      <c r="D616" t="inlineStr">
        <is>
          <t>Премиум, ₽/сут</t>
        </is>
      </c>
      <c r="E616" t="n">
        <v>57</v>
      </c>
    </row>
    <row r="617">
      <c r="A617" t="inlineStr">
        <is>
          <t>CIAN</t>
        </is>
      </c>
      <c r="B617" t="inlineStr">
        <is>
          <t>Краснодар</t>
        </is>
      </c>
      <c r="C617" t="inlineStr">
        <is>
          <t>Продажа · Загородная · Часть дома</t>
        </is>
      </c>
      <c r="D617" t="inlineStr">
        <is>
          <t>Стандарт, ₽/сут</t>
        </is>
      </c>
      <c r="E617" t="n">
        <v>17</v>
      </c>
    </row>
    <row r="618">
      <c r="A618" t="inlineStr">
        <is>
          <t>CIAN</t>
        </is>
      </c>
      <c r="B618" t="inlineStr">
        <is>
          <t>Самара</t>
        </is>
      </c>
      <c r="C618" t="inlineStr">
        <is>
          <t>Продажа · Загородная · Часть дома</t>
        </is>
      </c>
      <c r="D618" t="inlineStr">
        <is>
          <t>Публикация, ₽/30 дн</t>
        </is>
      </c>
      <c r="E618" t="n">
        <v>225</v>
      </c>
    </row>
    <row r="619">
      <c r="A619" t="inlineStr">
        <is>
          <t>CIAN</t>
        </is>
      </c>
      <c r="B619" t="inlineStr">
        <is>
          <t>Самара</t>
        </is>
      </c>
      <c r="C619" t="inlineStr">
        <is>
          <t>Продажа · Загородная · Часть дома</t>
        </is>
      </c>
      <c r="D619" t="inlineStr">
        <is>
          <t>Топ, ₽/сут</t>
        </is>
      </c>
      <c r="E619" t="inlineStr">
        <is>
          <t>—</t>
        </is>
      </c>
    </row>
    <row r="620">
      <c r="A620" t="inlineStr">
        <is>
          <t>CIAN</t>
        </is>
      </c>
      <c r="B620" t="inlineStr">
        <is>
          <t>Самара</t>
        </is>
      </c>
      <c r="C620" t="inlineStr">
        <is>
          <t>Продажа · Загородная · Часть дома</t>
        </is>
      </c>
      <c r="D620" t="inlineStr">
        <is>
          <t>Премиум, ₽/сут</t>
        </is>
      </c>
      <c r="E620" t="inlineStr">
        <is>
          <t>—</t>
        </is>
      </c>
    </row>
    <row r="621">
      <c r="A621" t="inlineStr">
        <is>
          <t>CIAN</t>
        </is>
      </c>
      <c r="B621" t="inlineStr">
        <is>
          <t>Самара</t>
        </is>
      </c>
      <c r="C621" t="inlineStr">
        <is>
          <t>Продажа · Загородная · Часть дома</t>
        </is>
      </c>
      <c r="D621" t="inlineStr">
        <is>
          <t>Стандарт, ₽/сут</t>
        </is>
      </c>
      <c r="E621" t="inlineStr">
        <is>
          <t>—</t>
        </is>
      </c>
    </row>
    <row r="622">
      <c r="A622" t="inlineStr">
        <is>
          <t>CIAN</t>
        </is>
      </c>
      <c r="B622" t="inlineStr">
        <is>
          <t>Ростов-на-Дону</t>
        </is>
      </c>
      <c r="C622" t="inlineStr">
        <is>
          <t>Продажа · Загородная · Часть дома</t>
        </is>
      </c>
      <c r="D622" t="inlineStr">
        <is>
          <t>Публикация, ₽/30 дн</t>
        </is>
      </c>
      <c r="E622" t="n">
        <v>234</v>
      </c>
    </row>
    <row r="623">
      <c r="A623" t="inlineStr">
        <is>
          <t>CIAN</t>
        </is>
      </c>
      <c r="B623" t="inlineStr">
        <is>
          <t>Ростов-на-Дону</t>
        </is>
      </c>
      <c r="C623" t="inlineStr">
        <is>
          <t>Продажа · Загородная · Часть дома</t>
        </is>
      </c>
      <c r="D623" t="inlineStr">
        <is>
          <t>Топ, ₽/сут</t>
        </is>
      </c>
      <c r="E623" t="n">
        <v>181</v>
      </c>
    </row>
    <row r="624">
      <c r="A624" t="inlineStr">
        <is>
          <t>CIAN</t>
        </is>
      </c>
      <c r="B624" t="inlineStr">
        <is>
          <t>Ростов-на-Дону</t>
        </is>
      </c>
      <c r="C624" t="inlineStr">
        <is>
          <t>Продажа · Загородная · Часть дома</t>
        </is>
      </c>
      <c r="D624" t="inlineStr">
        <is>
          <t>Премиум, ₽/сут</t>
        </is>
      </c>
      <c r="E624" t="n">
        <v>71</v>
      </c>
    </row>
    <row r="625">
      <c r="A625" t="inlineStr">
        <is>
          <t>CIAN</t>
        </is>
      </c>
      <c r="B625" t="inlineStr">
        <is>
          <t>Ростов-на-Дону</t>
        </is>
      </c>
      <c r="C625" t="inlineStr">
        <is>
          <t>Продажа · Загородная · Часть дома</t>
        </is>
      </c>
      <c r="D625" t="inlineStr">
        <is>
          <t>Стандарт, ₽/сут</t>
        </is>
      </c>
      <c r="E625" t="n">
        <v>20</v>
      </c>
    </row>
    <row r="626">
      <c r="A626" t="inlineStr">
        <is>
          <t>CIAN</t>
        </is>
      </c>
      <c r="B626" t="inlineStr">
        <is>
          <t>Омск</t>
        </is>
      </c>
      <c r="C626" t="inlineStr">
        <is>
          <t>Продажа · Загородная · Часть дома</t>
        </is>
      </c>
      <c r="D626" t="inlineStr">
        <is>
          <t>Публикация, ₽/30 дн</t>
        </is>
      </c>
      <c r="E626" t="n">
        <v>354</v>
      </c>
    </row>
    <row r="627">
      <c r="A627" t="inlineStr">
        <is>
          <t>CIAN</t>
        </is>
      </c>
      <c r="B627" t="inlineStr">
        <is>
          <t>Омск</t>
        </is>
      </c>
      <c r="C627" t="inlineStr">
        <is>
          <t>Продажа · Загородная · Часть дома</t>
        </is>
      </c>
      <c r="D627" t="inlineStr">
        <is>
          <t>Топ, ₽/сут</t>
        </is>
      </c>
      <c r="E627" t="n">
        <v>235</v>
      </c>
    </row>
    <row r="628">
      <c r="A628" t="inlineStr">
        <is>
          <t>CIAN</t>
        </is>
      </c>
      <c r="B628" t="inlineStr">
        <is>
          <t>Омск</t>
        </is>
      </c>
      <c r="C628" t="inlineStr">
        <is>
          <t>Продажа · Загородная · Часть дома</t>
        </is>
      </c>
      <c r="D628" t="inlineStr">
        <is>
          <t>Премиум, ₽/сут</t>
        </is>
      </c>
      <c r="E628" t="n">
        <v>114</v>
      </c>
    </row>
    <row r="629">
      <c r="A629" t="inlineStr">
        <is>
          <t>CIAN</t>
        </is>
      </c>
      <c r="B629" t="inlineStr">
        <is>
          <t>Омск</t>
        </is>
      </c>
      <c r="C629" t="inlineStr">
        <is>
          <t>Продажа · Загородная · Часть дома</t>
        </is>
      </c>
      <c r="D629" t="inlineStr">
        <is>
          <t>Стандарт, ₽/сут</t>
        </is>
      </c>
      <c r="E629" t="n">
        <v>36</v>
      </c>
    </row>
    <row r="630">
      <c r="A630" t="inlineStr">
        <is>
          <t>CIAN</t>
        </is>
      </c>
      <c r="B630" t="inlineStr">
        <is>
          <t>Воронеж</t>
        </is>
      </c>
      <c r="C630" t="inlineStr">
        <is>
          <t>Продажа · Загородная · Часть дома</t>
        </is>
      </c>
      <c r="D630" t="inlineStr">
        <is>
          <t>Публикация, ₽/30 дн</t>
        </is>
      </c>
      <c r="E630" t="n">
        <v>99</v>
      </c>
    </row>
    <row r="631">
      <c r="A631" t="inlineStr">
        <is>
          <t>CIAN</t>
        </is>
      </c>
      <c r="B631" t="inlineStr">
        <is>
          <t>Воронеж</t>
        </is>
      </c>
      <c r="C631" t="inlineStr">
        <is>
          <t>Продажа · Загородная · Часть дома</t>
        </is>
      </c>
      <c r="D631" t="inlineStr">
        <is>
          <t>Топ, ₽/сут</t>
        </is>
      </c>
      <c r="E631" t="inlineStr">
        <is>
          <t>—</t>
        </is>
      </c>
    </row>
    <row r="632">
      <c r="A632" t="inlineStr">
        <is>
          <t>CIAN</t>
        </is>
      </c>
      <c r="B632" t="inlineStr">
        <is>
          <t>Воронеж</t>
        </is>
      </c>
      <c r="C632" t="inlineStr">
        <is>
          <t>Продажа · Загородная · Часть дома</t>
        </is>
      </c>
      <c r="D632" t="inlineStr">
        <is>
          <t>Премиум, ₽/сут</t>
        </is>
      </c>
      <c r="E632" t="inlineStr">
        <is>
          <t>—</t>
        </is>
      </c>
    </row>
    <row r="633">
      <c r="A633" t="inlineStr">
        <is>
          <t>CIAN</t>
        </is>
      </c>
      <c r="B633" t="inlineStr">
        <is>
          <t>Воронеж</t>
        </is>
      </c>
      <c r="C633" t="inlineStr">
        <is>
          <t>Продажа · Загородная · Часть дома</t>
        </is>
      </c>
      <c r="D633" t="inlineStr">
        <is>
          <t>Стандарт, ₽/сут</t>
        </is>
      </c>
      <c r="E633" t="inlineStr">
        <is>
          <t>—</t>
        </is>
      </c>
    </row>
    <row r="634">
      <c r="A634" t="inlineStr">
        <is>
          <t>CIAN</t>
        </is>
      </c>
      <c r="B634" t="inlineStr">
        <is>
          <t>Пермь</t>
        </is>
      </c>
      <c r="C634" t="inlineStr">
        <is>
          <t>Продажа · Загородная · Часть дома</t>
        </is>
      </c>
      <c r="D634" t="inlineStr">
        <is>
          <t>Публикация, ₽/30 дн</t>
        </is>
      </c>
      <c r="E634" t="n">
        <v>168</v>
      </c>
    </row>
    <row r="635">
      <c r="A635" t="inlineStr">
        <is>
          <t>CIAN</t>
        </is>
      </c>
      <c r="B635" t="inlineStr">
        <is>
          <t>Пермь</t>
        </is>
      </c>
      <c r="C635" t="inlineStr">
        <is>
          <t>Продажа · Загородная · Часть дома</t>
        </is>
      </c>
      <c r="D635" t="inlineStr">
        <is>
          <t>Топ, ₽/сут</t>
        </is>
      </c>
      <c r="E635" t="inlineStr">
        <is>
          <t>—</t>
        </is>
      </c>
    </row>
    <row r="636">
      <c r="A636" t="inlineStr">
        <is>
          <t>CIAN</t>
        </is>
      </c>
      <c r="B636" t="inlineStr">
        <is>
          <t>Пермь</t>
        </is>
      </c>
      <c r="C636" t="inlineStr">
        <is>
          <t>Продажа · Загородная · Часть дома</t>
        </is>
      </c>
      <c r="D636" t="inlineStr">
        <is>
          <t>Премиум, ₽/сут</t>
        </is>
      </c>
      <c r="E636" t="inlineStr">
        <is>
          <t>—</t>
        </is>
      </c>
    </row>
    <row r="637">
      <c r="A637" t="inlineStr">
        <is>
          <t>CIAN</t>
        </is>
      </c>
      <c r="B637" t="inlineStr">
        <is>
          <t>Пермь</t>
        </is>
      </c>
      <c r="C637" t="inlineStr">
        <is>
          <t>Продажа · Загородная · Часть дома</t>
        </is>
      </c>
      <c r="D637" t="inlineStr">
        <is>
          <t>Стандарт, ₽/сут</t>
        </is>
      </c>
      <c r="E637" t="inlineStr">
        <is>
          <t>—</t>
        </is>
      </c>
    </row>
    <row r="638">
      <c r="A638" t="inlineStr">
        <is>
          <t>CIAN</t>
        </is>
      </c>
      <c r="B638" t="inlineStr">
        <is>
          <t>Волгоград</t>
        </is>
      </c>
      <c r="C638" t="inlineStr">
        <is>
          <t>Продажа · Загородная · Часть дома</t>
        </is>
      </c>
      <c r="D638" t="inlineStr">
        <is>
          <t>Публикация, ₽/30 дн</t>
        </is>
      </c>
      <c r="E638" t="n">
        <v>273</v>
      </c>
    </row>
    <row r="639">
      <c r="A639" t="inlineStr">
        <is>
          <t>CIAN</t>
        </is>
      </c>
      <c r="B639" t="inlineStr">
        <is>
          <t>Волгоград</t>
        </is>
      </c>
      <c r="C639" t="inlineStr">
        <is>
          <t>Продажа · Загородная · Часть дома</t>
        </is>
      </c>
      <c r="D639" t="inlineStr">
        <is>
          <t>Топ, ₽/сут</t>
        </is>
      </c>
      <c r="E639" t="inlineStr">
        <is>
          <t>—</t>
        </is>
      </c>
    </row>
    <row r="640">
      <c r="A640" t="inlineStr">
        <is>
          <t>CIAN</t>
        </is>
      </c>
      <c r="B640" t="inlineStr">
        <is>
          <t>Волгоград</t>
        </is>
      </c>
      <c r="C640" t="inlineStr">
        <is>
          <t>Продажа · Загородная · Часть дома</t>
        </is>
      </c>
      <c r="D640" t="inlineStr">
        <is>
          <t>Премиум, ₽/сут</t>
        </is>
      </c>
      <c r="E640" t="inlineStr">
        <is>
          <t>—</t>
        </is>
      </c>
    </row>
    <row r="641">
      <c r="A641" t="inlineStr">
        <is>
          <t>CIAN</t>
        </is>
      </c>
      <c r="B641" t="inlineStr">
        <is>
          <t>Волгоград</t>
        </is>
      </c>
      <c r="C641" t="inlineStr">
        <is>
          <t>Продажа · Загородная · Часть дома</t>
        </is>
      </c>
      <c r="D641" t="inlineStr">
        <is>
          <t>Стандарт, ₽/сут</t>
        </is>
      </c>
      <c r="E641" t="inlineStr">
        <is>
          <t>—</t>
        </is>
      </c>
    </row>
    <row r="642">
      <c r="A642" t="inlineStr">
        <is>
          <t>CIAN</t>
        </is>
      </c>
      <c r="B642" t="inlineStr">
        <is>
          <t>Москва</t>
        </is>
      </c>
      <c r="C642" t="inlineStr">
        <is>
          <t>Продажа · Загородная · Участок</t>
        </is>
      </c>
      <c r="D642" t="inlineStr">
        <is>
          <t>Публикация, ₽/30 дн</t>
        </is>
      </c>
      <c r="E642" t="n">
        <v>2940</v>
      </c>
    </row>
    <row r="643">
      <c r="A643" t="inlineStr">
        <is>
          <t>CIAN</t>
        </is>
      </c>
      <c r="B643" t="inlineStr">
        <is>
          <t>Москва</t>
        </is>
      </c>
      <c r="C643" t="inlineStr">
        <is>
          <t>Продажа · Загородная · Участок</t>
        </is>
      </c>
      <c r="D643" t="inlineStr">
        <is>
          <t>Топ, ₽/сут</t>
        </is>
      </c>
      <c r="E643" t="n">
        <v>943</v>
      </c>
    </row>
    <row r="644">
      <c r="A644" t="inlineStr">
        <is>
          <t>CIAN</t>
        </is>
      </c>
      <c r="B644" t="inlineStr">
        <is>
          <t>Москва</t>
        </is>
      </c>
      <c r="C644" t="inlineStr">
        <is>
          <t>Продажа · Загородная · Участок</t>
        </is>
      </c>
      <c r="D644" t="inlineStr">
        <is>
          <t>Премиум, ₽/сут</t>
        </is>
      </c>
      <c r="E644" t="n">
        <v>399</v>
      </c>
    </row>
    <row r="645">
      <c r="A645" t="inlineStr">
        <is>
          <t>CIAN</t>
        </is>
      </c>
      <c r="B645" t="inlineStr">
        <is>
          <t>Москва</t>
        </is>
      </c>
      <c r="C645" t="inlineStr">
        <is>
          <t>Продажа · Загородная · Участок</t>
        </is>
      </c>
      <c r="D645" t="inlineStr">
        <is>
          <t>Стандарт, ₽/сут</t>
        </is>
      </c>
      <c r="E645" t="n">
        <v>120</v>
      </c>
    </row>
    <row r="646">
      <c r="A646" t="inlineStr">
        <is>
          <t>CIAN</t>
        </is>
      </c>
      <c r="B646" t="inlineStr">
        <is>
          <t>Санкт-Петербург</t>
        </is>
      </c>
      <c r="C646" t="inlineStr">
        <is>
          <t>Продажа · Загородная · Участок</t>
        </is>
      </c>
      <c r="D646" t="inlineStr">
        <is>
          <t>Публикация, ₽/30 дн</t>
        </is>
      </c>
      <c r="E646" t="n">
        <v>825</v>
      </c>
    </row>
    <row r="647">
      <c r="A647" t="inlineStr">
        <is>
          <t>CIAN</t>
        </is>
      </c>
      <c r="B647" t="inlineStr">
        <is>
          <t>Санкт-Петербург</t>
        </is>
      </c>
      <c r="C647" t="inlineStr">
        <is>
          <t>Продажа · Загородная · Участок</t>
        </is>
      </c>
      <c r="D647" t="inlineStr">
        <is>
          <t>Топ, ₽/сут</t>
        </is>
      </c>
      <c r="E647" t="n">
        <v>250</v>
      </c>
    </row>
    <row r="648">
      <c r="A648" t="inlineStr">
        <is>
          <t>CIAN</t>
        </is>
      </c>
      <c r="B648" t="inlineStr">
        <is>
          <t>Санкт-Петербург</t>
        </is>
      </c>
      <c r="C648" t="inlineStr">
        <is>
          <t>Продажа · Загородная · Участок</t>
        </is>
      </c>
      <c r="D648" t="inlineStr">
        <is>
          <t>Премиум, ₽/сут</t>
        </is>
      </c>
      <c r="E648" t="n">
        <v>110</v>
      </c>
    </row>
    <row r="649">
      <c r="A649" t="inlineStr">
        <is>
          <t>CIAN</t>
        </is>
      </c>
      <c r="B649" t="inlineStr">
        <is>
          <t>Санкт-Петербург</t>
        </is>
      </c>
      <c r="C649" t="inlineStr">
        <is>
          <t>Продажа · Загородная · Участок</t>
        </is>
      </c>
      <c r="D649" t="inlineStr">
        <is>
          <t>Стандарт, ₽/сут</t>
        </is>
      </c>
      <c r="E649" t="n">
        <v>34</v>
      </c>
    </row>
    <row r="650">
      <c r="A650" t="inlineStr">
        <is>
          <t>CIAN</t>
        </is>
      </c>
      <c r="B650" t="inlineStr">
        <is>
          <t>Новосибирск</t>
        </is>
      </c>
      <c r="C650" t="inlineStr">
        <is>
          <t>Продажа · Загородная · Участок</t>
        </is>
      </c>
      <c r="D650" t="inlineStr">
        <is>
          <t>Публикация, ₽/30 дн</t>
        </is>
      </c>
      <c r="E650" t="n">
        <v>948</v>
      </c>
    </row>
    <row r="651">
      <c r="A651" t="inlineStr">
        <is>
          <t>CIAN</t>
        </is>
      </c>
      <c r="B651" t="inlineStr">
        <is>
          <t>Новосибирск</t>
        </is>
      </c>
      <c r="C651" t="inlineStr">
        <is>
          <t>Продажа · Загородная · Участок</t>
        </is>
      </c>
      <c r="D651" t="inlineStr">
        <is>
          <t>Топ, ₽/сут</t>
        </is>
      </c>
      <c r="E651" t="n">
        <v>341</v>
      </c>
    </row>
    <row r="652">
      <c r="A652" t="inlineStr">
        <is>
          <t>CIAN</t>
        </is>
      </c>
      <c r="B652" t="inlineStr">
        <is>
          <t>Новосибирск</t>
        </is>
      </c>
      <c r="C652" t="inlineStr">
        <is>
          <t>Продажа · Загородная · Участок</t>
        </is>
      </c>
      <c r="D652" t="inlineStr">
        <is>
          <t>Премиум, ₽/сут</t>
        </is>
      </c>
      <c r="E652" t="n">
        <v>162</v>
      </c>
    </row>
    <row r="653">
      <c r="A653" t="inlineStr">
        <is>
          <t>CIAN</t>
        </is>
      </c>
      <c r="B653" t="inlineStr">
        <is>
          <t>Новосибирск</t>
        </is>
      </c>
      <c r="C653" t="inlineStr">
        <is>
          <t>Продажа · Загородная · Участок</t>
        </is>
      </c>
      <c r="D653" t="inlineStr">
        <is>
          <t>Стандарт, ₽/сут</t>
        </is>
      </c>
      <c r="E653" t="n">
        <v>48</v>
      </c>
    </row>
    <row r="654">
      <c r="A654" t="inlineStr">
        <is>
          <t>CIAN</t>
        </is>
      </c>
      <c r="B654" t="inlineStr">
        <is>
          <t>Екатеринбург</t>
        </is>
      </c>
      <c r="C654" t="inlineStr">
        <is>
          <t>Продажа · Загородная · Участок</t>
        </is>
      </c>
      <c r="D654" t="inlineStr">
        <is>
          <t>Публикация, ₽/30 дн</t>
        </is>
      </c>
      <c r="E654" t="n">
        <v>813</v>
      </c>
    </row>
    <row r="655">
      <c r="A655" t="inlineStr">
        <is>
          <t>CIAN</t>
        </is>
      </c>
      <c r="B655" t="inlineStr">
        <is>
          <t>Екатеринбург</t>
        </is>
      </c>
      <c r="C655" t="inlineStr">
        <is>
          <t>Продажа · Загородная · Участок</t>
        </is>
      </c>
      <c r="D655" t="inlineStr">
        <is>
          <t>Топ, ₽/сут</t>
        </is>
      </c>
      <c r="E655" t="n">
        <v>359</v>
      </c>
    </row>
    <row r="656">
      <c r="A656" t="inlineStr">
        <is>
          <t>CIAN</t>
        </is>
      </c>
      <c r="B656" t="inlineStr">
        <is>
          <t>Екатеринбург</t>
        </is>
      </c>
      <c r="C656" t="inlineStr">
        <is>
          <t>Продажа · Загородная · Участок</t>
        </is>
      </c>
      <c r="D656" t="inlineStr">
        <is>
          <t>Премиум, ₽/сут</t>
        </is>
      </c>
      <c r="E656" t="n">
        <v>184</v>
      </c>
    </row>
    <row r="657">
      <c r="A657" t="inlineStr">
        <is>
          <t>CIAN</t>
        </is>
      </c>
      <c r="B657" t="inlineStr">
        <is>
          <t>Екатеринбург</t>
        </is>
      </c>
      <c r="C657" t="inlineStr">
        <is>
          <t>Продажа · Загородная · Участок</t>
        </is>
      </c>
      <c r="D657" t="inlineStr">
        <is>
          <t>Стандарт, ₽/сут</t>
        </is>
      </c>
      <c r="E657" t="n">
        <v>57</v>
      </c>
    </row>
    <row r="658">
      <c r="A658" t="inlineStr">
        <is>
          <t>CIAN</t>
        </is>
      </c>
      <c r="B658" t="inlineStr">
        <is>
          <t>Казань</t>
        </is>
      </c>
      <c r="C658" t="inlineStr">
        <is>
          <t>Продажа · Загородная · Участок</t>
        </is>
      </c>
      <c r="D658" t="inlineStr">
        <is>
          <t>Публикация, ₽/30 дн</t>
        </is>
      </c>
      <c r="E658" t="n">
        <v>165</v>
      </c>
    </row>
    <row r="659">
      <c r="A659" t="inlineStr">
        <is>
          <t>CIAN</t>
        </is>
      </c>
      <c r="B659" t="inlineStr">
        <is>
          <t>Казань</t>
        </is>
      </c>
      <c r="C659" t="inlineStr">
        <is>
          <t>Продажа · Загородная · Участок</t>
        </is>
      </c>
      <c r="D659" t="inlineStr">
        <is>
          <t>Топ, ₽/сут</t>
        </is>
      </c>
      <c r="E659" t="n">
        <v>126</v>
      </c>
    </row>
    <row r="660">
      <c r="A660" t="inlineStr">
        <is>
          <t>CIAN</t>
        </is>
      </c>
      <c r="B660" t="inlineStr">
        <is>
          <t>Казань</t>
        </is>
      </c>
      <c r="C660" t="inlineStr">
        <is>
          <t>Продажа · Загородная · Участок</t>
        </is>
      </c>
      <c r="D660" t="inlineStr">
        <is>
          <t>Премиум, ₽/сут</t>
        </is>
      </c>
      <c r="E660" t="n">
        <v>56</v>
      </c>
    </row>
    <row r="661">
      <c r="A661" t="inlineStr">
        <is>
          <t>CIAN</t>
        </is>
      </c>
      <c r="B661" t="inlineStr">
        <is>
          <t>Казань</t>
        </is>
      </c>
      <c r="C661" t="inlineStr">
        <is>
          <t>Продажа · Загородная · Участок</t>
        </is>
      </c>
      <c r="D661" t="inlineStr">
        <is>
          <t>Стандарт, ₽/сут</t>
        </is>
      </c>
      <c r="E661" t="n">
        <v>18</v>
      </c>
    </row>
    <row r="662">
      <c r="A662" t="inlineStr">
        <is>
          <t>CIAN</t>
        </is>
      </c>
      <c r="B662" t="inlineStr">
        <is>
          <t>Красноярск</t>
        </is>
      </c>
      <c r="C662" t="inlineStr">
        <is>
          <t>Продажа · Загородная · Участок</t>
        </is>
      </c>
      <c r="D662" t="inlineStr">
        <is>
          <t>Публикация, ₽/30 дн</t>
        </is>
      </c>
      <c r="E662" t="n">
        <v>258</v>
      </c>
    </row>
    <row r="663">
      <c r="A663" t="inlineStr">
        <is>
          <t>CIAN</t>
        </is>
      </c>
      <c r="B663" t="inlineStr">
        <is>
          <t>Красноярск</t>
        </is>
      </c>
      <c r="C663" t="inlineStr">
        <is>
          <t>Продажа · Загородная · Участок</t>
        </is>
      </c>
      <c r="D663" t="inlineStr">
        <is>
          <t>Топ, ₽/сут</t>
        </is>
      </c>
      <c r="E663" t="inlineStr">
        <is>
          <t>—</t>
        </is>
      </c>
    </row>
    <row r="664">
      <c r="A664" t="inlineStr">
        <is>
          <t>CIAN</t>
        </is>
      </c>
      <c r="B664" t="inlineStr">
        <is>
          <t>Красноярск</t>
        </is>
      </c>
      <c r="C664" t="inlineStr">
        <is>
          <t>Продажа · Загородная · Участок</t>
        </is>
      </c>
      <c r="D664" t="inlineStr">
        <is>
          <t>Премиум, ₽/сут</t>
        </is>
      </c>
      <c r="E664" t="inlineStr">
        <is>
          <t>—</t>
        </is>
      </c>
    </row>
    <row r="665">
      <c r="A665" t="inlineStr">
        <is>
          <t>CIAN</t>
        </is>
      </c>
      <c r="B665" t="inlineStr">
        <is>
          <t>Красноярск</t>
        </is>
      </c>
      <c r="C665" t="inlineStr">
        <is>
          <t>Продажа · Загородная · Участок</t>
        </is>
      </c>
      <c r="D665" t="inlineStr">
        <is>
          <t>Стандарт, ₽/сут</t>
        </is>
      </c>
      <c r="E665" t="inlineStr">
        <is>
          <t>—</t>
        </is>
      </c>
    </row>
    <row r="666">
      <c r="A666" t="inlineStr">
        <is>
          <t>CIAN</t>
        </is>
      </c>
      <c r="B666" t="inlineStr">
        <is>
          <t>Нижний Новгород</t>
        </is>
      </c>
      <c r="C666" t="inlineStr">
        <is>
          <t>Продажа · Загородная · Участок</t>
        </is>
      </c>
      <c r="D666" t="inlineStr">
        <is>
          <t>Публикация, ₽/30 дн</t>
        </is>
      </c>
      <c r="E666" t="n">
        <v>165</v>
      </c>
    </row>
    <row r="667">
      <c r="A667" t="inlineStr">
        <is>
          <t>CIAN</t>
        </is>
      </c>
      <c r="B667" t="inlineStr">
        <is>
          <t>Нижний Новгород</t>
        </is>
      </c>
      <c r="C667" t="inlineStr">
        <is>
          <t>Продажа · Загородная · Участок</t>
        </is>
      </c>
      <c r="D667" t="inlineStr">
        <is>
          <t>Топ, ₽/сут</t>
        </is>
      </c>
      <c r="E667" t="n">
        <v>126</v>
      </c>
    </row>
    <row r="668">
      <c r="A668" t="inlineStr">
        <is>
          <t>CIAN</t>
        </is>
      </c>
      <c r="B668" t="inlineStr">
        <is>
          <t>Нижний Новгород</t>
        </is>
      </c>
      <c r="C668" t="inlineStr">
        <is>
          <t>Продажа · Загородная · Участок</t>
        </is>
      </c>
      <c r="D668" t="inlineStr">
        <is>
          <t>Премиум, ₽/сут</t>
        </is>
      </c>
      <c r="E668" t="n">
        <v>52</v>
      </c>
    </row>
    <row r="669">
      <c r="A669" t="inlineStr">
        <is>
          <t>CIAN</t>
        </is>
      </c>
      <c r="B669" t="inlineStr">
        <is>
          <t>Нижний Новгород</t>
        </is>
      </c>
      <c r="C669" t="inlineStr">
        <is>
          <t>Продажа · Загородная · Участок</t>
        </is>
      </c>
      <c r="D669" t="inlineStr">
        <is>
          <t>Стандарт, ₽/сут</t>
        </is>
      </c>
      <c r="E669" t="n">
        <v>15</v>
      </c>
    </row>
    <row r="670">
      <c r="A670" t="inlineStr">
        <is>
          <t>CIAN</t>
        </is>
      </c>
      <c r="B670" t="inlineStr">
        <is>
          <t>Челябинск</t>
        </is>
      </c>
      <c r="C670" t="inlineStr">
        <is>
          <t>Продажа · Загородная · Участок</t>
        </is>
      </c>
      <c r="D670" t="inlineStr">
        <is>
          <t>Публикация, ₽/30 дн</t>
        </is>
      </c>
      <c r="E670" t="n">
        <v>195</v>
      </c>
    </row>
    <row r="671">
      <c r="A671" t="inlineStr">
        <is>
          <t>CIAN</t>
        </is>
      </c>
      <c r="B671" t="inlineStr">
        <is>
          <t>Челябинск</t>
        </is>
      </c>
      <c r="C671" t="inlineStr">
        <is>
          <t>Продажа · Загородная · Участок</t>
        </is>
      </c>
      <c r="D671" t="inlineStr">
        <is>
          <t>Топ, ₽/сут</t>
        </is>
      </c>
      <c r="E671" t="n">
        <v>207</v>
      </c>
    </row>
    <row r="672">
      <c r="A672" t="inlineStr">
        <is>
          <t>CIAN</t>
        </is>
      </c>
      <c r="B672" t="inlineStr">
        <is>
          <t>Челябинск</t>
        </is>
      </c>
      <c r="C672" t="inlineStr">
        <is>
          <t>Продажа · Загородная · Участок</t>
        </is>
      </c>
      <c r="D672" t="inlineStr">
        <is>
          <t>Премиум, ₽/сут</t>
        </is>
      </c>
      <c r="E672" t="n">
        <v>100</v>
      </c>
    </row>
    <row r="673">
      <c r="A673" t="inlineStr">
        <is>
          <t>CIAN</t>
        </is>
      </c>
      <c r="B673" t="inlineStr">
        <is>
          <t>Челябинск</t>
        </is>
      </c>
      <c r="C673" t="inlineStr">
        <is>
          <t>Продажа · Загородная · Участок</t>
        </is>
      </c>
      <c r="D673" t="inlineStr">
        <is>
          <t>Стандарт, ₽/сут</t>
        </is>
      </c>
      <c r="E673" t="n">
        <v>29</v>
      </c>
    </row>
    <row r="674">
      <c r="A674" t="inlineStr">
        <is>
          <t>CIAN</t>
        </is>
      </c>
      <c r="B674" t="inlineStr">
        <is>
          <t>Уфа</t>
        </is>
      </c>
      <c r="C674" t="inlineStr">
        <is>
          <t>Продажа · Загородная · Участок</t>
        </is>
      </c>
      <c r="D674" t="inlineStr">
        <is>
          <t>Публикация, ₽/30 дн</t>
        </is>
      </c>
      <c r="E674" t="n">
        <v>195</v>
      </c>
    </row>
    <row r="675">
      <c r="A675" t="inlineStr">
        <is>
          <t>CIAN</t>
        </is>
      </c>
      <c r="B675" t="inlineStr">
        <is>
          <t>Уфа</t>
        </is>
      </c>
      <c r="C675" t="inlineStr">
        <is>
          <t>Продажа · Загородная · Участок</t>
        </is>
      </c>
      <c r="D675" t="inlineStr">
        <is>
          <t>Топ, ₽/сут</t>
        </is>
      </c>
      <c r="E675" t="n">
        <v>127</v>
      </c>
    </row>
    <row r="676">
      <c r="A676" t="inlineStr">
        <is>
          <t>CIAN</t>
        </is>
      </c>
      <c r="B676" t="inlineStr">
        <is>
          <t>Уфа</t>
        </is>
      </c>
      <c r="C676" t="inlineStr">
        <is>
          <t>Продажа · Загородная · Участок</t>
        </is>
      </c>
      <c r="D676" t="inlineStr">
        <is>
          <t>Премиум, ₽/сут</t>
        </is>
      </c>
      <c r="E676" t="n">
        <v>53</v>
      </c>
    </row>
    <row r="677">
      <c r="A677" t="inlineStr">
        <is>
          <t>CIAN</t>
        </is>
      </c>
      <c r="B677" t="inlineStr">
        <is>
          <t>Уфа</t>
        </is>
      </c>
      <c r="C677" t="inlineStr">
        <is>
          <t>Продажа · Загородная · Участок</t>
        </is>
      </c>
      <c r="D677" t="inlineStr">
        <is>
          <t>Стандарт, ₽/сут</t>
        </is>
      </c>
      <c r="E677" t="n">
        <v>16</v>
      </c>
    </row>
    <row r="678">
      <c r="A678" t="inlineStr">
        <is>
          <t>CIAN</t>
        </is>
      </c>
      <c r="B678" t="inlineStr">
        <is>
          <t>Краснодар</t>
        </is>
      </c>
      <c r="C678" t="inlineStr">
        <is>
          <t>Продажа · Загородная · Участок</t>
        </is>
      </c>
      <c r="D678" t="inlineStr">
        <is>
          <t>Публикация, ₽/30 дн</t>
        </is>
      </c>
      <c r="E678" t="n">
        <v>150</v>
      </c>
    </row>
    <row r="679">
      <c r="A679" t="inlineStr">
        <is>
          <t>CIAN</t>
        </is>
      </c>
      <c r="B679" t="inlineStr">
        <is>
          <t>Краснодар</t>
        </is>
      </c>
      <c r="C679" t="inlineStr">
        <is>
          <t>Продажа · Загородная · Участок</t>
        </is>
      </c>
      <c r="D679" t="inlineStr">
        <is>
          <t>Топ, ₽/сут</t>
        </is>
      </c>
      <c r="E679" t="n">
        <v>153</v>
      </c>
    </row>
    <row r="680">
      <c r="A680" t="inlineStr">
        <is>
          <t>CIAN</t>
        </is>
      </c>
      <c r="B680" t="inlineStr">
        <is>
          <t>Краснодар</t>
        </is>
      </c>
      <c r="C680" t="inlineStr">
        <is>
          <t>Продажа · Загородная · Участок</t>
        </is>
      </c>
      <c r="D680" t="inlineStr">
        <is>
          <t>Премиум, ₽/сут</t>
        </is>
      </c>
      <c r="E680" t="n">
        <v>60</v>
      </c>
    </row>
    <row r="681">
      <c r="A681" t="inlineStr">
        <is>
          <t>CIAN</t>
        </is>
      </c>
      <c r="B681" t="inlineStr">
        <is>
          <t>Краснодар</t>
        </is>
      </c>
      <c r="C681" t="inlineStr">
        <is>
          <t>Продажа · Загородная · Участок</t>
        </is>
      </c>
      <c r="D681" t="inlineStr">
        <is>
          <t>Стандарт, ₽/сут</t>
        </is>
      </c>
      <c r="E681" t="n">
        <v>18</v>
      </c>
    </row>
    <row r="682">
      <c r="A682" t="inlineStr">
        <is>
          <t>CIAN</t>
        </is>
      </c>
      <c r="B682" t="inlineStr">
        <is>
          <t>Самара</t>
        </is>
      </c>
      <c r="C682" t="inlineStr">
        <is>
          <t>Продажа · Загородная · Участок</t>
        </is>
      </c>
      <c r="D682" t="inlineStr">
        <is>
          <t>Публикация, ₽/30 дн</t>
        </is>
      </c>
      <c r="E682" t="n">
        <v>129</v>
      </c>
    </row>
    <row r="683">
      <c r="A683" t="inlineStr">
        <is>
          <t>CIAN</t>
        </is>
      </c>
      <c r="B683" t="inlineStr">
        <is>
          <t>Самара</t>
        </is>
      </c>
      <c r="C683" t="inlineStr">
        <is>
          <t>Продажа · Загородная · Участок</t>
        </is>
      </c>
      <c r="D683" t="inlineStr">
        <is>
          <t>Топ, ₽/сут</t>
        </is>
      </c>
      <c r="E683" t="inlineStr">
        <is>
          <t>—</t>
        </is>
      </c>
    </row>
    <row r="684">
      <c r="A684" t="inlineStr">
        <is>
          <t>CIAN</t>
        </is>
      </c>
      <c r="B684" t="inlineStr">
        <is>
          <t>Самара</t>
        </is>
      </c>
      <c r="C684" t="inlineStr">
        <is>
          <t>Продажа · Загородная · Участок</t>
        </is>
      </c>
      <c r="D684" t="inlineStr">
        <is>
          <t>Премиум, ₽/сут</t>
        </is>
      </c>
      <c r="E684" t="inlineStr">
        <is>
          <t>—</t>
        </is>
      </c>
    </row>
    <row r="685">
      <c r="A685" t="inlineStr">
        <is>
          <t>CIAN</t>
        </is>
      </c>
      <c r="B685" t="inlineStr">
        <is>
          <t>Самара</t>
        </is>
      </c>
      <c r="C685" t="inlineStr">
        <is>
          <t>Продажа · Загородная · Участок</t>
        </is>
      </c>
      <c r="D685" t="inlineStr">
        <is>
          <t>Стандарт, ₽/сут</t>
        </is>
      </c>
      <c r="E685" t="inlineStr">
        <is>
          <t>—</t>
        </is>
      </c>
    </row>
    <row r="686">
      <c r="A686" t="inlineStr">
        <is>
          <t>CIAN</t>
        </is>
      </c>
      <c r="B686" t="inlineStr">
        <is>
          <t>Ростов-на-Дону</t>
        </is>
      </c>
      <c r="C686" t="inlineStr">
        <is>
          <t>Продажа · Загородная · Участок</t>
        </is>
      </c>
      <c r="D686" t="inlineStr">
        <is>
          <t>Публикация, ₽/30 дн</t>
        </is>
      </c>
      <c r="E686" t="n">
        <v>225</v>
      </c>
    </row>
    <row r="687">
      <c r="A687" t="inlineStr">
        <is>
          <t>CIAN</t>
        </is>
      </c>
      <c r="B687" t="inlineStr">
        <is>
          <t>Ростов-на-Дону</t>
        </is>
      </c>
      <c r="C687" t="inlineStr">
        <is>
          <t>Продажа · Загородная · Участок</t>
        </is>
      </c>
      <c r="D687" t="inlineStr">
        <is>
          <t>Топ, ₽/сут</t>
        </is>
      </c>
      <c r="E687" t="n">
        <v>137</v>
      </c>
    </row>
    <row r="688">
      <c r="A688" t="inlineStr">
        <is>
          <t>CIAN</t>
        </is>
      </c>
      <c r="B688" t="inlineStr">
        <is>
          <t>Ростов-на-Дону</t>
        </is>
      </c>
      <c r="C688" t="inlineStr">
        <is>
          <t>Продажа · Загородная · Участок</t>
        </is>
      </c>
      <c r="D688" t="inlineStr">
        <is>
          <t>Премиум, ₽/сут</t>
        </is>
      </c>
      <c r="E688" t="n">
        <v>58</v>
      </c>
    </row>
    <row r="689">
      <c r="A689" t="inlineStr">
        <is>
          <t>CIAN</t>
        </is>
      </c>
      <c r="B689" t="inlineStr">
        <is>
          <t>Ростов-на-Дону</t>
        </is>
      </c>
      <c r="C689" t="inlineStr">
        <is>
          <t>Продажа · Загородная · Участок</t>
        </is>
      </c>
      <c r="D689" t="inlineStr">
        <is>
          <t>Стандарт, ₽/сут</t>
        </is>
      </c>
      <c r="E689" t="n">
        <v>18</v>
      </c>
    </row>
    <row r="690">
      <c r="A690" t="inlineStr">
        <is>
          <t>CIAN</t>
        </is>
      </c>
      <c r="B690" t="inlineStr">
        <is>
          <t>Омск</t>
        </is>
      </c>
      <c r="C690" t="inlineStr">
        <is>
          <t>Продажа · Загородная · Участок</t>
        </is>
      </c>
      <c r="D690" t="inlineStr">
        <is>
          <t>Публикация, ₽/30 дн</t>
        </is>
      </c>
      <c r="E690" t="n">
        <v>297</v>
      </c>
    </row>
    <row r="691">
      <c r="A691" t="inlineStr">
        <is>
          <t>CIAN</t>
        </is>
      </c>
      <c r="B691" t="inlineStr">
        <is>
          <t>Омск</t>
        </is>
      </c>
      <c r="C691" t="inlineStr">
        <is>
          <t>Продажа · Загородная · Участок</t>
        </is>
      </c>
      <c r="D691" t="inlineStr">
        <is>
          <t>Топ, ₽/сут</t>
        </is>
      </c>
      <c r="E691" t="n">
        <v>176</v>
      </c>
    </row>
    <row r="692">
      <c r="A692" t="inlineStr">
        <is>
          <t>CIAN</t>
        </is>
      </c>
      <c r="B692" t="inlineStr">
        <is>
          <t>Омск</t>
        </is>
      </c>
      <c r="C692" t="inlineStr">
        <is>
          <t>Продажа · Загородная · Участок</t>
        </is>
      </c>
      <c r="D692" t="inlineStr">
        <is>
          <t>Премиум, ₽/сут</t>
        </is>
      </c>
      <c r="E692" t="n">
        <v>88</v>
      </c>
    </row>
    <row r="693">
      <c r="A693" t="inlineStr">
        <is>
          <t>CIAN</t>
        </is>
      </c>
      <c r="B693" t="inlineStr">
        <is>
          <t>Омск</t>
        </is>
      </c>
      <c r="C693" t="inlineStr">
        <is>
          <t>Продажа · Загородная · Участок</t>
        </is>
      </c>
      <c r="D693" t="inlineStr">
        <is>
          <t>Стандарт, ₽/сут</t>
        </is>
      </c>
      <c r="E693" t="n">
        <v>27</v>
      </c>
    </row>
    <row r="694">
      <c r="A694" t="inlineStr">
        <is>
          <t>CIAN</t>
        </is>
      </c>
      <c r="B694" t="inlineStr">
        <is>
          <t>Воронеж</t>
        </is>
      </c>
      <c r="C694" t="inlineStr">
        <is>
          <t>Продажа · Загородная · Участок</t>
        </is>
      </c>
      <c r="D694" t="inlineStr">
        <is>
          <t>Публикация, ₽/30 дн</t>
        </is>
      </c>
      <c r="E694" t="n">
        <v>69</v>
      </c>
    </row>
    <row r="695">
      <c r="A695" t="inlineStr">
        <is>
          <t>CIAN</t>
        </is>
      </c>
      <c r="B695" t="inlineStr">
        <is>
          <t>Воронеж</t>
        </is>
      </c>
      <c r="C695" t="inlineStr">
        <is>
          <t>Продажа · Загородная · Участок</t>
        </is>
      </c>
      <c r="D695" t="inlineStr">
        <is>
          <t>Топ, ₽/сут</t>
        </is>
      </c>
      <c r="E695" t="inlineStr">
        <is>
          <t>—</t>
        </is>
      </c>
    </row>
    <row r="696">
      <c r="A696" t="inlineStr">
        <is>
          <t>CIAN</t>
        </is>
      </c>
      <c r="B696" t="inlineStr">
        <is>
          <t>Воронеж</t>
        </is>
      </c>
      <c r="C696" t="inlineStr">
        <is>
          <t>Продажа · Загородная · Участок</t>
        </is>
      </c>
      <c r="D696" t="inlineStr">
        <is>
          <t>Премиум, ₽/сут</t>
        </is>
      </c>
      <c r="E696" t="inlineStr">
        <is>
          <t>—</t>
        </is>
      </c>
    </row>
    <row r="697">
      <c r="A697" t="inlineStr">
        <is>
          <t>CIAN</t>
        </is>
      </c>
      <c r="B697" t="inlineStr">
        <is>
          <t>Воронеж</t>
        </is>
      </c>
      <c r="C697" t="inlineStr">
        <is>
          <t>Продажа · Загородная · Участок</t>
        </is>
      </c>
      <c r="D697" t="inlineStr">
        <is>
          <t>Стандарт, ₽/сут</t>
        </is>
      </c>
      <c r="E697" t="inlineStr">
        <is>
          <t>—</t>
        </is>
      </c>
    </row>
    <row r="698">
      <c r="A698" t="inlineStr">
        <is>
          <t>CIAN</t>
        </is>
      </c>
      <c r="B698" t="inlineStr">
        <is>
          <t>Пермь</t>
        </is>
      </c>
      <c r="C698" t="inlineStr">
        <is>
          <t>Продажа · Загородная · Участок</t>
        </is>
      </c>
      <c r="D698" t="inlineStr">
        <is>
          <t>Публикация, ₽/30 дн</t>
        </is>
      </c>
      <c r="E698" t="n">
        <v>126</v>
      </c>
    </row>
    <row r="699">
      <c r="A699" t="inlineStr">
        <is>
          <t>CIAN</t>
        </is>
      </c>
      <c r="B699" t="inlineStr">
        <is>
          <t>Пермь</t>
        </is>
      </c>
      <c r="C699" t="inlineStr">
        <is>
          <t>Продажа · Загородная · Участок</t>
        </is>
      </c>
      <c r="D699" t="inlineStr">
        <is>
          <t>Топ, ₽/сут</t>
        </is>
      </c>
      <c r="E699" t="inlineStr">
        <is>
          <t>—</t>
        </is>
      </c>
    </row>
    <row r="700">
      <c r="A700" t="inlineStr">
        <is>
          <t>CIAN</t>
        </is>
      </c>
      <c r="B700" t="inlineStr">
        <is>
          <t>Пермь</t>
        </is>
      </c>
      <c r="C700" t="inlineStr">
        <is>
          <t>Продажа · Загородная · Участок</t>
        </is>
      </c>
      <c r="D700" t="inlineStr">
        <is>
          <t>Премиум, ₽/сут</t>
        </is>
      </c>
      <c r="E700" t="inlineStr">
        <is>
          <t>—</t>
        </is>
      </c>
    </row>
    <row r="701">
      <c r="A701" t="inlineStr">
        <is>
          <t>CIAN</t>
        </is>
      </c>
      <c r="B701" t="inlineStr">
        <is>
          <t>Пермь</t>
        </is>
      </c>
      <c r="C701" t="inlineStr">
        <is>
          <t>Продажа · Загородная · Участок</t>
        </is>
      </c>
      <c r="D701" t="inlineStr">
        <is>
          <t>Стандарт, ₽/сут</t>
        </is>
      </c>
      <c r="E701" t="inlineStr">
        <is>
          <t>—</t>
        </is>
      </c>
    </row>
    <row r="702">
      <c r="A702" t="inlineStr">
        <is>
          <t>CIAN</t>
        </is>
      </c>
      <c r="B702" t="inlineStr">
        <is>
          <t>Волгоград</t>
        </is>
      </c>
      <c r="C702" t="inlineStr">
        <is>
          <t>Продажа · Загородная · Участок</t>
        </is>
      </c>
      <c r="D702" t="inlineStr">
        <is>
          <t>Публикация, ₽/30 дн</t>
        </is>
      </c>
      <c r="E702" t="n">
        <v>264</v>
      </c>
    </row>
    <row r="703">
      <c r="A703" t="inlineStr">
        <is>
          <t>CIAN</t>
        </is>
      </c>
      <c r="B703" t="inlineStr">
        <is>
          <t>Волгоград</t>
        </is>
      </c>
      <c r="C703" t="inlineStr">
        <is>
          <t>Продажа · Загородная · Участок</t>
        </is>
      </c>
      <c r="D703" t="inlineStr">
        <is>
          <t>Топ, ₽/сут</t>
        </is>
      </c>
      <c r="E703" t="inlineStr">
        <is>
          <t>—</t>
        </is>
      </c>
    </row>
    <row r="704">
      <c r="A704" t="inlineStr">
        <is>
          <t>CIAN</t>
        </is>
      </c>
      <c r="B704" t="inlineStr">
        <is>
          <t>Волгоград</t>
        </is>
      </c>
      <c r="C704" t="inlineStr">
        <is>
          <t>Продажа · Загородная · Участок</t>
        </is>
      </c>
      <c r="D704" t="inlineStr">
        <is>
          <t>Премиум, ₽/сут</t>
        </is>
      </c>
      <c r="E704" t="inlineStr">
        <is>
          <t>—</t>
        </is>
      </c>
    </row>
    <row r="705">
      <c r="A705" t="inlineStr">
        <is>
          <t>CIAN</t>
        </is>
      </c>
      <c r="B705" t="inlineStr">
        <is>
          <t>Волгоград</t>
        </is>
      </c>
      <c r="C705" t="inlineStr">
        <is>
          <t>Продажа · Загородная · Участок</t>
        </is>
      </c>
      <c r="D705" t="inlineStr">
        <is>
          <t>Стандарт, ₽/сут</t>
        </is>
      </c>
      <c r="E705" t="inlineStr">
        <is>
          <t>—</t>
        </is>
      </c>
    </row>
    <row r="706">
      <c r="A706" t="inlineStr">
        <is>
          <t>CIAN</t>
        </is>
      </c>
      <c r="B706" t="inlineStr">
        <is>
          <t>Москва</t>
        </is>
      </c>
      <c r="C706" t="inlineStr">
        <is>
          <t>Продажа · Коммерческая · Офис</t>
        </is>
      </c>
      <c r="D706" t="inlineStr">
        <is>
          <t>Публикация, ₽/30 дн</t>
        </is>
      </c>
      <c r="E706" t="n">
        <v>3420</v>
      </c>
    </row>
    <row r="707">
      <c r="A707" t="inlineStr">
        <is>
          <t>CIAN</t>
        </is>
      </c>
      <c r="B707" t="inlineStr">
        <is>
          <t>Москва</t>
        </is>
      </c>
      <c r="C707" t="inlineStr">
        <is>
          <t>Продажа · Коммерческая · Офис</t>
        </is>
      </c>
      <c r="D707" t="inlineStr">
        <is>
          <t>Топ, ₽/сут</t>
        </is>
      </c>
      <c r="E707" t="n">
        <v>1044</v>
      </c>
    </row>
    <row r="708">
      <c r="A708" t="inlineStr">
        <is>
          <t>CIAN</t>
        </is>
      </c>
      <c r="B708" t="inlineStr">
        <is>
          <t>Москва</t>
        </is>
      </c>
      <c r="C708" t="inlineStr">
        <is>
          <t>Продажа · Коммерческая · Офис</t>
        </is>
      </c>
      <c r="D708" t="inlineStr">
        <is>
          <t>Премиум, ₽/сут</t>
        </is>
      </c>
      <c r="E708" t="n">
        <v>429</v>
      </c>
    </row>
    <row r="709">
      <c r="A709" t="inlineStr">
        <is>
          <t>CIAN</t>
        </is>
      </c>
      <c r="B709" t="inlineStr">
        <is>
          <t>Москва</t>
        </is>
      </c>
      <c r="C709" t="inlineStr">
        <is>
          <t>Продажа · Коммерческая · Офис</t>
        </is>
      </c>
      <c r="D709" t="inlineStr">
        <is>
          <t>Стандарт, ₽/сут</t>
        </is>
      </c>
      <c r="E709" t="n">
        <v>181</v>
      </c>
    </row>
    <row r="710">
      <c r="A710" t="inlineStr">
        <is>
          <t>CIAN</t>
        </is>
      </c>
      <c r="B710" t="inlineStr">
        <is>
          <t>Санкт-Петербург</t>
        </is>
      </c>
      <c r="C710" t="inlineStr">
        <is>
          <t>Продажа · Коммерческая · Офис</t>
        </is>
      </c>
      <c r="D710" t="inlineStr">
        <is>
          <t>Публикация, ₽/30 дн</t>
        </is>
      </c>
      <c r="E710" t="n">
        <v>1893</v>
      </c>
    </row>
    <row r="711">
      <c r="A711" t="inlineStr">
        <is>
          <t>CIAN</t>
        </is>
      </c>
      <c r="B711" t="inlineStr">
        <is>
          <t>Санкт-Петербург</t>
        </is>
      </c>
      <c r="C711" t="inlineStr">
        <is>
          <t>Продажа · Коммерческая · Офис</t>
        </is>
      </c>
      <c r="D711" t="inlineStr">
        <is>
          <t>Топ, ₽/сут</t>
        </is>
      </c>
      <c r="E711" t="n">
        <v>493</v>
      </c>
    </row>
    <row r="712">
      <c r="A712" t="inlineStr">
        <is>
          <t>CIAN</t>
        </is>
      </c>
      <c r="B712" t="inlineStr">
        <is>
          <t>Санкт-Петербург</t>
        </is>
      </c>
      <c r="C712" t="inlineStr">
        <is>
          <t>Продажа · Коммерческая · Офис</t>
        </is>
      </c>
      <c r="D712" t="inlineStr">
        <is>
          <t>Премиум, ₽/сут</t>
        </is>
      </c>
      <c r="E712" t="n">
        <v>217</v>
      </c>
    </row>
    <row r="713">
      <c r="A713" t="inlineStr">
        <is>
          <t>CIAN</t>
        </is>
      </c>
      <c r="B713" t="inlineStr">
        <is>
          <t>Санкт-Петербург</t>
        </is>
      </c>
      <c r="C713" t="inlineStr">
        <is>
          <t>Продажа · Коммерческая · Офис</t>
        </is>
      </c>
      <c r="D713" t="inlineStr">
        <is>
          <t>Стандарт, ₽/сут</t>
        </is>
      </c>
      <c r="E713" t="n">
        <v>67</v>
      </c>
    </row>
    <row r="714">
      <c r="A714" t="inlineStr">
        <is>
          <t>CIAN</t>
        </is>
      </c>
      <c r="B714" t="inlineStr">
        <is>
          <t>Новосибирск</t>
        </is>
      </c>
      <c r="C714" t="inlineStr">
        <is>
          <t>Продажа · Коммерческая · Офис</t>
        </is>
      </c>
      <c r="D714" t="inlineStr">
        <is>
          <t>Публикация, ₽/30 дн</t>
        </is>
      </c>
      <c r="E714" t="n">
        <v>1389</v>
      </c>
    </row>
    <row r="715">
      <c r="A715" t="inlineStr">
        <is>
          <t>CIAN</t>
        </is>
      </c>
      <c r="B715" t="inlineStr">
        <is>
          <t>Новосибирск</t>
        </is>
      </c>
      <c r="C715" t="inlineStr">
        <is>
          <t>Продажа · Коммерческая · Офис</t>
        </is>
      </c>
      <c r="D715" t="inlineStr">
        <is>
          <t>Топ, ₽/сут</t>
        </is>
      </c>
      <c r="E715" t="n">
        <v>314</v>
      </c>
    </row>
    <row r="716">
      <c r="A716" t="inlineStr">
        <is>
          <t>CIAN</t>
        </is>
      </c>
      <c r="B716" t="inlineStr">
        <is>
          <t>Новосибирск</t>
        </is>
      </c>
      <c r="C716" t="inlineStr">
        <is>
          <t>Продажа · Коммерческая · Офис</t>
        </is>
      </c>
      <c r="D716" t="inlineStr">
        <is>
          <t>Премиум, ₽/сут</t>
        </is>
      </c>
      <c r="E716" t="n">
        <v>145</v>
      </c>
    </row>
    <row r="717">
      <c r="A717" t="inlineStr">
        <is>
          <t>CIAN</t>
        </is>
      </c>
      <c r="B717" t="inlineStr">
        <is>
          <t>Новосибирск</t>
        </is>
      </c>
      <c r="C717" t="inlineStr">
        <is>
          <t>Продажа · Коммерческая · Офис</t>
        </is>
      </c>
      <c r="D717" t="inlineStr">
        <is>
          <t>Стандарт, ₽/сут</t>
        </is>
      </c>
      <c r="E717" t="n">
        <v>44</v>
      </c>
    </row>
    <row r="718">
      <c r="A718" t="inlineStr">
        <is>
          <t>CIAN</t>
        </is>
      </c>
      <c r="B718" t="inlineStr">
        <is>
          <t>Екатеринбург</t>
        </is>
      </c>
      <c r="C718" t="inlineStr">
        <is>
          <t>Продажа · Коммерческая · Офис</t>
        </is>
      </c>
      <c r="D718" t="inlineStr">
        <is>
          <t>Публикация, ₽/30 дн</t>
        </is>
      </c>
      <c r="E718" t="n">
        <v>1176</v>
      </c>
    </row>
    <row r="719">
      <c r="A719" t="inlineStr">
        <is>
          <t>CIAN</t>
        </is>
      </c>
      <c r="B719" t="inlineStr">
        <is>
          <t>Екатеринбург</t>
        </is>
      </c>
      <c r="C719" t="inlineStr">
        <is>
          <t>Продажа · Коммерческая · Офис</t>
        </is>
      </c>
      <c r="D719" t="inlineStr">
        <is>
          <t>Топ, ₽/сут</t>
        </is>
      </c>
      <c r="E719" t="n">
        <v>443</v>
      </c>
    </row>
    <row r="720">
      <c r="A720" t="inlineStr">
        <is>
          <t>CIAN</t>
        </is>
      </c>
      <c r="B720" t="inlineStr">
        <is>
          <t>Екатеринбург</t>
        </is>
      </c>
      <c r="C720" t="inlineStr">
        <is>
          <t>Продажа · Коммерческая · Офис</t>
        </is>
      </c>
      <c r="D720" t="inlineStr">
        <is>
          <t>Премиум, ₽/сут</t>
        </is>
      </c>
      <c r="E720" t="n">
        <v>217</v>
      </c>
    </row>
    <row r="721">
      <c r="A721" t="inlineStr">
        <is>
          <t>CIAN</t>
        </is>
      </c>
      <c r="B721" t="inlineStr">
        <is>
          <t>Екатеринбург</t>
        </is>
      </c>
      <c r="C721" t="inlineStr">
        <is>
          <t>Продажа · Коммерческая · Офис</t>
        </is>
      </c>
      <c r="D721" t="inlineStr">
        <is>
          <t>Стандарт, ₽/сут</t>
        </is>
      </c>
      <c r="E721" t="n">
        <v>67</v>
      </c>
    </row>
    <row r="722">
      <c r="A722" t="inlineStr">
        <is>
          <t>CIAN</t>
        </is>
      </c>
      <c r="B722" t="inlineStr">
        <is>
          <t>Казань</t>
        </is>
      </c>
      <c r="C722" t="inlineStr">
        <is>
          <t>Продажа · Коммерческая · Офис</t>
        </is>
      </c>
      <c r="D722" t="inlineStr">
        <is>
          <t>Публикация, ₽/30 дн</t>
        </is>
      </c>
      <c r="E722" t="n">
        <v>525</v>
      </c>
    </row>
    <row r="723">
      <c r="A723" t="inlineStr">
        <is>
          <t>CIAN</t>
        </is>
      </c>
      <c r="B723" t="inlineStr">
        <is>
          <t>Казань</t>
        </is>
      </c>
      <c r="C723" t="inlineStr">
        <is>
          <t>Продажа · Коммерческая · Офис</t>
        </is>
      </c>
      <c r="D723" t="inlineStr">
        <is>
          <t>Топ, ₽/сут</t>
        </is>
      </c>
      <c r="E723" t="n">
        <v>132</v>
      </c>
    </row>
    <row r="724">
      <c r="A724" t="inlineStr">
        <is>
          <t>CIAN</t>
        </is>
      </c>
      <c r="B724" t="inlineStr">
        <is>
          <t>Казань</t>
        </is>
      </c>
      <c r="C724" t="inlineStr">
        <is>
          <t>Продажа · Коммерческая · Офис</t>
        </is>
      </c>
      <c r="D724" t="inlineStr">
        <is>
          <t>Премиум, ₽/сут</t>
        </is>
      </c>
      <c r="E724" t="n">
        <v>58</v>
      </c>
    </row>
    <row r="725">
      <c r="A725" t="inlineStr">
        <is>
          <t>CIAN</t>
        </is>
      </c>
      <c r="B725" t="inlineStr">
        <is>
          <t>Казань</t>
        </is>
      </c>
      <c r="C725" t="inlineStr">
        <is>
          <t>Продажа · Коммерческая · Офис</t>
        </is>
      </c>
      <c r="D725" t="inlineStr">
        <is>
          <t>Стандарт, ₽/сут</t>
        </is>
      </c>
      <c r="E725" t="n">
        <v>19</v>
      </c>
    </row>
    <row r="726">
      <c r="A726" t="inlineStr">
        <is>
          <t>CIAN</t>
        </is>
      </c>
      <c r="B726" t="inlineStr">
        <is>
          <t>Красноярск</t>
        </is>
      </c>
      <c r="C726" t="inlineStr">
        <is>
          <t>Продажа · Коммерческая · Офис</t>
        </is>
      </c>
      <c r="D726" t="inlineStr">
        <is>
          <t>Публикация, ₽/30 дн</t>
        </is>
      </c>
      <c r="E726" t="n">
        <v>705</v>
      </c>
    </row>
    <row r="727">
      <c r="A727" t="inlineStr">
        <is>
          <t>CIAN</t>
        </is>
      </c>
      <c r="B727" t="inlineStr">
        <is>
          <t>Красноярск</t>
        </is>
      </c>
      <c r="C727" t="inlineStr">
        <is>
          <t>Продажа · Коммерческая · Офис</t>
        </is>
      </c>
      <c r="D727" t="inlineStr">
        <is>
          <t>Топ, ₽/сут</t>
        </is>
      </c>
      <c r="E727" t="inlineStr">
        <is>
          <t>—</t>
        </is>
      </c>
    </row>
    <row r="728">
      <c r="A728" t="inlineStr">
        <is>
          <t>CIAN</t>
        </is>
      </c>
      <c r="B728" t="inlineStr">
        <is>
          <t>Красноярск</t>
        </is>
      </c>
      <c r="C728" t="inlineStr">
        <is>
          <t>Продажа · Коммерческая · Офис</t>
        </is>
      </c>
      <c r="D728" t="inlineStr">
        <is>
          <t>Премиум, ₽/сут</t>
        </is>
      </c>
      <c r="E728" t="inlineStr">
        <is>
          <t>—</t>
        </is>
      </c>
    </row>
    <row r="729">
      <c r="A729" t="inlineStr">
        <is>
          <t>CIAN</t>
        </is>
      </c>
      <c r="B729" t="inlineStr">
        <is>
          <t>Красноярск</t>
        </is>
      </c>
      <c r="C729" t="inlineStr">
        <is>
          <t>Продажа · Коммерческая · Офис</t>
        </is>
      </c>
      <c r="D729" t="inlineStr">
        <is>
          <t>Стандарт, ₽/сут</t>
        </is>
      </c>
      <c r="E729" t="inlineStr">
        <is>
          <t>—</t>
        </is>
      </c>
    </row>
    <row r="730">
      <c r="A730" t="inlineStr">
        <is>
          <t>CIAN</t>
        </is>
      </c>
      <c r="B730" t="inlineStr">
        <is>
          <t>Нижний Новгород</t>
        </is>
      </c>
      <c r="C730" t="inlineStr">
        <is>
          <t>Продажа · Коммерческая · Офис</t>
        </is>
      </c>
      <c r="D730" t="inlineStr">
        <is>
          <t>Публикация, ₽/30 дн</t>
        </is>
      </c>
      <c r="E730" t="n">
        <v>294</v>
      </c>
    </row>
    <row r="731">
      <c r="A731" t="inlineStr">
        <is>
          <t>CIAN</t>
        </is>
      </c>
      <c r="B731" t="inlineStr">
        <is>
          <t>Нижний Новгород</t>
        </is>
      </c>
      <c r="C731" t="inlineStr">
        <is>
          <t>Продажа · Коммерческая · Офис</t>
        </is>
      </c>
      <c r="D731" t="inlineStr">
        <is>
          <t>Топ, ₽/сут</t>
        </is>
      </c>
      <c r="E731" t="n">
        <v>143</v>
      </c>
    </row>
    <row r="732">
      <c r="A732" t="inlineStr">
        <is>
          <t>CIAN</t>
        </is>
      </c>
      <c r="B732" t="inlineStr">
        <is>
          <t>Нижний Новгород</t>
        </is>
      </c>
      <c r="C732" t="inlineStr">
        <is>
          <t>Продажа · Коммерческая · Офис</t>
        </is>
      </c>
      <c r="D732" t="inlineStr">
        <is>
          <t>Премиум, ₽/сут</t>
        </is>
      </c>
      <c r="E732" t="n">
        <v>63</v>
      </c>
    </row>
    <row r="733">
      <c r="A733" t="inlineStr">
        <is>
          <t>CIAN</t>
        </is>
      </c>
      <c r="B733" t="inlineStr">
        <is>
          <t>Нижний Новгород</t>
        </is>
      </c>
      <c r="C733" t="inlineStr">
        <is>
          <t>Продажа · Коммерческая · Офис</t>
        </is>
      </c>
      <c r="D733" t="inlineStr">
        <is>
          <t>Стандарт, ₽/сут</t>
        </is>
      </c>
      <c r="E733" t="n">
        <v>19</v>
      </c>
    </row>
    <row r="734">
      <c r="A734" t="inlineStr">
        <is>
          <t>CIAN</t>
        </is>
      </c>
      <c r="B734" t="inlineStr">
        <is>
          <t>Челябинск</t>
        </is>
      </c>
      <c r="C734" t="inlineStr">
        <is>
          <t>Продажа · Коммерческая · Офис</t>
        </is>
      </c>
      <c r="D734" t="inlineStr">
        <is>
          <t>Публикация, ₽/30 дн</t>
        </is>
      </c>
      <c r="E734" t="n">
        <v>450</v>
      </c>
    </row>
    <row r="735">
      <c r="A735" t="inlineStr">
        <is>
          <t>CIAN</t>
        </is>
      </c>
      <c r="B735" t="inlineStr">
        <is>
          <t>Челябинск</t>
        </is>
      </c>
      <c r="C735" t="inlineStr">
        <is>
          <t>Продажа · Коммерческая · Офис</t>
        </is>
      </c>
      <c r="D735" t="inlineStr">
        <is>
          <t>Топ, ₽/сут</t>
        </is>
      </c>
      <c r="E735" t="n">
        <v>290</v>
      </c>
    </row>
    <row r="736">
      <c r="A736" t="inlineStr">
        <is>
          <t>CIAN</t>
        </is>
      </c>
      <c r="B736" t="inlineStr">
        <is>
          <t>Челябинск</t>
        </is>
      </c>
      <c r="C736" t="inlineStr">
        <is>
          <t>Продажа · Коммерческая · Офис</t>
        </is>
      </c>
      <c r="D736" t="inlineStr">
        <is>
          <t>Премиум, ₽/сут</t>
        </is>
      </c>
      <c r="E736" t="n">
        <v>130</v>
      </c>
    </row>
    <row r="737">
      <c r="A737" t="inlineStr">
        <is>
          <t>CIAN</t>
        </is>
      </c>
      <c r="B737" t="inlineStr">
        <is>
          <t>Челябинск</t>
        </is>
      </c>
      <c r="C737" t="inlineStr">
        <is>
          <t>Продажа · Коммерческая · Офис</t>
        </is>
      </c>
      <c r="D737" t="inlineStr">
        <is>
          <t>Стандарт, ₽/сут</t>
        </is>
      </c>
      <c r="E737" t="n">
        <v>40</v>
      </c>
    </row>
    <row r="738">
      <c r="A738" t="inlineStr">
        <is>
          <t>CIAN</t>
        </is>
      </c>
      <c r="B738" t="inlineStr">
        <is>
          <t>Уфа</t>
        </is>
      </c>
      <c r="C738" t="inlineStr">
        <is>
          <t>Продажа · Коммерческая · Офис</t>
        </is>
      </c>
      <c r="D738" t="inlineStr">
        <is>
          <t>Публикация, ₽/30 дн</t>
        </is>
      </c>
      <c r="E738" t="n">
        <v>645</v>
      </c>
    </row>
    <row r="739">
      <c r="A739" t="inlineStr">
        <is>
          <t>CIAN</t>
        </is>
      </c>
      <c r="B739" t="inlineStr">
        <is>
          <t>Уфа</t>
        </is>
      </c>
      <c r="C739" t="inlineStr">
        <is>
          <t>Продажа · Коммерческая · Офис</t>
        </is>
      </c>
      <c r="D739" t="inlineStr">
        <is>
          <t>Топ, ₽/сут</t>
        </is>
      </c>
      <c r="E739" t="n">
        <v>119</v>
      </c>
    </row>
    <row r="740">
      <c r="A740" t="inlineStr">
        <is>
          <t>CIAN</t>
        </is>
      </c>
      <c r="B740" t="inlineStr">
        <is>
          <t>Уфа</t>
        </is>
      </c>
      <c r="C740" t="inlineStr">
        <is>
          <t>Продажа · Коммерческая · Офис</t>
        </is>
      </c>
      <c r="D740" t="inlineStr">
        <is>
          <t>Премиум, ₽/сут</t>
        </is>
      </c>
      <c r="E740" t="n">
        <v>52</v>
      </c>
    </row>
    <row r="741">
      <c r="A741" t="inlineStr">
        <is>
          <t>CIAN</t>
        </is>
      </c>
      <c r="B741" t="inlineStr">
        <is>
          <t>Уфа</t>
        </is>
      </c>
      <c r="C741" t="inlineStr">
        <is>
          <t>Продажа · Коммерческая · Офис</t>
        </is>
      </c>
      <c r="D741" t="inlineStr">
        <is>
          <t>Стандарт, ₽/сут</t>
        </is>
      </c>
      <c r="E741" t="n">
        <v>17</v>
      </c>
    </row>
    <row r="742">
      <c r="A742" t="inlineStr">
        <is>
          <t>CIAN</t>
        </is>
      </c>
      <c r="B742" t="inlineStr">
        <is>
          <t>Краснодар</t>
        </is>
      </c>
      <c r="C742" t="inlineStr">
        <is>
          <t>Продажа · Коммерческая · Офис</t>
        </is>
      </c>
      <c r="D742" t="inlineStr">
        <is>
          <t>Публикация, ₽/30 дн</t>
        </is>
      </c>
      <c r="E742" t="n">
        <v>405</v>
      </c>
    </row>
    <row r="743">
      <c r="A743" t="inlineStr">
        <is>
          <t>CIAN</t>
        </is>
      </c>
      <c r="B743" t="inlineStr">
        <is>
          <t>Краснодар</t>
        </is>
      </c>
      <c r="C743" t="inlineStr">
        <is>
          <t>Продажа · Коммерческая · Офис</t>
        </is>
      </c>
      <c r="D743" t="inlineStr">
        <is>
          <t>Топ, ₽/сут</t>
        </is>
      </c>
      <c r="E743" t="n">
        <v>150</v>
      </c>
    </row>
    <row r="744">
      <c r="A744" t="inlineStr">
        <is>
          <t>CIAN</t>
        </is>
      </c>
      <c r="B744" t="inlineStr">
        <is>
          <t>Краснодар</t>
        </is>
      </c>
      <c r="C744" t="inlineStr">
        <is>
          <t>Продажа · Коммерческая · Офис</t>
        </is>
      </c>
      <c r="D744" t="inlineStr">
        <is>
          <t>Премиум, ₽/сут</t>
        </is>
      </c>
      <c r="E744" t="n">
        <v>63</v>
      </c>
    </row>
    <row r="745">
      <c r="A745" t="inlineStr">
        <is>
          <t>CIAN</t>
        </is>
      </c>
      <c r="B745" t="inlineStr">
        <is>
          <t>Краснодар</t>
        </is>
      </c>
      <c r="C745" t="inlineStr">
        <is>
          <t>Продажа · Коммерческая · Офис</t>
        </is>
      </c>
      <c r="D745" t="inlineStr">
        <is>
          <t>Стандарт, ₽/сут</t>
        </is>
      </c>
      <c r="E745" t="n">
        <v>20</v>
      </c>
    </row>
    <row r="746">
      <c r="A746" t="inlineStr">
        <is>
          <t>CIAN</t>
        </is>
      </c>
      <c r="B746" t="inlineStr">
        <is>
          <t>Самара</t>
        </is>
      </c>
      <c r="C746" t="inlineStr">
        <is>
          <t>Продажа · Коммерческая · Офис</t>
        </is>
      </c>
      <c r="D746" t="inlineStr">
        <is>
          <t>Публикация, ₽/30 дн</t>
        </is>
      </c>
      <c r="E746" t="n">
        <v>192</v>
      </c>
    </row>
    <row r="747">
      <c r="A747" t="inlineStr">
        <is>
          <t>CIAN</t>
        </is>
      </c>
      <c r="B747" t="inlineStr">
        <is>
          <t>Самара</t>
        </is>
      </c>
      <c r="C747" t="inlineStr">
        <is>
          <t>Продажа · Коммерческая · Офис</t>
        </is>
      </c>
      <c r="D747" t="inlineStr">
        <is>
          <t>Топ, ₽/сут</t>
        </is>
      </c>
      <c r="E747" t="inlineStr">
        <is>
          <t>—</t>
        </is>
      </c>
    </row>
    <row r="748">
      <c r="A748" t="inlineStr">
        <is>
          <t>CIAN</t>
        </is>
      </c>
      <c r="B748" t="inlineStr">
        <is>
          <t>Самара</t>
        </is>
      </c>
      <c r="C748" t="inlineStr">
        <is>
          <t>Продажа · Коммерческая · Офис</t>
        </is>
      </c>
      <c r="D748" t="inlineStr">
        <is>
          <t>Премиум, ₽/сут</t>
        </is>
      </c>
      <c r="E748" t="inlineStr">
        <is>
          <t>—</t>
        </is>
      </c>
    </row>
    <row r="749">
      <c r="A749" t="inlineStr">
        <is>
          <t>CIAN</t>
        </is>
      </c>
      <c r="B749" t="inlineStr">
        <is>
          <t>Самара</t>
        </is>
      </c>
      <c r="C749" t="inlineStr">
        <is>
          <t>Продажа · Коммерческая · Офис</t>
        </is>
      </c>
      <c r="D749" t="inlineStr">
        <is>
          <t>Стандарт, ₽/сут</t>
        </is>
      </c>
      <c r="E749" t="inlineStr">
        <is>
          <t>—</t>
        </is>
      </c>
    </row>
    <row r="750">
      <c r="A750" t="inlineStr">
        <is>
          <t>CIAN</t>
        </is>
      </c>
      <c r="B750" t="inlineStr">
        <is>
          <t>Ростов-на-Дону</t>
        </is>
      </c>
      <c r="C750" t="inlineStr">
        <is>
          <t>Продажа · Коммерческая · Офис</t>
        </is>
      </c>
      <c r="D750" t="inlineStr">
        <is>
          <t>Публикация, ₽/30 дн</t>
        </is>
      </c>
      <c r="E750" t="n">
        <v>456</v>
      </c>
    </row>
    <row r="751">
      <c r="A751" t="inlineStr">
        <is>
          <t>CIAN</t>
        </is>
      </c>
      <c r="B751" t="inlineStr">
        <is>
          <t>Ростов-на-Дону</t>
        </is>
      </c>
      <c r="C751" t="inlineStr">
        <is>
          <t>Продажа · Коммерческая · Офис</t>
        </is>
      </c>
      <c r="D751" t="inlineStr">
        <is>
          <t>Топ, ₽/сут</t>
        </is>
      </c>
      <c r="E751" t="n">
        <v>126</v>
      </c>
    </row>
    <row r="752">
      <c r="A752" t="inlineStr">
        <is>
          <t>CIAN</t>
        </is>
      </c>
      <c r="B752" t="inlineStr">
        <is>
          <t>Ростов-на-Дону</t>
        </is>
      </c>
      <c r="C752" t="inlineStr">
        <is>
          <t>Продажа · Коммерческая · Офис</t>
        </is>
      </c>
      <c r="D752" t="inlineStr">
        <is>
          <t>Премиум, ₽/сут</t>
        </is>
      </c>
      <c r="E752" t="n">
        <v>52</v>
      </c>
    </row>
    <row r="753">
      <c r="A753" t="inlineStr">
        <is>
          <t>CIAN</t>
        </is>
      </c>
      <c r="B753" t="inlineStr">
        <is>
          <t>Ростов-на-Дону</t>
        </is>
      </c>
      <c r="C753" t="inlineStr">
        <is>
          <t>Продажа · Коммерческая · Офис</t>
        </is>
      </c>
      <c r="D753" t="inlineStr">
        <is>
          <t>Стандарт, ₽/сут</t>
        </is>
      </c>
      <c r="E753" t="n">
        <v>15</v>
      </c>
    </row>
    <row r="754">
      <c r="A754" t="inlineStr">
        <is>
          <t>CIAN</t>
        </is>
      </c>
      <c r="B754" t="inlineStr">
        <is>
          <t>Омск</t>
        </is>
      </c>
      <c r="C754" t="inlineStr">
        <is>
          <t>Продажа · Коммерческая · Офис</t>
        </is>
      </c>
      <c r="D754" t="inlineStr">
        <is>
          <t>Публикация, ₽/30 дн</t>
        </is>
      </c>
      <c r="E754" t="n">
        <v>765</v>
      </c>
    </row>
    <row r="755">
      <c r="A755" t="inlineStr">
        <is>
          <t>CIAN</t>
        </is>
      </c>
      <c r="B755" t="inlineStr">
        <is>
          <t>Омск</t>
        </is>
      </c>
      <c r="C755" t="inlineStr">
        <is>
          <t>Продажа · Коммерческая · Офис</t>
        </is>
      </c>
      <c r="D755" t="inlineStr">
        <is>
          <t>Топ, ₽/сут</t>
        </is>
      </c>
      <c r="E755" t="n">
        <v>286</v>
      </c>
    </row>
    <row r="756">
      <c r="A756" t="inlineStr">
        <is>
          <t>CIAN</t>
        </is>
      </c>
      <c r="B756" t="inlineStr">
        <is>
          <t>Омск</t>
        </is>
      </c>
      <c r="C756" t="inlineStr">
        <is>
          <t>Продажа · Коммерческая · Офис</t>
        </is>
      </c>
      <c r="D756" t="inlineStr">
        <is>
          <t>Премиум, ₽/сут</t>
        </is>
      </c>
      <c r="E756" t="n">
        <v>161</v>
      </c>
    </row>
    <row r="757">
      <c r="A757" t="inlineStr">
        <is>
          <t>CIAN</t>
        </is>
      </c>
      <c r="B757" t="inlineStr">
        <is>
          <t>Омск</t>
        </is>
      </c>
      <c r="C757" t="inlineStr">
        <is>
          <t>Продажа · Коммерческая · Офис</t>
        </is>
      </c>
      <c r="D757" t="inlineStr">
        <is>
          <t>Стандарт, ₽/сут</t>
        </is>
      </c>
      <c r="E757" t="n">
        <v>53</v>
      </c>
    </row>
    <row r="758">
      <c r="A758" t="inlineStr">
        <is>
          <t>CIAN</t>
        </is>
      </c>
      <c r="B758" t="inlineStr">
        <is>
          <t>Воронеж</t>
        </is>
      </c>
      <c r="C758" t="inlineStr">
        <is>
          <t>Продажа · Коммерческая · Офис</t>
        </is>
      </c>
      <c r="D758" t="inlineStr">
        <is>
          <t>Публикация, ₽/30 дн</t>
        </is>
      </c>
      <c r="E758" t="n">
        <v>159</v>
      </c>
    </row>
    <row r="759">
      <c r="A759" t="inlineStr">
        <is>
          <t>CIAN</t>
        </is>
      </c>
      <c r="B759" t="inlineStr">
        <is>
          <t>Воронеж</t>
        </is>
      </c>
      <c r="C759" t="inlineStr">
        <is>
          <t>Продажа · Коммерческая · Офис</t>
        </is>
      </c>
      <c r="D759" t="inlineStr">
        <is>
          <t>Топ, ₽/сут</t>
        </is>
      </c>
      <c r="E759" t="inlineStr">
        <is>
          <t>—</t>
        </is>
      </c>
    </row>
    <row r="760">
      <c r="A760" t="inlineStr">
        <is>
          <t>CIAN</t>
        </is>
      </c>
      <c r="B760" t="inlineStr">
        <is>
          <t>Воронеж</t>
        </is>
      </c>
      <c r="C760" t="inlineStr">
        <is>
          <t>Продажа · Коммерческая · Офис</t>
        </is>
      </c>
      <c r="D760" t="inlineStr">
        <is>
          <t>Премиум, ₽/сут</t>
        </is>
      </c>
      <c r="E760" t="inlineStr">
        <is>
          <t>—</t>
        </is>
      </c>
    </row>
    <row r="761">
      <c r="A761" t="inlineStr">
        <is>
          <t>CIAN</t>
        </is>
      </c>
      <c r="B761" t="inlineStr">
        <is>
          <t>Воронеж</t>
        </is>
      </c>
      <c r="C761" t="inlineStr">
        <is>
          <t>Продажа · Коммерческая · Офис</t>
        </is>
      </c>
      <c r="D761" t="inlineStr">
        <is>
          <t>Стандарт, ₽/сут</t>
        </is>
      </c>
      <c r="E761" t="inlineStr">
        <is>
          <t>—</t>
        </is>
      </c>
    </row>
    <row r="762">
      <c r="A762" t="inlineStr">
        <is>
          <t>CIAN</t>
        </is>
      </c>
      <c r="B762" t="inlineStr">
        <is>
          <t>Пермь</t>
        </is>
      </c>
      <c r="C762" t="inlineStr">
        <is>
          <t>Продажа · Коммерческая · Офис</t>
        </is>
      </c>
      <c r="D762" t="inlineStr">
        <is>
          <t>Публикация, ₽/30 дн</t>
        </is>
      </c>
      <c r="E762" t="n">
        <v>111</v>
      </c>
    </row>
    <row r="763">
      <c r="A763" t="inlineStr">
        <is>
          <t>CIAN</t>
        </is>
      </c>
      <c r="B763" t="inlineStr">
        <is>
          <t>Пермь</t>
        </is>
      </c>
      <c r="C763" t="inlineStr">
        <is>
          <t>Продажа · Коммерческая · Офис</t>
        </is>
      </c>
      <c r="D763" t="inlineStr">
        <is>
          <t>Топ, ₽/сут</t>
        </is>
      </c>
      <c r="E763" t="inlineStr">
        <is>
          <t>—</t>
        </is>
      </c>
    </row>
    <row r="764">
      <c r="A764" t="inlineStr">
        <is>
          <t>CIAN</t>
        </is>
      </c>
      <c r="B764" t="inlineStr">
        <is>
          <t>Пермь</t>
        </is>
      </c>
      <c r="C764" t="inlineStr">
        <is>
          <t>Продажа · Коммерческая · Офис</t>
        </is>
      </c>
      <c r="D764" t="inlineStr">
        <is>
          <t>Премиум, ₽/сут</t>
        </is>
      </c>
      <c r="E764" t="inlineStr">
        <is>
          <t>—</t>
        </is>
      </c>
    </row>
    <row r="765">
      <c r="A765" t="inlineStr">
        <is>
          <t>CIAN</t>
        </is>
      </c>
      <c r="B765" t="inlineStr">
        <is>
          <t>Пермь</t>
        </is>
      </c>
      <c r="C765" t="inlineStr">
        <is>
          <t>Продажа · Коммерческая · Офис</t>
        </is>
      </c>
      <c r="D765" t="inlineStr">
        <is>
          <t>Стандарт, ₽/сут</t>
        </is>
      </c>
      <c r="E765" t="inlineStr">
        <is>
          <t>—</t>
        </is>
      </c>
    </row>
    <row r="766">
      <c r="A766" t="inlineStr">
        <is>
          <t>CIAN</t>
        </is>
      </c>
      <c r="B766" t="inlineStr">
        <is>
          <t>Волгоград</t>
        </is>
      </c>
      <c r="C766" t="inlineStr">
        <is>
          <t>Продажа · Коммерческая · Офис</t>
        </is>
      </c>
      <c r="D766" t="inlineStr">
        <is>
          <t>Публикация, ₽/30 дн</t>
        </is>
      </c>
      <c r="E766" t="n">
        <v>642</v>
      </c>
    </row>
    <row r="767">
      <c r="A767" t="inlineStr">
        <is>
          <t>CIAN</t>
        </is>
      </c>
      <c r="B767" t="inlineStr">
        <is>
          <t>Волгоград</t>
        </is>
      </c>
      <c r="C767" t="inlineStr">
        <is>
          <t>Продажа · Коммерческая · Офис</t>
        </is>
      </c>
      <c r="D767" t="inlineStr">
        <is>
          <t>Топ, ₽/сут</t>
        </is>
      </c>
      <c r="E767" t="inlineStr">
        <is>
          <t>—</t>
        </is>
      </c>
    </row>
    <row r="768">
      <c r="A768" t="inlineStr">
        <is>
          <t>CIAN</t>
        </is>
      </c>
      <c r="B768" t="inlineStr">
        <is>
          <t>Волгоград</t>
        </is>
      </c>
      <c r="C768" t="inlineStr">
        <is>
          <t>Продажа · Коммерческая · Офис</t>
        </is>
      </c>
      <c r="D768" t="inlineStr">
        <is>
          <t>Премиум, ₽/сут</t>
        </is>
      </c>
      <c r="E768" t="inlineStr">
        <is>
          <t>—</t>
        </is>
      </c>
    </row>
    <row r="769">
      <c r="A769" t="inlineStr">
        <is>
          <t>CIAN</t>
        </is>
      </c>
      <c r="B769" t="inlineStr">
        <is>
          <t>Волгоград</t>
        </is>
      </c>
      <c r="C769" t="inlineStr">
        <is>
          <t>Продажа · Коммерческая · Офис</t>
        </is>
      </c>
      <c r="D769" t="inlineStr">
        <is>
          <t>Стандарт, ₽/сут</t>
        </is>
      </c>
      <c r="E769" t="inlineStr">
        <is>
          <t>—</t>
        </is>
      </c>
    </row>
    <row r="770">
      <c r="A770" t="inlineStr">
        <is>
          <t>CIAN</t>
        </is>
      </c>
      <c r="B770" t="inlineStr">
        <is>
          <t>Москва</t>
        </is>
      </c>
      <c r="C770" t="inlineStr">
        <is>
          <t>Продажа · Коммерческая · Здание</t>
        </is>
      </c>
      <c r="D770" t="inlineStr">
        <is>
          <t>Публикация, ₽/30 дн</t>
        </is>
      </c>
      <c r="E770" t="n">
        <v>3420</v>
      </c>
    </row>
    <row r="771">
      <c r="A771" t="inlineStr">
        <is>
          <t>CIAN</t>
        </is>
      </c>
      <c r="B771" t="inlineStr">
        <is>
          <t>Москва</t>
        </is>
      </c>
      <c r="C771" t="inlineStr">
        <is>
          <t>Продажа · Коммерческая · Здание</t>
        </is>
      </c>
      <c r="D771" t="inlineStr">
        <is>
          <t>Топ, ₽/сут</t>
        </is>
      </c>
      <c r="E771" t="n">
        <v>1045</v>
      </c>
    </row>
    <row r="772">
      <c r="A772" t="inlineStr">
        <is>
          <t>CIAN</t>
        </is>
      </c>
      <c r="B772" t="inlineStr">
        <is>
          <t>Москва</t>
        </is>
      </c>
      <c r="C772" t="inlineStr">
        <is>
          <t>Продажа · Коммерческая · Здание</t>
        </is>
      </c>
      <c r="D772" t="inlineStr">
        <is>
          <t>Премиум, ₽/сут</t>
        </is>
      </c>
      <c r="E772" t="n">
        <v>409</v>
      </c>
    </row>
    <row r="773">
      <c r="A773" t="inlineStr">
        <is>
          <t>CIAN</t>
        </is>
      </c>
      <c r="B773" t="inlineStr">
        <is>
          <t>Москва</t>
        </is>
      </c>
      <c r="C773" t="inlineStr">
        <is>
          <t>Продажа · Коммерческая · Здание</t>
        </is>
      </c>
      <c r="D773" t="inlineStr">
        <is>
          <t>Стандарт, ₽/сут</t>
        </is>
      </c>
      <c r="E773" t="n">
        <v>136</v>
      </c>
    </row>
    <row r="774">
      <c r="A774" t="inlineStr">
        <is>
          <t>CIAN</t>
        </is>
      </c>
      <c r="B774" t="inlineStr">
        <is>
          <t>Санкт-Петербург</t>
        </is>
      </c>
      <c r="C774" t="inlineStr">
        <is>
          <t>Продажа · Коммерческая · Здание</t>
        </is>
      </c>
      <c r="D774" t="inlineStr">
        <is>
          <t>Публикация, ₽/30 дн</t>
        </is>
      </c>
      <c r="E774" t="n">
        <v>1830</v>
      </c>
    </row>
    <row r="775">
      <c r="A775" t="inlineStr">
        <is>
          <t>CIAN</t>
        </is>
      </c>
      <c r="B775" t="inlineStr">
        <is>
          <t>Санкт-Петербург</t>
        </is>
      </c>
      <c r="C775" t="inlineStr">
        <is>
          <t>Продажа · Коммерческая · Здание</t>
        </is>
      </c>
      <c r="D775" t="inlineStr">
        <is>
          <t>Топ, ₽/сут</t>
        </is>
      </c>
      <c r="E775" t="n">
        <v>557</v>
      </c>
    </row>
    <row r="776">
      <c r="A776" t="inlineStr">
        <is>
          <t>CIAN</t>
        </is>
      </c>
      <c r="B776" t="inlineStr">
        <is>
          <t>Санкт-Петербург</t>
        </is>
      </c>
      <c r="C776" t="inlineStr">
        <is>
          <t>Продажа · Коммерческая · Здание</t>
        </is>
      </c>
      <c r="D776" t="inlineStr">
        <is>
          <t>Премиум, ₽/сут</t>
        </is>
      </c>
      <c r="E776" t="n">
        <v>246</v>
      </c>
    </row>
    <row r="777">
      <c r="A777" t="inlineStr">
        <is>
          <t>CIAN</t>
        </is>
      </c>
      <c r="B777" t="inlineStr">
        <is>
          <t>Санкт-Петербург</t>
        </is>
      </c>
      <c r="C777" t="inlineStr">
        <is>
          <t>Продажа · Коммерческая · Здание</t>
        </is>
      </c>
      <c r="D777" t="inlineStr">
        <is>
          <t>Стандарт, ₽/сут</t>
        </is>
      </c>
      <c r="E777" t="n">
        <v>76</v>
      </c>
    </row>
    <row r="778">
      <c r="A778" t="inlineStr">
        <is>
          <t>CIAN</t>
        </is>
      </c>
      <c r="B778" t="inlineStr">
        <is>
          <t>Новосибирск</t>
        </is>
      </c>
      <c r="C778" t="inlineStr">
        <is>
          <t>Продажа · Коммерческая · Здание</t>
        </is>
      </c>
      <c r="D778" t="inlineStr">
        <is>
          <t>Публикация, ₽/30 дн</t>
        </is>
      </c>
      <c r="E778" t="n">
        <v>1263</v>
      </c>
    </row>
    <row r="779">
      <c r="A779" t="inlineStr">
        <is>
          <t>CIAN</t>
        </is>
      </c>
      <c r="B779" t="inlineStr">
        <is>
          <t>Новосибирск</t>
        </is>
      </c>
      <c r="C779" t="inlineStr">
        <is>
          <t>Продажа · Коммерческая · Здание</t>
        </is>
      </c>
      <c r="D779" t="inlineStr">
        <is>
          <t>Топ, ₽/сут</t>
        </is>
      </c>
      <c r="E779" t="n">
        <v>385</v>
      </c>
    </row>
    <row r="780">
      <c r="A780" t="inlineStr">
        <is>
          <t>CIAN</t>
        </is>
      </c>
      <c r="B780" t="inlineStr">
        <is>
          <t>Новосибирск</t>
        </is>
      </c>
      <c r="C780" t="inlineStr">
        <is>
          <t>Продажа · Коммерческая · Здание</t>
        </is>
      </c>
      <c r="D780" t="inlineStr">
        <is>
          <t>Премиум, ₽/сут</t>
        </is>
      </c>
      <c r="E780" t="n">
        <v>171</v>
      </c>
    </row>
    <row r="781">
      <c r="A781" t="inlineStr">
        <is>
          <t>CIAN</t>
        </is>
      </c>
      <c r="B781" t="inlineStr">
        <is>
          <t>Новосибирск</t>
        </is>
      </c>
      <c r="C781" t="inlineStr">
        <is>
          <t>Продажа · Коммерческая · Здание</t>
        </is>
      </c>
      <c r="D781" t="inlineStr">
        <is>
          <t>Стандарт, ₽/сут</t>
        </is>
      </c>
      <c r="E781" t="n">
        <v>52</v>
      </c>
    </row>
    <row r="782">
      <c r="A782" t="inlineStr">
        <is>
          <t>CIAN</t>
        </is>
      </c>
      <c r="B782" t="inlineStr">
        <is>
          <t>Екатеринбург</t>
        </is>
      </c>
      <c r="C782" t="inlineStr">
        <is>
          <t>Продажа · Коммерческая · Здание</t>
        </is>
      </c>
      <c r="D782" t="inlineStr">
        <is>
          <t>Публикация, ₽/30 дн</t>
        </is>
      </c>
      <c r="E782" t="n">
        <v>1122</v>
      </c>
    </row>
    <row r="783">
      <c r="A783" t="inlineStr">
        <is>
          <t>CIAN</t>
        </is>
      </c>
      <c r="B783" t="inlineStr">
        <is>
          <t>Екатеринбург</t>
        </is>
      </c>
      <c r="C783" t="inlineStr">
        <is>
          <t>Продажа · Коммерческая · Здание</t>
        </is>
      </c>
      <c r="D783" t="inlineStr">
        <is>
          <t>Топ, ₽/сут</t>
        </is>
      </c>
      <c r="E783" t="n">
        <v>418</v>
      </c>
    </row>
    <row r="784">
      <c r="A784" t="inlineStr">
        <is>
          <t>CIAN</t>
        </is>
      </c>
      <c r="B784" t="inlineStr">
        <is>
          <t>Екатеринбург</t>
        </is>
      </c>
      <c r="C784" t="inlineStr">
        <is>
          <t>Продажа · Коммерческая · Здание</t>
        </is>
      </c>
      <c r="D784" t="inlineStr">
        <is>
          <t>Премиум, ₽/сут</t>
        </is>
      </c>
      <c r="E784" t="n">
        <v>222</v>
      </c>
    </row>
    <row r="785">
      <c r="A785" t="inlineStr">
        <is>
          <t>CIAN</t>
        </is>
      </c>
      <c r="B785" t="inlineStr">
        <is>
          <t>Екатеринбург</t>
        </is>
      </c>
      <c r="C785" t="inlineStr">
        <is>
          <t>Продажа · Коммерческая · Здание</t>
        </is>
      </c>
      <c r="D785" t="inlineStr">
        <is>
          <t>Стандарт, ₽/сут</t>
        </is>
      </c>
      <c r="E785" t="n">
        <v>69</v>
      </c>
    </row>
    <row r="786">
      <c r="A786" t="inlineStr">
        <is>
          <t>CIAN</t>
        </is>
      </c>
      <c r="B786" t="inlineStr">
        <is>
          <t>Казань</t>
        </is>
      </c>
      <c r="C786" t="inlineStr">
        <is>
          <t>Продажа · Коммерческая · Здание</t>
        </is>
      </c>
      <c r="D786" t="inlineStr">
        <is>
          <t>Публикация, ₽/30 дн</t>
        </is>
      </c>
      <c r="E786" t="n">
        <v>609</v>
      </c>
    </row>
    <row r="787">
      <c r="A787" t="inlineStr">
        <is>
          <t>CIAN</t>
        </is>
      </c>
      <c r="B787" t="inlineStr">
        <is>
          <t>Казань</t>
        </is>
      </c>
      <c r="C787" t="inlineStr">
        <is>
          <t>Продажа · Коммерческая · Здание</t>
        </is>
      </c>
      <c r="D787" t="inlineStr">
        <is>
          <t>Топ, ₽/сут</t>
        </is>
      </c>
      <c r="E787" t="n">
        <v>161</v>
      </c>
    </row>
    <row r="788">
      <c r="A788" t="inlineStr">
        <is>
          <t>CIAN</t>
        </is>
      </c>
      <c r="B788" t="inlineStr">
        <is>
          <t>Казань</t>
        </is>
      </c>
      <c r="C788" t="inlineStr">
        <is>
          <t>Продажа · Коммерческая · Здание</t>
        </is>
      </c>
      <c r="D788" t="inlineStr">
        <is>
          <t>Премиум, ₽/сут</t>
        </is>
      </c>
      <c r="E788" t="n">
        <v>68</v>
      </c>
    </row>
    <row r="789">
      <c r="A789" t="inlineStr">
        <is>
          <t>CIAN</t>
        </is>
      </c>
      <c r="B789" t="inlineStr">
        <is>
          <t>Казань</t>
        </is>
      </c>
      <c r="C789" t="inlineStr">
        <is>
          <t>Продажа · Коммерческая · Здание</t>
        </is>
      </c>
      <c r="D789" t="inlineStr">
        <is>
          <t>Стандарт, ₽/сут</t>
        </is>
      </c>
      <c r="E789" t="n">
        <v>22</v>
      </c>
    </row>
    <row r="790">
      <c r="A790" t="inlineStr">
        <is>
          <t>CIAN</t>
        </is>
      </c>
      <c r="B790" t="inlineStr">
        <is>
          <t>Красноярск</t>
        </is>
      </c>
      <c r="C790" t="inlineStr">
        <is>
          <t>Продажа · Коммерческая · Здание</t>
        </is>
      </c>
      <c r="D790" t="inlineStr">
        <is>
          <t>Публикация, ₽/30 дн</t>
        </is>
      </c>
      <c r="E790" t="n">
        <v>666</v>
      </c>
    </row>
    <row r="791">
      <c r="A791" t="inlineStr">
        <is>
          <t>CIAN</t>
        </is>
      </c>
      <c r="B791" t="inlineStr">
        <is>
          <t>Красноярск</t>
        </is>
      </c>
      <c r="C791" t="inlineStr">
        <is>
          <t>Продажа · Коммерческая · Здание</t>
        </is>
      </c>
      <c r="D791" t="inlineStr">
        <is>
          <t>Топ, ₽/сут</t>
        </is>
      </c>
      <c r="E791" t="inlineStr">
        <is>
          <t>—</t>
        </is>
      </c>
    </row>
    <row r="792">
      <c r="A792" t="inlineStr">
        <is>
          <t>CIAN</t>
        </is>
      </c>
      <c r="B792" t="inlineStr">
        <is>
          <t>Красноярск</t>
        </is>
      </c>
      <c r="C792" t="inlineStr">
        <is>
          <t>Продажа · Коммерческая · Здание</t>
        </is>
      </c>
      <c r="D792" t="inlineStr">
        <is>
          <t>Премиум, ₽/сут</t>
        </is>
      </c>
      <c r="E792" t="inlineStr">
        <is>
          <t>—</t>
        </is>
      </c>
    </row>
    <row r="793">
      <c r="A793" t="inlineStr">
        <is>
          <t>CIAN</t>
        </is>
      </c>
      <c r="B793" t="inlineStr">
        <is>
          <t>Красноярск</t>
        </is>
      </c>
      <c r="C793" t="inlineStr">
        <is>
          <t>Продажа · Коммерческая · Здание</t>
        </is>
      </c>
      <c r="D793" t="inlineStr">
        <is>
          <t>Стандарт, ₽/сут</t>
        </is>
      </c>
      <c r="E793" t="inlineStr">
        <is>
          <t>—</t>
        </is>
      </c>
    </row>
    <row r="794">
      <c r="A794" t="inlineStr">
        <is>
          <t>CIAN</t>
        </is>
      </c>
      <c r="B794" t="inlineStr">
        <is>
          <t>Нижний Новгород</t>
        </is>
      </c>
      <c r="C794" t="inlineStr">
        <is>
          <t>Продажа · Коммерческая · Здание</t>
        </is>
      </c>
      <c r="D794" t="inlineStr">
        <is>
          <t>Публикация, ₽/30 дн</t>
        </is>
      </c>
      <c r="E794" t="n">
        <v>294</v>
      </c>
    </row>
    <row r="795">
      <c r="A795" t="inlineStr">
        <is>
          <t>CIAN</t>
        </is>
      </c>
      <c r="B795" t="inlineStr">
        <is>
          <t>Нижний Новгород</t>
        </is>
      </c>
      <c r="C795" t="inlineStr">
        <is>
          <t>Продажа · Коммерческая · Здание</t>
        </is>
      </c>
      <c r="D795" t="inlineStr">
        <is>
          <t>Топ, ₽/сут</t>
        </is>
      </c>
      <c r="E795" t="n">
        <v>143</v>
      </c>
    </row>
    <row r="796">
      <c r="A796" t="inlineStr">
        <is>
          <t>CIAN</t>
        </is>
      </c>
      <c r="B796" t="inlineStr">
        <is>
          <t>Нижний Новгород</t>
        </is>
      </c>
      <c r="C796" t="inlineStr">
        <is>
          <t>Продажа · Коммерческая · Здание</t>
        </is>
      </c>
      <c r="D796" t="inlineStr">
        <is>
          <t>Премиум, ₽/сут</t>
        </is>
      </c>
      <c r="E796" t="n">
        <v>63</v>
      </c>
    </row>
    <row r="797">
      <c r="A797" t="inlineStr">
        <is>
          <t>CIAN</t>
        </is>
      </c>
      <c r="B797" t="inlineStr">
        <is>
          <t>Нижний Новгород</t>
        </is>
      </c>
      <c r="C797" t="inlineStr">
        <is>
          <t>Продажа · Коммерческая · Здание</t>
        </is>
      </c>
      <c r="D797" t="inlineStr">
        <is>
          <t>Стандарт, ₽/сут</t>
        </is>
      </c>
      <c r="E797" t="n">
        <v>18</v>
      </c>
    </row>
    <row r="798">
      <c r="A798" t="inlineStr">
        <is>
          <t>CIAN</t>
        </is>
      </c>
      <c r="B798" t="inlineStr">
        <is>
          <t>Челябинск</t>
        </is>
      </c>
      <c r="C798" t="inlineStr">
        <is>
          <t>Продажа · Коммерческая · Здание</t>
        </is>
      </c>
      <c r="D798" t="inlineStr">
        <is>
          <t>Публикация, ₽/30 дн</t>
        </is>
      </c>
      <c r="E798" t="n">
        <v>540</v>
      </c>
    </row>
    <row r="799">
      <c r="A799" t="inlineStr">
        <is>
          <t>CIAN</t>
        </is>
      </c>
      <c r="B799" t="inlineStr">
        <is>
          <t>Челябинск</t>
        </is>
      </c>
      <c r="C799" t="inlineStr">
        <is>
          <t>Продажа · Коммерческая · Здание</t>
        </is>
      </c>
      <c r="D799" t="inlineStr">
        <is>
          <t>Топ, ₽/сут</t>
        </is>
      </c>
      <c r="E799" t="n">
        <v>221</v>
      </c>
    </row>
    <row r="800">
      <c r="A800" t="inlineStr">
        <is>
          <t>CIAN</t>
        </is>
      </c>
      <c r="B800" t="inlineStr">
        <is>
          <t>Челябинск</t>
        </is>
      </c>
      <c r="C800" t="inlineStr">
        <is>
          <t>Продажа · Коммерческая · Здание</t>
        </is>
      </c>
      <c r="D800" t="inlineStr">
        <is>
          <t>Премиум, ₽/сут</t>
        </is>
      </c>
      <c r="E800" t="n">
        <v>107</v>
      </c>
    </row>
    <row r="801">
      <c r="A801" t="inlineStr">
        <is>
          <t>CIAN</t>
        </is>
      </c>
      <c r="B801" t="inlineStr">
        <is>
          <t>Челябинск</t>
        </is>
      </c>
      <c r="C801" t="inlineStr">
        <is>
          <t>Продажа · Коммерческая · Здание</t>
        </is>
      </c>
      <c r="D801" t="inlineStr">
        <is>
          <t>Стандарт, ₽/сут</t>
        </is>
      </c>
      <c r="E801" t="n">
        <v>31</v>
      </c>
    </row>
    <row r="802">
      <c r="A802" t="inlineStr">
        <is>
          <t>CIAN</t>
        </is>
      </c>
      <c r="B802" t="inlineStr">
        <is>
          <t>Уфа</t>
        </is>
      </c>
      <c r="C802" t="inlineStr">
        <is>
          <t>Продажа · Коммерческая · Здание</t>
        </is>
      </c>
      <c r="D802" t="inlineStr">
        <is>
          <t>Публикация, ₽/30 дн</t>
        </is>
      </c>
      <c r="E802" t="n">
        <v>720</v>
      </c>
    </row>
    <row r="803">
      <c r="A803" t="inlineStr">
        <is>
          <t>CIAN</t>
        </is>
      </c>
      <c r="B803" t="inlineStr">
        <is>
          <t>Уфа</t>
        </is>
      </c>
      <c r="C803" t="inlineStr">
        <is>
          <t>Продажа · Коммерческая · Здание</t>
        </is>
      </c>
      <c r="D803" t="inlineStr">
        <is>
          <t>Топ, ₽/сут</t>
        </is>
      </c>
      <c r="E803" t="n">
        <v>134</v>
      </c>
    </row>
    <row r="804">
      <c r="A804" t="inlineStr">
        <is>
          <t>CIAN</t>
        </is>
      </c>
      <c r="B804" t="inlineStr">
        <is>
          <t>Уфа</t>
        </is>
      </c>
      <c r="C804" t="inlineStr">
        <is>
          <t>Продажа · Коммерческая · Здание</t>
        </is>
      </c>
      <c r="D804" t="inlineStr">
        <is>
          <t>Премиум, ₽/сут</t>
        </is>
      </c>
      <c r="E804" t="n">
        <v>58</v>
      </c>
    </row>
    <row r="805">
      <c r="A805" t="inlineStr">
        <is>
          <t>CIAN</t>
        </is>
      </c>
      <c r="B805" t="inlineStr">
        <is>
          <t>Уфа</t>
        </is>
      </c>
      <c r="C805" t="inlineStr">
        <is>
          <t>Продажа · Коммерческая · Здание</t>
        </is>
      </c>
      <c r="D805" t="inlineStr">
        <is>
          <t>Стандарт, ₽/сут</t>
        </is>
      </c>
      <c r="E805" t="n">
        <v>18</v>
      </c>
    </row>
    <row r="806">
      <c r="A806" t="inlineStr">
        <is>
          <t>CIAN</t>
        </is>
      </c>
      <c r="B806" t="inlineStr">
        <is>
          <t>Краснодар</t>
        </is>
      </c>
      <c r="C806" t="inlineStr">
        <is>
          <t>Продажа · Коммерческая · Здание</t>
        </is>
      </c>
      <c r="D806" t="inlineStr">
        <is>
          <t>Публикация, ₽/30 дн</t>
        </is>
      </c>
      <c r="E806" t="n">
        <v>534</v>
      </c>
    </row>
    <row r="807">
      <c r="A807" t="inlineStr">
        <is>
          <t>CIAN</t>
        </is>
      </c>
      <c r="B807" t="inlineStr">
        <is>
          <t>Краснодар</t>
        </is>
      </c>
      <c r="C807" t="inlineStr">
        <is>
          <t>Продажа · Коммерческая · Здание</t>
        </is>
      </c>
      <c r="D807" t="inlineStr">
        <is>
          <t>Топ, ₽/сут</t>
        </is>
      </c>
      <c r="E807" t="n">
        <v>152</v>
      </c>
    </row>
    <row r="808">
      <c r="A808" t="inlineStr">
        <is>
          <t>CIAN</t>
        </is>
      </c>
      <c r="B808" t="inlineStr">
        <is>
          <t>Краснодар</t>
        </is>
      </c>
      <c r="C808" t="inlineStr">
        <is>
          <t>Продажа · Коммерческая · Здание</t>
        </is>
      </c>
      <c r="D808" t="inlineStr">
        <is>
          <t>Премиум, ₽/сут</t>
        </is>
      </c>
      <c r="E808" t="n">
        <v>64</v>
      </c>
    </row>
    <row r="809">
      <c r="A809" t="inlineStr">
        <is>
          <t>CIAN</t>
        </is>
      </c>
      <c r="B809" t="inlineStr">
        <is>
          <t>Краснодар</t>
        </is>
      </c>
      <c r="C809" t="inlineStr">
        <is>
          <t>Продажа · Коммерческая · Здание</t>
        </is>
      </c>
      <c r="D809" t="inlineStr">
        <is>
          <t>Стандарт, ₽/сут</t>
        </is>
      </c>
      <c r="E809" t="n">
        <v>21</v>
      </c>
    </row>
    <row r="810">
      <c r="A810" t="inlineStr">
        <is>
          <t>CIAN</t>
        </is>
      </c>
      <c r="B810" t="inlineStr">
        <is>
          <t>Самара</t>
        </is>
      </c>
      <c r="C810" t="inlineStr">
        <is>
          <t>Продажа · Коммерческая · Здание</t>
        </is>
      </c>
      <c r="D810" t="inlineStr">
        <is>
          <t>Публикация, ₽/30 дн</t>
        </is>
      </c>
      <c r="E810" t="n">
        <v>333</v>
      </c>
    </row>
    <row r="811">
      <c r="A811" t="inlineStr">
        <is>
          <t>CIAN</t>
        </is>
      </c>
      <c r="B811" t="inlineStr">
        <is>
          <t>Самара</t>
        </is>
      </c>
      <c r="C811" t="inlineStr">
        <is>
          <t>Продажа · Коммерческая · Здание</t>
        </is>
      </c>
      <c r="D811" t="inlineStr">
        <is>
          <t>Топ, ₽/сут</t>
        </is>
      </c>
      <c r="E811" t="inlineStr">
        <is>
          <t>—</t>
        </is>
      </c>
    </row>
    <row r="812">
      <c r="A812" t="inlineStr">
        <is>
          <t>CIAN</t>
        </is>
      </c>
      <c r="B812" t="inlineStr">
        <is>
          <t>Самара</t>
        </is>
      </c>
      <c r="C812" t="inlineStr">
        <is>
          <t>Продажа · Коммерческая · Здание</t>
        </is>
      </c>
      <c r="D812" t="inlineStr">
        <is>
          <t>Премиум, ₽/сут</t>
        </is>
      </c>
      <c r="E812" t="inlineStr">
        <is>
          <t>—</t>
        </is>
      </c>
    </row>
    <row r="813">
      <c r="A813" t="inlineStr">
        <is>
          <t>CIAN</t>
        </is>
      </c>
      <c r="B813" t="inlineStr">
        <is>
          <t>Самара</t>
        </is>
      </c>
      <c r="C813" t="inlineStr">
        <is>
          <t>Продажа · Коммерческая · Здание</t>
        </is>
      </c>
      <c r="D813" t="inlineStr">
        <is>
          <t>Стандарт, ₽/сут</t>
        </is>
      </c>
      <c r="E813" t="inlineStr">
        <is>
          <t>—</t>
        </is>
      </c>
    </row>
    <row r="814">
      <c r="A814" t="inlineStr">
        <is>
          <t>CIAN</t>
        </is>
      </c>
      <c r="B814" t="inlineStr">
        <is>
          <t>Ростов-на-Дону</t>
        </is>
      </c>
      <c r="C814" t="inlineStr">
        <is>
          <t>Продажа · Коммерческая · Здание</t>
        </is>
      </c>
      <c r="D814" t="inlineStr">
        <is>
          <t>Публикация, ₽/30 дн</t>
        </is>
      </c>
      <c r="E814" t="n">
        <v>390</v>
      </c>
    </row>
    <row r="815">
      <c r="A815" t="inlineStr">
        <is>
          <t>CIAN</t>
        </is>
      </c>
      <c r="B815" t="inlineStr">
        <is>
          <t>Ростов-на-Дону</t>
        </is>
      </c>
      <c r="C815" t="inlineStr">
        <is>
          <t>Продажа · Коммерческая · Здание</t>
        </is>
      </c>
      <c r="D815" t="inlineStr">
        <is>
          <t>Топ, ₽/сут</t>
        </is>
      </c>
      <c r="E815" t="n">
        <v>117</v>
      </c>
    </row>
    <row r="816">
      <c r="A816" t="inlineStr">
        <is>
          <t>CIAN</t>
        </is>
      </c>
      <c r="B816" t="inlineStr">
        <is>
          <t>Ростов-на-Дону</t>
        </is>
      </c>
      <c r="C816" t="inlineStr">
        <is>
          <t>Продажа · Коммерческая · Здание</t>
        </is>
      </c>
      <c r="D816" t="inlineStr">
        <is>
          <t>Премиум, ₽/сут</t>
        </is>
      </c>
      <c r="E816" t="n">
        <v>52</v>
      </c>
    </row>
    <row r="817">
      <c r="A817" t="inlineStr">
        <is>
          <t>CIAN</t>
        </is>
      </c>
      <c r="B817" t="inlineStr">
        <is>
          <t>Ростов-на-Дону</t>
        </is>
      </c>
      <c r="C817" t="inlineStr">
        <is>
          <t>Продажа · Коммерческая · Здание</t>
        </is>
      </c>
      <c r="D817" t="inlineStr">
        <is>
          <t>Стандарт, ₽/сут</t>
        </is>
      </c>
      <c r="E817" t="n">
        <v>15</v>
      </c>
    </row>
    <row r="818">
      <c r="A818" t="inlineStr">
        <is>
          <t>CIAN</t>
        </is>
      </c>
      <c r="B818" t="inlineStr">
        <is>
          <t>Омск</t>
        </is>
      </c>
      <c r="C818" t="inlineStr">
        <is>
          <t>Продажа · Коммерческая · Здание</t>
        </is>
      </c>
      <c r="D818" t="inlineStr">
        <is>
          <t>Публикация, ₽/30 дн</t>
        </is>
      </c>
      <c r="E818" t="n">
        <v>918</v>
      </c>
    </row>
    <row r="819">
      <c r="A819" t="inlineStr">
        <is>
          <t>CIAN</t>
        </is>
      </c>
      <c r="B819" t="inlineStr">
        <is>
          <t>Омск</t>
        </is>
      </c>
      <c r="C819" t="inlineStr">
        <is>
          <t>Продажа · Коммерческая · Здание</t>
        </is>
      </c>
      <c r="D819" t="inlineStr">
        <is>
          <t>Топ, ₽/сут</t>
        </is>
      </c>
      <c r="E819" t="n">
        <v>327</v>
      </c>
    </row>
    <row r="820">
      <c r="A820" t="inlineStr">
        <is>
          <t>CIAN</t>
        </is>
      </c>
      <c r="B820" t="inlineStr">
        <is>
          <t>Омск</t>
        </is>
      </c>
      <c r="C820" t="inlineStr">
        <is>
          <t>Продажа · Коммерческая · Здание</t>
        </is>
      </c>
      <c r="D820" t="inlineStr">
        <is>
          <t>Премиум, ₽/сут</t>
        </is>
      </c>
      <c r="E820" t="n">
        <v>186</v>
      </c>
    </row>
    <row r="821">
      <c r="A821" t="inlineStr">
        <is>
          <t>CIAN</t>
        </is>
      </c>
      <c r="B821" t="inlineStr">
        <is>
          <t>Омск</t>
        </is>
      </c>
      <c r="C821" t="inlineStr">
        <is>
          <t>Продажа · Коммерческая · Здание</t>
        </is>
      </c>
      <c r="D821" t="inlineStr">
        <is>
          <t>Стандарт, ₽/сут</t>
        </is>
      </c>
      <c r="E821" t="n">
        <v>63</v>
      </c>
    </row>
    <row r="822">
      <c r="A822" t="inlineStr">
        <is>
          <t>CIAN</t>
        </is>
      </c>
      <c r="B822" t="inlineStr">
        <is>
          <t>Воронеж</t>
        </is>
      </c>
      <c r="C822" t="inlineStr">
        <is>
          <t>Продажа · Коммерческая · Здание</t>
        </is>
      </c>
      <c r="D822" t="inlineStr">
        <is>
          <t>Публикация, ₽/30 дн</t>
        </is>
      </c>
      <c r="E822" t="n">
        <v>171</v>
      </c>
    </row>
    <row r="823">
      <c r="A823" t="inlineStr">
        <is>
          <t>CIAN</t>
        </is>
      </c>
      <c r="B823" t="inlineStr">
        <is>
          <t>Воронеж</t>
        </is>
      </c>
      <c r="C823" t="inlineStr">
        <is>
          <t>Продажа · Коммерческая · Здание</t>
        </is>
      </c>
      <c r="D823" t="inlineStr">
        <is>
          <t>Топ, ₽/сут</t>
        </is>
      </c>
      <c r="E823" t="inlineStr">
        <is>
          <t>—</t>
        </is>
      </c>
    </row>
    <row r="824">
      <c r="A824" t="inlineStr">
        <is>
          <t>CIAN</t>
        </is>
      </c>
      <c r="B824" t="inlineStr">
        <is>
          <t>Воронеж</t>
        </is>
      </c>
      <c r="C824" t="inlineStr">
        <is>
          <t>Продажа · Коммерческая · Здание</t>
        </is>
      </c>
      <c r="D824" t="inlineStr">
        <is>
          <t>Премиум, ₽/сут</t>
        </is>
      </c>
      <c r="E824" t="inlineStr">
        <is>
          <t>—</t>
        </is>
      </c>
    </row>
    <row r="825">
      <c r="A825" t="inlineStr">
        <is>
          <t>CIAN</t>
        </is>
      </c>
      <c r="B825" t="inlineStr">
        <is>
          <t>Воронеж</t>
        </is>
      </c>
      <c r="C825" t="inlineStr">
        <is>
          <t>Продажа · Коммерческая · Здание</t>
        </is>
      </c>
      <c r="D825" t="inlineStr">
        <is>
          <t>Стандарт, ₽/сут</t>
        </is>
      </c>
      <c r="E825" t="inlineStr">
        <is>
          <t>—</t>
        </is>
      </c>
    </row>
    <row r="826">
      <c r="A826" t="inlineStr">
        <is>
          <t>CIAN</t>
        </is>
      </c>
      <c r="B826" t="inlineStr">
        <is>
          <t>Пермь</t>
        </is>
      </c>
      <c r="C826" t="inlineStr">
        <is>
          <t>Продажа · Коммерческая · Здание</t>
        </is>
      </c>
      <c r="D826" t="inlineStr">
        <is>
          <t>Публикация, ₽/30 дн</t>
        </is>
      </c>
      <c r="E826" t="n">
        <v>120</v>
      </c>
    </row>
    <row r="827">
      <c r="A827" t="inlineStr">
        <is>
          <t>CIAN</t>
        </is>
      </c>
      <c r="B827" t="inlineStr">
        <is>
          <t>Пермь</t>
        </is>
      </c>
      <c r="C827" t="inlineStr">
        <is>
          <t>Продажа · Коммерческая · Здание</t>
        </is>
      </c>
      <c r="D827" t="inlineStr">
        <is>
          <t>Топ, ₽/сут</t>
        </is>
      </c>
      <c r="E827" t="inlineStr">
        <is>
          <t>—</t>
        </is>
      </c>
    </row>
    <row r="828">
      <c r="A828" t="inlineStr">
        <is>
          <t>CIAN</t>
        </is>
      </c>
      <c r="B828" t="inlineStr">
        <is>
          <t>Пермь</t>
        </is>
      </c>
      <c r="C828" t="inlineStr">
        <is>
          <t>Продажа · Коммерческая · Здание</t>
        </is>
      </c>
      <c r="D828" t="inlineStr">
        <is>
          <t>Премиум, ₽/сут</t>
        </is>
      </c>
      <c r="E828" t="inlineStr">
        <is>
          <t>—</t>
        </is>
      </c>
    </row>
    <row r="829">
      <c r="A829" t="inlineStr">
        <is>
          <t>CIAN</t>
        </is>
      </c>
      <c r="B829" t="inlineStr">
        <is>
          <t>Пермь</t>
        </is>
      </c>
      <c r="C829" t="inlineStr">
        <is>
          <t>Продажа · Коммерческая · Здание</t>
        </is>
      </c>
      <c r="D829" t="inlineStr">
        <is>
          <t>Стандарт, ₽/сут</t>
        </is>
      </c>
      <c r="E829" t="inlineStr">
        <is>
          <t>—</t>
        </is>
      </c>
    </row>
    <row r="830">
      <c r="A830" t="inlineStr">
        <is>
          <t>CIAN</t>
        </is>
      </c>
      <c r="B830" t="inlineStr">
        <is>
          <t>Волгоград</t>
        </is>
      </c>
      <c r="C830" t="inlineStr">
        <is>
          <t>Продажа · Коммерческая · Здание</t>
        </is>
      </c>
      <c r="D830" t="inlineStr">
        <is>
          <t>Публикация, ₽/30 дн</t>
        </is>
      </c>
      <c r="E830" t="n">
        <v>681</v>
      </c>
    </row>
    <row r="831">
      <c r="A831" t="inlineStr">
        <is>
          <t>CIAN</t>
        </is>
      </c>
      <c r="B831" t="inlineStr">
        <is>
          <t>Волгоград</t>
        </is>
      </c>
      <c r="C831" t="inlineStr">
        <is>
          <t>Продажа · Коммерческая · Здание</t>
        </is>
      </c>
      <c r="D831" t="inlineStr">
        <is>
          <t>Топ, ₽/сут</t>
        </is>
      </c>
      <c r="E831" t="inlineStr">
        <is>
          <t>—</t>
        </is>
      </c>
    </row>
    <row r="832">
      <c r="A832" t="inlineStr">
        <is>
          <t>CIAN</t>
        </is>
      </c>
      <c r="B832" t="inlineStr">
        <is>
          <t>Волгоград</t>
        </is>
      </c>
      <c r="C832" t="inlineStr">
        <is>
          <t>Продажа · Коммерческая · Здание</t>
        </is>
      </c>
      <c r="D832" t="inlineStr">
        <is>
          <t>Премиум, ₽/сут</t>
        </is>
      </c>
      <c r="E832" t="inlineStr">
        <is>
          <t>—</t>
        </is>
      </c>
    </row>
    <row r="833">
      <c r="A833" t="inlineStr">
        <is>
          <t>CIAN</t>
        </is>
      </c>
      <c r="B833" t="inlineStr">
        <is>
          <t>Волгоград</t>
        </is>
      </c>
      <c r="C833" t="inlineStr">
        <is>
          <t>Продажа · Коммерческая · Здание</t>
        </is>
      </c>
      <c r="D833" t="inlineStr">
        <is>
          <t>Стандарт, ₽/сут</t>
        </is>
      </c>
      <c r="E833" t="inlineStr">
        <is>
          <t>—</t>
        </is>
      </c>
    </row>
    <row r="834">
      <c r="A834" t="inlineStr">
        <is>
          <t>CIAN</t>
        </is>
      </c>
      <c r="B834" t="inlineStr">
        <is>
          <t>Москва</t>
        </is>
      </c>
      <c r="C834" t="inlineStr">
        <is>
          <t>Продажа · Коммерческая · Торговая площадь</t>
        </is>
      </c>
      <c r="D834" t="inlineStr">
        <is>
          <t>Публикация, ₽/30 дн</t>
        </is>
      </c>
      <c r="E834" t="n">
        <v>1620</v>
      </c>
    </row>
    <row r="835">
      <c r="A835" t="inlineStr">
        <is>
          <t>CIAN</t>
        </is>
      </c>
      <c r="B835" t="inlineStr">
        <is>
          <t>Москва</t>
        </is>
      </c>
      <c r="C835" t="inlineStr">
        <is>
          <t>Продажа · Коммерческая · Торговая площадь</t>
        </is>
      </c>
      <c r="D835" t="inlineStr">
        <is>
          <t>Топ, ₽/сут</t>
        </is>
      </c>
      <c r="E835" t="n">
        <v>1090</v>
      </c>
    </row>
    <row r="836">
      <c r="A836" t="inlineStr">
        <is>
          <t>CIAN</t>
        </is>
      </c>
      <c r="B836" t="inlineStr">
        <is>
          <t>Москва</t>
        </is>
      </c>
      <c r="C836" t="inlineStr">
        <is>
          <t>Продажа · Коммерческая · Торговая площадь</t>
        </is>
      </c>
      <c r="D836" t="inlineStr">
        <is>
          <t>Премиум, ₽/сут</t>
        </is>
      </c>
      <c r="E836" t="n">
        <v>429</v>
      </c>
    </row>
    <row r="837">
      <c r="A837" t="inlineStr">
        <is>
          <t>CIAN</t>
        </is>
      </c>
      <c r="B837" t="inlineStr">
        <is>
          <t>Москва</t>
        </is>
      </c>
      <c r="C837" t="inlineStr">
        <is>
          <t>Продажа · Коммерческая · Торговая площадь</t>
        </is>
      </c>
      <c r="D837" t="inlineStr">
        <is>
          <t>Стандарт, ₽/сут</t>
        </is>
      </c>
      <c r="E837" t="n">
        <v>219</v>
      </c>
    </row>
    <row r="838">
      <c r="A838" t="inlineStr">
        <is>
          <t>CIAN</t>
        </is>
      </c>
      <c r="B838" t="inlineStr">
        <is>
          <t>Санкт-Петербург</t>
        </is>
      </c>
      <c r="C838" t="inlineStr">
        <is>
          <t>Продажа · Коммерческая · Торговая площадь</t>
        </is>
      </c>
      <c r="D838" t="inlineStr">
        <is>
          <t>Публикация, ₽/30 дн</t>
        </is>
      </c>
      <c r="E838" t="n">
        <v>720</v>
      </c>
    </row>
    <row r="839">
      <c r="A839" t="inlineStr">
        <is>
          <t>CIAN</t>
        </is>
      </c>
      <c r="B839" t="inlineStr">
        <is>
          <t>Санкт-Петербург</t>
        </is>
      </c>
      <c r="C839" t="inlineStr">
        <is>
          <t>Продажа · Коммерческая · Торговая площадь</t>
        </is>
      </c>
      <c r="D839" t="inlineStr">
        <is>
          <t>Топ, ₽/сут</t>
        </is>
      </c>
      <c r="E839" t="n">
        <v>563</v>
      </c>
    </row>
    <row r="840">
      <c r="A840" t="inlineStr">
        <is>
          <t>CIAN</t>
        </is>
      </c>
      <c r="B840" t="inlineStr">
        <is>
          <t>Санкт-Петербург</t>
        </is>
      </c>
      <c r="C840" t="inlineStr">
        <is>
          <t>Продажа · Коммерческая · Торговая площадь</t>
        </is>
      </c>
      <c r="D840" t="inlineStr">
        <is>
          <t>Премиум, ₽/сут</t>
        </is>
      </c>
      <c r="E840" t="n">
        <v>237</v>
      </c>
    </row>
    <row r="841">
      <c r="A841" t="inlineStr">
        <is>
          <t>CIAN</t>
        </is>
      </c>
      <c r="B841" t="inlineStr">
        <is>
          <t>Санкт-Петербург</t>
        </is>
      </c>
      <c r="C841" t="inlineStr">
        <is>
          <t>Продажа · Коммерческая · Торговая площадь</t>
        </is>
      </c>
      <c r="D841" t="inlineStr">
        <is>
          <t>Стандарт, ₽/сут</t>
        </is>
      </c>
      <c r="E841" t="n">
        <v>74</v>
      </c>
    </row>
    <row r="842">
      <c r="A842" t="inlineStr">
        <is>
          <t>CIAN</t>
        </is>
      </c>
      <c r="B842" t="inlineStr">
        <is>
          <t>Новосибирск</t>
        </is>
      </c>
      <c r="C842" t="inlineStr">
        <is>
          <t>Продажа · Коммерческая · Торговая площадь</t>
        </is>
      </c>
      <c r="D842" t="inlineStr">
        <is>
          <t>Публикация, ₽/30 дн</t>
        </is>
      </c>
      <c r="E842" t="n">
        <v>1263</v>
      </c>
    </row>
    <row r="843">
      <c r="A843" t="inlineStr">
        <is>
          <t>CIAN</t>
        </is>
      </c>
      <c r="B843" t="inlineStr">
        <is>
          <t>Новосибирск</t>
        </is>
      </c>
      <c r="C843" t="inlineStr">
        <is>
          <t>Продажа · Коммерческая · Торговая площадь</t>
        </is>
      </c>
      <c r="D843" t="inlineStr">
        <is>
          <t>Топ, ₽/сут</t>
        </is>
      </c>
      <c r="E843" t="n">
        <v>314</v>
      </c>
    </row>
    <row r="844">
      <c r="A844" t="inlineStr">
        <is>
          <t>CIAN</t>
        </is>
      </c>
      <c r="B844" t="inlineStr">
        <is>
          <t>Новосибирск</t>
        </is>
      </c>
      <c r="C844" t="inlineStr">
        <is>
          <t>Продажа · Коммерческая · Торговая площадь</t>
        </is>
      </c>
      <c r="D844" t="inlineStr">
        <is>
          <t>Премиум, ₽/сут</t>
        </is>
      </c>
      <c r="E844" t="n">
        <v>145</v>
      </c>
    </row>
    <row r="845">
      <c r="A845" t="inlineStr">
        <is>
          <t>CIAN</t>
        </is>
      </c>
      <c r="B845" t="inlineStr">
        <is>
          <t>Новосибирск</t>
        </is>
      </c>
      <c r="C845" t="inlineStr">
        <is>
          <t>Продажа · Коммерческая · Торговая площадь</t>
        </is>
      </c>
      <c r="D845" t="inlineStr">
        <is>
          <t>Стандарт, ₽/сут</t>
        </is>
      </c>
      <c r="E845" t="n">
        <v>44</v>
      </c>
    </row>
    <row r="846">
      <c r="A846" t="inlineStr">
        <is>
          <t>CIAN</t>
        </is>
      </c>
      <c r="B846" t="inlineStr">
        <is>
          <t>Екатеринбург</t>
        </is>
      </c>
      <c r="C846" t="inlineStr">
        <is>
          <t>Продажа · Коммерческая · Торговая площадь</t>
        </is>
      </c>
      <c r="D846" t="inlineStr">
        <is>
          <t>Публикация, ₽/30 дн</t>
        </is>
      </c>
      <c r="E846" t="n">
        <v>1122</v>
      </c>
    </row>
    <row r="847">
      <c r="A847" t="inlineStr">
        <is>
          <t>CIAN</t>
        </is>
      </c>
      <c r="B847" t="inlineStr">
        <is>
          <t>Екатеринбург</t>
        </is>
      </c>
      <c r="C847" t="inlineStr">
        <is>
          <t>Продажа · Коммерческая · Торговая площадь</t>
        </is>
      </c>
      <c r="D847" t="inlineStr">
        <is>
          <t>Топ, ₽/сут</t>
        </is>
      </c>
      <c r="E847" t="n">
        <v>437</v>
      </c>
    </row>
    <row r="848">
      <c r="A848" t="inlineStr">
        <is>
          <t>CIAN</t>
        </is>
      </c>
      <c r="B848" t="inlineStr">
        <is>
          <t>Екатеринбург</t>
        </is>
      </c>
      <c r="C848" t="inlineStr">
        <is>
          <t>Продажа · Коммерческая · Торговая площадь</t>
        </is>
      </c>
      <c r="D848" t="inlineStr">
        <is>
          <t>Премиум, ₽/сут</t>
        </is>
      </c>
      <c r="E848" t="n">
        <v>231</v>
      </c>
    </row>
    <row r="849">
      <c r="A849" t="inlineStr">
        <is>
          <t>CIAN</t>
        </is>
      </c>
      <c r="B849" t="inlineStr">
        <is>
          <t>Екатеринбург</t>
        </is>
      </c>
      <c r="C849" t="inlineStr">
        <is>
          <t>Продажа · Коммерческая · Торговая площадь</t>
        </is>
      </c>
      <c r="D849" t="inlineStr">
        <is>
          <t>Стандарт, ₽/сут</t>
        </is>
      </c>
      <c r="E849" t="n">
        <v>71</v>
      </c>
    </row>
    <row r="850">
      <c r="A850" t="inlineStr">
        <is>
          <t>CIAN</t>
        </is>
      </c>
      <c r="B850" t="inlineStr">
        <is>
          <t>Казань</t>
        </is>
      </c>
      <c r="C850" t="inlineStr">
        <is>
          <t>Продажа · Коммерческая · Торговая площадь</t>
        </is>
      </c>
      <c r="D850" t="inlineStr">
        <is>
          <t>Публикация, ₽/30 дн</t>
        </is>
      </c>
      <c r="E850" t="n">
        <v>516</v>
      </c>
    </row>
    <row r="851">
      <c r="A851" t="inlineStr">
        <is>
          <t>CIAN</t>
        </is>
      </c>
      <c r="B851" t="inlineStr">
        <is>
          <t>Казань</t>
        </is>
      </c>
      <c r="C851" t="inlineStr">
        <is>
          <t>Продажа · Коммерческая · Торговая площадь</t>
        </is>
      </c>
      <c r="D851" t="inlineStr">
        <is>
          <t>Топ, ₽/сут</t>
        </is>
      </c>
      <c r="E851" t="n">
        <v>149</v>
      </c>
    </row>
    <row r="852">
      <c r="A852" t="inlineStr">
        <is>
          <t>CIAN</t>
        </is>
      </c>
      <c r="B852" t="inlineStr">
        <is>
          <t>Казань</t>
        </is>
      </c>
      <c r="C852" t="inlineStr">
        <is>
          <t>Продажа · Коммерческая · Торговая площадь</t>
        </is>
      </c>
      <c r="D852" t="inlineStr">
        <is>
          <t>Премиум, ₽/сут</t>
        </is>
      </c>
      <c r="E852" t="n">
        <v>66</v>
      </c>
    </row>
    <row r="853">
      <c r="A853" t="inlineStr">
        <is>
          <t>CIAN</t>
        </is>
      </c>
      <c r="B853" t="inlineStr">
        <is>
          <t>Казань</t>
        </is>
      </c>
      <c r="C853" t="inlineStr">
        <is>
          <t>Продажа · Коммерческая · Торговая площадь</t>
        </is>
      </c>
      <c r="D853" t="inlineStr">
        <is>
          <t>Стандарт, ₽/сут</t>
        </is>
      </c>
      <c r="E853" t="n">
        <v>20</v>
      </c>
    </row>
    <row r="854">
      <c r="A854" t="inlineStr">
        <is>
          <t>CIAN</t>
        </is>
      </c>
      <c r="B854" t="inlineStr">
        <is>
          <t>Красноярск</t>
        </is>
      </c>
      <c r="C854" t="inlineStr">
        <is>
          <t>Продажа · Коммерческая · Торговая площадь</t>
        </is>
      </c>
      <c r="D854" t="inlineStr">
        <is>
          <t>Публикация, ₽/30 дн</t>
        </is>
      </c>
      <c r="E854" t="n">
        <v>642</v>
      </c>
    </row>
    <row r="855">
      <c r="A855" t="inlineStr">
        <is>
          <t>CIAN</t>
        </is>
      </c>
      <c r="B855" t="inlineStr">
        <is>
          <t>Красноярск</t>
        </is>
      </c>
      <c r="C855" t="inlineStr">
        <is>
          <t>Продажа · Коммерческая · Торговая площадь</t>
        </is>
      </c>
      <c r="D855" t="inlineStr">
        <is>
          <t>Топ, ₽/сут</t>
        </is>
      </c>
      <c r="E855" t="inlineStr">
        <is>
          <t>—</t>
        </is>
      </c>
    </row>
    <row r="856">
      <c r="A856" t="inlineStr">
        <is>
          <t>CIAN</t>
        </is>
      </c>
      <c r="B856" t="inlineStr">
        <is>
          <t>Красноярск</t>
        </is>
      </c>
      <c r="C856" t="inlineStr">
        <is>
          <t>Продажа · Коммерческая · Торговая площадь</t>
        </is>
      </c>
      <c r="D856" t="inlineStr">
        <is>
          <t>Премиум, ₽/сут</t>
        </is>
      </c>
      <c r="E856" t="inlineStr">
        <is>
          <t>—</t>
        </is>
      </c>
    </row>
    <row r="857">
      <c r="A857" t="inlineStr">
        <is>
          <t>CIAN</t>
        </is>
      </c>
      <c r="B857" t="inlineStr">
        <is>
          <t>Красноярск</t>
        </is>
      </c>
      <c r="C857" t="inlineStr">
        <is>
          <t>Продажа · Коммерческая · Торговая площадь</t>
        </is>
      </c>
      <c r="D857" t="inlineStr">
        <is>
          <t>Стандарт, ₽/сут</t>
        </is>
      </c>
      <c r="E857" t="inlineStr">
        <is>
          <t>—</t>
        </is>
      </c>
    </row>
    <row r="858">
      <c r="A858" t="inlineStr">
        <is>
          <t>CIAN</t>
        </is>
      </c>
      <c r="B858" t="inlineStr">
        <is>
          <t>Нижний Новгород</t>
        </is>
      </c>
      <c r="C858" t="inlineStr">
        <is>
          <t>Продажа · Коммерческая · Торговая площадь</t>
        </is>
      </c>
      <c r="D858" t="inlineStr">
        <is>
          <t>Публикация, ₽/30 дн</t>
        </is>
      </c>
      <c r="E858" t="n">
        <v>294</v>
      </c>
    </row>
    <row r="859">
      <c r="A859" t="inlineStr">
        <is>
          <t>CIAN</t>
        </is>
      </c>
      <c r="B859" t="inlineStr">
        <is>
          <t>Нижний Новгород</t>
        </is>
      </c>
      <c r="C859" t="inlineStr">
        <is>
          <t>Продажа · Коммерческая · Торговая площадь</t>
        </is>
      </c>
      <c r="D859" t="inlineStr">
        <is>
          <t>Топ, ₽/сут</t>
        </is>
      </c>
      <c r="E859" t="n">
        <v>148</v>
      </c>
    </row>
    <row r="860">
      <c r="A860" t="inlineStr">
        <is>
          <t>CIAN</t>
        </is>
      </c>
      <c r="B860" t="inlineStr">
        <is>
          <t>Нижний Новгород</t>
        </is>
      </c>
      <c r="C860" t="inlineStr">
        <is>
          <t>Продажа · Коммерческая · Торговая площадь</t>
        </is>
      </c>
      <c r="D860" t="inlineStr">
        <is>
          <t>Премиум, ₽/сут</t>
        </is>
      </c>
      <c r="E860" t="n">
        <v>66</v>
      </c>
    </row>
    <row r="861">
      <c r="A861" t="inlineStr">
        <is>
          <t>CIAN</t>
        </is>
      </c>
      <c r="B861" t="inlineStr">
        <is>
          <t>Нижний Новгород</t>
        </is>
      </c>
      <c r="C861" t="inlineStr">
        <is>
          <t>Продажа · Коммерческая · Торговая площадь</t>
        </is>
      </c>
      <c r="D861" t="inlineStr">
        <is>
          <t>Стандарт, ₽/сут</t>
        </is>
      </c>
      <c r="E861" t="n">
        <v>21</v>
      </c>
    </row>
    <row r="862">
      <c r="A862" t="inlineStr">
        <is>
          <t>CIAN</t>
        </is>
      </c>
      <c r="B862" t="inlineStr">
        <is>
          <t>Челябинск</t>
        </is>
      </c>
      <c r="C862" t="inlineStr">
        <is>
          <t>Продажа · Коммерческая · Торговая площадь</t>
        </is>
      </c>
      <c r="D862" t="inlineStr">
        <is>
          <t>Публикация, ₽/30 дн</t>
        </is>
      </c>
      <c r="E862" t="n">
        <v>411</v>
      </c>
    </row>
    <row r="863">
      <c r="A863" t="inlineStr">
        <is>
          <t>CIAN</t>
        </is>
      </c>
      <c r="B863" t="inlineStr">
        <is>
          <t>Челябинск</t>
        </is>
      </c>
      <c r="C863" t="inlineStr">
        <is>
          <t>Продажа · Коммерческая · Торговая площадь</t>
        </is>
      </c>
      <c r="D863" t="inlineStr">
        <is>
          <t>Топ, ₽/сут</t>
        </is>
      </c>
      <c r="E863" t="n">
        <v>265</v>
      </c>
    </row>
    <row r="864">
      <c r="A864" t="inlineStr">
        <is>
          <t>CIAN</t>
        </is>
      </c>
      <c r="B864" t="inlineStr">
        <is>
          <t>Челябинск</t>
        </is>
      </c>
      <c r="C864" t="inlineStr">
        <is>
          <t>Продажа · Коммерческая · Торговая площадь</t>
        </is>
      </c>
      <c r="D864" t="inlineStr">
        <is>
          <t>Премиум, ₽/сут</t>
        </is>
      </c>
      <c r="E864" t="n">
        <v>124</v>
      </c>
    </row>
    <row r="865">
      <c r="A865" t="inlineStr">
        <is>
          <t>CIAN</t>
        </is>
      </c>
      <c r="B865" t="inlineStr">
        <is>
          <t>Челябинск</t>
        </is>
      </c>
      <c r="C865" t="inlineStr">
        <is>
          <t>Продажа · Коммерческая · Торговая площадь</t>
        </is>
      </c>
      <c r="D865" t="inlineStr">
        <is>
          <t>Стандарт, ₽/сут</t>
        </is>
      </c>
      <c r="E865" t="n">
        <v>39</v>
      </c>
    </row>
    <row r="866">
      <c r="A866" t="inlineStr">
        <is>
          <t>CIAN</t>
        </is>
      </c>
      <c r="B866" t="inlineStr">
        <is>
          <t>Уфа</t>
        </is>
      </c>
      <c r="C866" t="inlineStr">
        <is>
          <t>Продажа · Коммерческая · Торговая площадь</t>
        </is>
      </c>
      <c r="D866" t="inlineStr">
        <is>
          <t>Публикация, ₽/30 дн</t>
        </is>
      </c>
      <c r="E866" t="n">
        <v>543</v>
      </c>
    </row>
    <row r="867">
      <c r="A867" t="inlineStr">
        <is>
          <t>CIAN</t>
        </is>
      </c>
      <c r="B867" t="inlineStr">
        <is>
          <t>Уфа</t>
        </is>
      </c>
      <c r="C867" t="inlineStr">
        <is>
          <t>Продажа · Коммерческая · Торговая площадь</t>
        </is>
      </c>
      <c r="D867" t="inlineStr">
        <is>
          <t>Топ, ₽/сут</t>
        </is>
      </c>
      <c r="E867" t="n">
        <v>142</v>
      </c>
    </row>
    <row r="868">
      <c r="A868" t="inlineStr">
        <is>
          <t>CIAN</t>
        </is>
      </c>
      <c r="B868" t="inlineStr">
        <is>
          <t>Уфа</t>
        </is>
      </c>
      <c r="C868" t="inlineStr">
        <is>
          <t>Продажа · Коммерческая · Торговая площадь</t>
        </is>
      </c>
      <c r="D868" t="inlineStr">
        <is>
          <t>Премиум, ₽/сут</t>
        </is>
      </c>
      <c r="E868" t="n">
        <v>65</v>
      </c>
    </row>
    <row r="869">
      <c r="A869" t="inlineStr">
        <is>
          <t>CIAN</t>
        </is>
      </c>
      <c r="B869" t="inlineStr">
        <is>
          <t>Уфа</t>
        </is>
      </c>
      <c r="C869" t="inlineStr">
        <is>
          <t>Продажа · Коммерческая · Торговая площадь</t>
        </is>
      </c>
      <c r="D869" t="inlineStr">
        <is>
          <t>Стандарт, ₽/сут</t>
        </is>
      </c>
      <c r="E869" t="n">
        <v>21</v>
      </c>
    </row>
    <row r="870">
      <c r="A870" t="inlineStr">
        <is>
          <t>CIAN</t>
        </is>
      </c>
      <c r="B870" t="inlineStr">
        <is>
          <t>Краснодар</t>
        </is>
      </c>
      <c r="C870" t="inlineStr">
        <is>
          <t>Продажа · Коммерческая · Торговая площадь</t>
        </is>
      </c>
      <c r="D870" t="inlineStr">
        <is>
          <t>Публикация, ₽/30 дн</t>
        </is>
      </c>
      <c r="E870" t="n">
        <v>369</v>
      </c>
    </row>
    <row r="871">
      <c r="A871" t="inlineStr">
        <is>
          <t>CIAN</t>
        </is>
      </c>
      <c r="B871" t="inlineStr">
        <is>
          <t>Краснодар</t>
        </is>
      </c>
      <c r="C871" t="inlineStr">
        <is>
          <t>Продажа · Коммерческая · Торговая площадь</t>
        </is>
      </c>
      <c r="D871" t="inlineStr">
        <is>
          <t>Топ, ₽/сут</t>
        </is>
      </c>
      <c r="E871" t="n">
        <v>142</v>
      </c>
    </row>
    <row r="872">
      <c r="A872" t="inlineStr">
        <is>
          <t>CIAN</t>
        </is>
      </c>
      <c r="B872" t="inlineStr">
        <is>
          <t>Краснодар</t>
        </is>
      </c>
      <c r="C872" t="inlineStr">
        <is>
          <t>Продажа · Коммерческая · Торговая площадь</t>
        </is>
      </c>
      <c r="D872" t="inlineStr">
        <is>
          <t>Премиум, ₽/сут</t>
        </is>
      </c>
      <c r="E872" t="n">
        <v>65</v>
      </c>
    </row>
    <row r="873">
      <c r="A873" t="inlineStr">
        <is>
          <t>CIAN</t>
        </is>
      </c>
      <c r="B873" t="inlineStr">
        <is>
          <t>Краснодар</t>
        </is>
      </c>
      <c r="C873" t="inlineStr">
        <is>
          <t>Продажа · Коммерческая · Торговая площадь</t>
        </is>
      </c>
      <c r="D873" t="inlineStr">
        <is>
          <t>Стандарт, ₽/сут</t>
        </is>
      </c>
      <c r="E873" t="n">
        <v>20</v>
      </c>
    </row>
    <row r="874">
      <c r="A874" t="inlineStr">
        <is>
          <t>CIAN</t>
        </is>
      </c>
      <c r="B874" t="inlineStr">
        <is>
          <t>Самара</t>
        </is>
      </c>
      <c r="C874" t="inlineStr">
        <is>
          <t>Продажа · Коммерческая · Торговая площадь</t>
        </is>
      </c>
      <c r="D874" t="inlineStr">
        <is>
          <t>Публикация, ₽/30 дн</t>
        </is>
      </c>
      <c r="E874" t="n">
        <v>234</v>
      </c>
    </row>
    <row r="875">
      <c r="A875" t="inlineStr">
        <is>
          <t>CIAN</t>
        </is>
      </c>
      <c r="B875" t="inlineStr">
        <is>
          <t>Самара</t>
        </is>
      </c>
      <c r="C875" t="inlineStr">
        <is>
          <t>Продажа · Коммерческая · Торговая площадь</t>
        </is>
      </c>
      <c r="D875" t="inlineStr">
        <is>
          <t>Топ, ₽/сут</t>
        </is>
      </c>
      <c r="E875" t="inlineStr">
        <is>
          <t>—</t>
        </is>
      </c>
    </row>
    <row r="876">
      <c r="A876" t="inlineStr">
        <is>
          <t>CIAN</t>
        </is>
      </c>
      <c r="B876" t="inlineStr">
        <is>
          <t>Самара</t>
        </is>
      </c>
      <c r="C876" t="inlineStr">
        <is>
          <t>Продажа · Коммерческая · Торговая площадь</t>
        </is>
      </c>
      <c r="D876" t="inlineStr">
        <is>
          <t>Премиум, ₽/сут</t>
        </is>
      </c>
      <c r="E876" t="inlineStr">
        <is>
          <t>—</t>
        </is>
      </c>
    </row>
    <row r="877">
      <c r="A877" t="inlineStr">
        <is>
          <t>CIAN</t>
        </is>
      </c>
      <c r="B877" t="inlineStr">
        <is>
          <t>Самара</t>
        </is>
      </c>
      <c r="C877" t="inlineStr">
        <is>
          <t>Продажа · Коммерческая · Торговая площадь</t>
        </is>
      </c>
      <c r="D877" t="inlineStr">
        <is>
          <t>Стандарт, ₽/сут</t>
        </is>
      </c>
      <c r="E877" t="inlineStr">
        <is>
          <t>—</t>
        </is>
      </c>
    </row>
    <row r="878">
      <c r="A878" t="inlineStr">
        <is>
          <t>CIAN</t>
        </is>
      </c>
      <c r="B878" t="inlineStr">
        <is>
          <t>Ростов-на-Дону</t>
        </is>
      </c>
      <c r="C878" t="inlineStr">
        <is>
          <t>Продажа · Коммерческая · Торговая площадь</t>
        </is>
      </c>
      <c r="D878" t="inlineStr">
        <is>
          <t>Публикация, ₽/30 дн</t>
        </is>
      </c>
      <c r="E878" t="n">
        <v>438</v>
      </c>
    </row>
    <row r="879">
      <c r="A879" t="inlineStr">
        <is>
          <t>CIAN</t>
        </is>
      </c>
      <c r="B879" t="inlineStr">
        <is>
          <t>Ростов-на-Дону</t>
        </is>
      </c>
      <c r="C879" t="inlineStr">
        <is>
          <t>Продажа · Коммерческая · Торговая площадь</t>
        </is>
      </c>
      <c r="D879" t="inlineStr">
        <is>
          <t>Топ, ₽/сут</t>
        </is>
      </c>
      <c r="E879" t="n">
        <v>128</v>
      </c>
    </row>
    <row r="880">
      <c r="A880" t="inlineStr">
        <is>
          <t>CIAN</t>
        </is>
      </c>
      <c r="B880" t="inlineStr">
        <is>
          <t>Ростов-на-Дону</t>
        </is>
      </c>
      <c r="C880" t="inlineStr">
        <is>
          <t>Продажа · Коммерческая · Торговая площадь</t>
        </is>
      </c>
      <c r="D880" t="inlineStr">
        <is>
          <t>Премиум, ₽/сут</t>
        </is>
      </c>
      <c r="E880" t="n">
        <v>54</v>
      </c>
    </row>
    <row r="881">
      <c r="A881" t="inlineStr">
        <is>
          <t>CIAN</t>
        </is>
      </c>
      <c r="B881" t="inlineStr">
        <is>
          <t>Ростов-на-Дону</t>
        </is>
      </c>
      <c r="C881" t="inlineStr">
        <is>
          <t>Продажа · Коммерческая · Торговая площадь</t>
        </is>
      </c>
      <c r="D881" t="inlineStr">
        <is>
          <t>Стандарт, ₽/сут</t>
        </is>
      </c>
      <c r="E881" t="n">
        <v>15</v>
      </c>
    </row>
    <row r="882">
      <c r="A882" t="inlineStr">
        <is>
          <t>CIAN</t>
        </is>
      </c>
      <c r="B882" t="inlineStr">
        <is>
          <t>Омск</t>
        </is>
      </c>
      <c r="C882" t="inlineStr">
        <is>
          <t>Продажа · Коммерческая · Торговая площадь</t>
        </is>
      </c>
      <c r="D882" t="inlineStr">
        <is>
          <t>Публикация, ₽/30 дн</t>
        </is>
      </c>
      <c r="E882" t="n">
        <v>294</v>
      </c>
    </row>
    <row r="883">
      <c r="A883" t="inlineStr">
        <is>
          <t>CIAN</t>
        </is>
      </c>
      <c r="B883" t="inlineStr">
        <is>
          <t>Омск</t>
        </is>
      </c>
      <c r="C883" t="inlineStr">
        <is>
          <t>Продажа · Коммерческая · Торговая площадь</t>
        </is>
      </c>
      <c r="D883" t="inlineStr">
        <is>
          <t>Топ, ₽/сут</t>
        </is>
      </c>
      <c r="E883" t="n">
        <v>356</v>
      </c>
    </row>
    <row r="884">
      <c r="A884" t="inlineStr">
        <is>
          <t>CIAN</t>
        </is>
      </c>
      <c r="B884" t="inlineStr">
        <is>
          <t>Омск</t>
        </is>
      </c>
      <c r="C884" t="inlineStr">
        <is>
          <t>Продажа · Коммерческая · Торговая площадь</t>
        </is>
      </c>
      <c r="D884" t="inlineStr">
        <is>
          <t>Премиум, ₽/сут</t>
        </is>
      </c>
      <c r="E884" t="n">
        <v>194</v>
      </c>
    </row>
    <row r="885">
      <c r="A885" t="inlineStr">
        <is>
          <t>CIAN</t>
        </is>
      </c>
      <c r="B885" t="inlineStr">
        <is>
          <t>Омск</t>
        </is>
      </c>
      <c r="C885" t="inlineStr">
        <is>
          <t>Продажа · Коммерческая · Торговая площадь</t>
        </is>
      </c>
      <c r="D885" t="inlineStr">
        <is>
          <t>Стандарт, ₽/сут</t>
        </is>
      </c>
      <c r="E885" t="n">
        <v>66</v>
      </c>
    </row>
    <row r="886">
      <c r="A886" t="inlineStr">
        <is>
          <t>CIAN</t>
        </is>
      </c>
      <c r="B886" t="inlineStr">
        <is>
          <t>Воронеж</t>
        </is>
      </c>
      <c r="C886" t="inlineStr">
        <is>
          <t>Продажа · Коммерческая · Торговая площадь</t>
        </is>
      </c>
      <c r="D886" t="inlineStr">
        <is>
          <t>Публикация, ₽/30 дн</t>
        </is>
      </c>
      <c r="E886" t="n">
        <v>159</v>
      </c>
    </row>
    <row r="887">
      <c r="A887" t="inlineStr">
        <is>
          <t>CIAN</t>
        </is>
      </c>
      <c r="B887" t="inlineStr">
        <is>
          <t>Воронеж</t>
        </is>
      </c>
      <c r="C887" t="inlineStr">
        <is>
          <t>Продажа · Коммерческая · Торговая площадь</t>
        </is>
      </c>
      <c r="D887" t="inlineStr">
        <is>
          <t>Топ, ₽/сут</t>
        </is>
      </c>
      <c r="E887" t="inlineStr">
        <is>
          <t>—</t>
        </is>
      </c>
    </row>
    <row r="888">
      <c r="A888" t="inlineStr">
        <is>
          <t>CIAN</t>
        </is>
      </c>
      <c r="B888" t="inlineStr">
        <is>
          <t>Воронеж</t>
        </is>
      </c>
      <c r="C888" t="inlineStr">
        <is>
          <t>Продажа · Коммерческая · Торговая площадь</t>
        </is>
      </c>
      <c r="D888" t="inlineStr">
        <is>
          <t>Премиум, ₽/сут</t>
        </is>
      </c>
      <c r="E888" t="inlineStr">
        <is>
          <t>—</t>
        </is>
      </c>
    </row>
    <row r="889">
      <c r="A889" t="inlineStr">
        <is>
          <t>CIAN</t>
        </is>
      </c>
      <c r="B889" t="inlineStr">
        <is>
          <t>Воронеж</t>
        </is>
      </c>
      <c r="C889" t="inlineStr">
        <is>
          <t>Продажа · Коммерческая · Торговая площадь</t>
        </is>
      </c>
      <c r="D889" t="inlineStr">
        <is>
          <t>Стандарт, ₽/сут</t>
        </is>
      </c>
      <c r="E889" t="inlineStr">
        <is>
          <t>—</t>
        </is>
      </c>
    </row>
    <row r="890">
      <c r="A890" t="inlineStr">
        <is>
          <t>CIAN</t>
        </is>
      </c>
      <c r="B890" t="inlineStr">
        <is>
          <t>Пермь</t>
        </is>
      </c>
      <c r="C890" t="inlineStr">
        <is>
          <t>Продажа · Коммерческая · Торговая площадь</t>
        </is>
      </c>
      <c r="D890" t="inlineStr">
        <is>
          <t>Публикация, ₽/30 дн</t>
        </is>
      </c>
      <c r="E890" t="n">
        <v>39</v>
      </c>
    </row>
    <row r="891">
      <c r="A891" t="inlineStr">
        <is>
          <t>CIAN</t>
        </is>
      </c>
      <c r="B891" t="inlineStr">
        <is>
          <t>Пермь</t>
        </is>
      </c>
      <c r="C891" t="inlineStr">
        <is>
          <t>Продажа · Коммерческая · Торговая площадь</t>
        </is>
      </c>
      <c r="D891" t="inlineStr">
        <is>
          <t>Топ, ₽/сут</t>
        </is>
      </c>
      <c r="E891" t="inlineStr">
        <is>
          <t>—</t>
        </is>
      </c>
    </row>
    <row r="892">
      <c r="A892" t="inlineStr">
        <is>
          <t>CIAN</t>
        </is>
      </c>
      <c r="B892" t="inlineStr">
        <is>
          <t>Пермь</t>
        </is>
      </c>
      <c r="C892" t="inlineStr">
        <is>
          <t>Продажа · Коммерческая · Торговая площадь</t>
        </is>
      </c>
      <c r="D892" t="inlineStr">
        <is>
          <t>Премиум, ₽/сут</t>
        </is>
      </c>
      <c r="E892" t="inlineStr">
        <is>
          <t>—</t>
        </is>
      </c>
    </row>
    <row r="893">
      <c r="A893" t="inlineStr">
        <is>
          <t>CIAN</t>
        </is>
      </c>
      <c r="B893" t="inlineStr">
        <is>
          <t>Пермь</t>
        </is>
      </c>
      <c r="C893" t="inlineStr">
        <is>
          <t>Продажа · Коммерческая · Торговая площадь</t>
        </is>
      </c>
      <c r="D893" t="inlineStr">
        <is>
          <t>Стандарт, ₽/сут</t>
        </is>
      </c>
      <c r="E893" t="inlineStr">
        <is>
          <t>—</t>
        </is>
      </c>
    </row>
    <row r="894">
      <c r="A894" t="inlineStr">
        <is>
          <t>CIAN</t>
        </is>
      </c>
      <c r="B894" t="inlineStr">
        <is>
          <t>Волгоград</t>
        </is>
      </c>
      <c r="C894" t="inlineStr">
        <is>
          <t>Продажа · Коммерческая · Торговая площадь</t>
        </is>
      </c>
      <c r="D894" t="inlineStr">
        <is>
          <t>Публикация, ₽/30 дн</t>
        </is>
      </c>
      <c r="E894" t="n">
        <v>543</v>
      </c>
    </row>
    <row r="895">
      <c r="A895" t="inlineStr">
        <is>
          <t>CIAN</t>
        </is>
      </c>
      <c r="B895" t="inlineStr">
        <is>
          <t>Волгоград</t>
        </is>
      </c>
      <c r="C895" t="inlineStr">
        <is>
          <t>Продажа · Коммерческая · Торговая площадь</t>
        </is>
      </c>
      <c r="D895" t="inlineStr">
        <is>
          <t>Топ, ₽/сут</t>
        </is>
      </c>
      <c r="E895" t="inlineStr">
        <is>
          <t>—</t>
        </is>
      </c>
    </row>
    <row r="896">
      <c r="A896" t="inlineStr">
        <is>
          <t>CIAN</t>
        </is>
      </c>
      <c r="B896" t="inlineStr">
        <is>
          <t>Волгоград</t>
        </is>
      </c>
      <c r="C896" t="inlineStr">
        <is>
          <t>Продажа · Коммерческая · Торговая площадь</t>
        </is>
      </c>
      <c r="D896" t="inlineStr">
        <is>
          <t>Премиум, ₽/сут</t>
        </is>
      </c>
      <c r="E896" t="inlineStr">
        <is>
          <t>—</t>
        </is>
      </c>
    </row>
    <row r="897">
      <c r="A897" t="inlineStr">
        <is>
          <t>CIAN</t>
        </is>
      </c>
      <c r="B897" t="inlineStr">
        <is>
          <t>Волгоград</t>
        </is>
      </c>
      <c r="C897" t="inlineStr">
        <is>
          <t>Продажа · Коммерческая · Торговая площадь</t>
        </is>
      </c>
      <c r="D897" t="inlineStr">
        <is>
          <t>Стандарт, ₽/сут</t>
        </is>
      </c>
      <c r="E897" t="inlineStr">
        <is>
          <t>—</t>
        </is>
      </c>
    </row>
    <row r="898">
      <c r="A898" t="inlineStr">
        <is>
          <t>CIAN</t>
        </is>
      </c>
      <c r="B898" t="inlineStr">
        <is>
          <t>Москва</t>
        </is>
      </c>
      <c r="C898" t="inlineStr">
        <is>
          <t>Продажа · Коммерческая · Предприятие сферы услуг</t>
        </is>
      </c>
      <c r="D898" t="inlineStr">
        <is>
          <t>Публикация, ₽/30 дн</t>
        </is>
      </c>
      <c r="E898" t="n">
        <v>3420</v>
      </c>
    </row>
    <row r="899">
      <c r="A899" t="inlineStr">
        <is>
          <t>CIAN</t>
        </is>
      </c>
      <c r="B899" t="inlineStr">
        <is>
          <t>Москва</t>
        </is>
      </c>
      <c r="C899" t="inlineStr">
        <is>
          <t>Продажа · Коммерческая · Предприятие сферы услуг</t>
        </is>
      </c>
      <c r="D899" t="inlineStr">
        <is>
          <t>Топ, ₽/сут</t>
        </is>
      </c>
      <c r="E899" t="n">
        <v>1090</v>
      </c>
    </row>
    <row r="900">
      <c r="A900" t="inlineStr">
        <is>
          <t>CIAN</t>
        </is>
      </c>
      <c r="B900" t="inlineStr">
        <is>
          <t>Москва</t>
        </is>
      </c>
      <c r="C900" t="inlineStr">
        <is>
          <t>Продажа · Коммерческая · Предприятие сферы услуг</t>
        </is>
      </c>
      <c r="D900" t="inlineStr">
        <is>
          <t>Премиум, ₽/сут</t>
        </is>
      </c>
      <c r="E900" t="n">
        <v>450</v>
      </c>
    </row>
    <row r="901">
      <c r="A901" t="inlineStr">
        <is>
          <t>CIAN</t>
        </is>
      </c>
      <c r="B901" t="inlineStr">
        <is>
          <t>Москва</t>
        </is>
      </c>
      <c r="C901" t="inlineStr">
        <is>
          <t>Продажа · Коммерческая · Предприятие сферы услуг</t>
        </is>
      </c>
      <c r="D901" t="inlineStr">
        <is>
          <t>Стандарт, ₽/сут</t>
        </is>
      </c>
      <c r="E901" t="n">
        <v>372</v>
      </c>
    </row>
    <row r="902">
      <c r="A902" t="inlineStr">
        <is>
          <t>CIAN</t>
        </is>
      </c>
      <c r="B902" t="inlineStr">
        <is>
          <t>Санкт-Петербург</t>
        </is>
      </c>
      <c r="C902" t="inlineStr">
        <is>
          <t>Продажа · Коммерческая · Предприятие сферы услуг</t>
        </is>
      </c>
      <c r="D902" t="inlineStr">
        <is>
          <t>Публикация, ₽/30 дн</t>
        </is>
      </c>
      <c r="E902" t="n">
        <v>1893</v>
      </c>
    </row>
    <row r="903">
      <c r="A903" t="inlineStr">
        <is>
          <t>CIAN</t>
        </is>
      </c>
      <c r="B903" t="inlineStr">
        <is>
          <t>Санкт-Петербург</t>
        </is>
      </c>
      <c r="C903" t="inlineStr">
        <is>
          <t>Продажа · Коммерческая · Предприятие сферы услуг</t>
        </is>
      </c>
      <c r="D903" t="inlineStr">
        <is>
          <t>Топ, ₽/сут</t>
        </is>
      </c>
      <c r="E903" t="n">
        <v>662</v>
      </c>
    </row>
    <row r="904">
      <c r="A904" t="inlineStr">
        <is>
          <t>CIAN</t>
        </is>
      </c>
      <c r="B904" t="inlineStr">
        <is>
          <t>Санкт-Петербург</t>
        </is>
      </c>
      <c r="C904" t="inlineStr">
        <is>
          <t>Продажа · Коммерческая · Предприятие сферы услуг</t>
        </is>
      </c>
      <c r="D904" t="inlineStr">
        <is>
          <t>Премиум, ₽/сут</t>
        </is>
      </c>
      <c r="E904" t="n">
        <v>280</v>
      </c>
    </row>
    <row r="905">
      <c r="A905" t="inlineStr">
        <is>
          <t>CIAN</t>
        </is>
      </c>
      <c r="B905" t="inlineStr">
        <is>
          <t>Санкт-Петербург</t>
        </is>
      </c>
      <c r="C905" t="inlineStr">
        <is>
          <t>Продажа · Коммерческая · Предприятие сферы услуг</t>
        </is>
      </c>
      <c r="D905" t="inlineStr">
        <is>
          <t>Стандарт, ₽/сут</t>
        </is>
      </c>
      <c r="E905" t="n">
        <v>87</v>
      </c>
    </row>
    <row r="906">
      <c r="A906" t="inlineStr">
        <is>
          <t>CIAN</t>
        </is>
      </c>
      <c r="B906" t="inlineStr">
        <is>
          <t>Новосибирск</t>
        </is>
      </c>
      <c r="C906" t="inlineStr">
        <is>
          <t>Продажа · Коммерческая · Предприятие сферы услуг</t>
        </is>
      </c>
      <c r="D906" t="inlineStr">
        <is>
          <t>Публикация, ₽/30 дн</t>
        </is>
      </c>
      <c r="E906" t="n">
        <v>1530</v>
      </c>
    </row>
    <row r="907">
      <c r="A907" t="inlineStr">
        <is>
          <t>CIAN</t>
        </is>
      </c>
      <c r="B907" t="inlineStr">
        <is>
          <t>Новосибирск</t>
        </is>
      </c>
      <c r="C907" t="inlineStr">
        <is>
          <t>Продажа · Коммерческая · Предприятие сферы услуг</t>
        </is>
      </c>
      <c r="D907" t="inlineStr">
        <is>
          <t>Топ, ₽/сут</t>
        </is>
      </c>
      <c r="E907" t="n">
        <v>419</v>
      </c>
    </row>
    <row r="908">
      <c r="A908" t="inlineStr">
        <is>
          <t>CIAN</t>
        </is>
      </c>
      <c r="B908" t="inlineStr">
        <is>
          <t>Новосибирск</t>
        </is>
      </c>
      <c r="C908" t="inlineStr">
        <is>
          <t>Продажа · Коммерческая · Предприятие сферы услуг</t>
        </is>
      </c>
      <c r="D908" t="inlineStr">
        <is>
          <t>Премиум, ₽/сут</t>
        </is>
      </c>
      <c r="E908" t="n">
        <v>190</v>
      </c>
    </row>
    <row r="909">
      <c r="A909" t="inlineStr">
        <is>
          <t>CIAN</t>
        </is>
      </c>
      <c r="B909" t="inlineStr">
        <is>
          <t>Новосибирск</t>
        </is>
      </c>
      <c r="C909" t="inlineStr">
        <is>
          <t>Продажа · Коммерческая · Предприятие сферы услуг</t>
        </is>
      </c>
      <c r="D909" t="inlineStr">
        <is>
          <t>Стандарт, ₽/сут</t>
        </is>
      </c>
      <c r="E909" t="n">
        <v>56</v>
      </c>
    </row>
    <row r="910">
      <c r="A910" t="inlineStr">
        <is>
          <t>CIAN</t>
        </is>
      </c>
      <c r="B910" t="inlineStr">
        <is>
          <t>Екатеринбург</t>
        </is>
      </c>
      <c r="C910" t="inlineStr">
        <is>
          <t>Продажа · Коммерческая · Предприятие сферы услуг</t>
        </is>
      </c>
      <c r="D910" t="inlineStr">
        <is>
          <t>Публикация, ₽/30 дн</t>
        </is>
      </c>
      <c r="E910" t="n">
        <v>1230</v>
      </c>
    </row>
    <row r="911">
      <c r="A911" t="inlineStr">
        <is>
          <t>CIAN</t>
        </is>
      </c>
      <c r="B911" t="inlineStr">
        <is>
          <t>Екатеринбург</t>
        </is>
      </c>
      <c r="C911" t="inlineStr">
        <is>
          <t>Продажа · Коммерческая · Предприятие сферы услуг</t>
        </is>
      </c>
      <c r="D911" t="inlineStr">
        <is>
          <t>Топ, ₽/сут</t>
        </is>
      </c>
      <c r="E911" t="n">
        <v>566</v>
      </c>
    </row>
    <row r="912">
      <c r="A912" t="inlineStr">
        <is>
          <t>CIAN</t>
        </is>
      </c>
      <c r="B912" t="inlineStr">
        <is>
          <t>Екатеринбург</t>
        </is>
      </c>
      <c r="C912" t="inlineStr">
        <is>
          <t>Продажа · Коммерческая · Предприятие сферы услуг</t>
        </is>
      </c>
      <c r="D912" t="inlineStr">
        <is>
          <t>Премиум, ₽/сут</t>
        </is>
      </c>
      <c r="E912" t="n">
        <v>278</v>
      </c>
    </row>
    <row r="913">
      <c r="A913" t="inlineStr">
        <is>
          <t>CIAN</t>
        </is>
      </c>
      <c r="B913" t="inlineStr">
        <is>
          <t>Екатеринбург</t>
        </is>
      </c>
      <c r="C913" t="inlineStr">
        <is>
          <t>Продажа · Коммерческая · Предприятие сферы услуг</t>
        </is>
      </c>
      <c r="D913" t="inlineStr">
        <is>
          <t>Стандарт, ₽/сут</t>
        </is>
      </c>
      <c r="E913" t="n">
        <v>84</v>
      </c>
    </row>
    <row r="914">
      <c r="A914" t="inlineStr">
        <is>
          <t>CIAN</t>
        </is>
      </c>
      <c r="B914" t="inlineStr">
        <is>
          <t>Казань</t>
        </is>
      </c>
      <c r="C914" t="inlineStr">
        <is>
          <t>Продажа · Коммерческая · Предприятие сферы услуг</t>
        </is>
      </c>
      <c r="D914" t="inlineStr">
        <is>
          <t>Публикация, ₽/30 дн</t>
        </is>
      </c>
      <c r="E914" t="n">
        <v>609</v>
      </c>
    </row>
    <row r="915">
      <c r="A915" t="inlineStr">
        <is>
          <t>CIAN</t>
        </is>
      </c>
      <c r="B915" t="inlineStr">
        <is>
          <t>Казань</t>
        </is>
      </c>
      <c r="C915" t="inlineStr">
        <is>
          <t>Продажа · Коммерческая · Предприятие сферы услуг</t>
        </is>
      </c>
      <c r="D915" t="inlineStr">
        <is>
          <t>Топ, ₽/сут</t>
        </is>
      </c>
      <c r="E915" t="n">
        <v>163</v>
      </c>
    </row>
    <row r="916">
      <c r="A916" t="inlineStr">
        <is>
          <t>CIAN</t>
        </is>
      </c>
      <c r="B916" t="inlineStr">
        <is>
          <t>Казань</t>
        </is>
      </c>
      <c r="C916" t="inlineStr">
        <is>
          <t>Продажа · Коммерческая · Предприятие сферы услуг</t>
        </is>
      </c>
      <c r="D916" t="inlineStr">
        <is>
          <t>Премиум, ₽/сут</t>
        </is>
      </c>
      <c r="E916" t="n">
        <v>68</v>
      </c>
    </row>
    <row r="917">
      <c r="A917" t="inlineStr">
        <is>
          <t>CIAN</t>
        </is>
      </c>
      <c r="B917" t="inlineStr">
        <is>
          <t>Казань</t>
        </is>
      </c>
      <c r="C917" t="inlineStr">
        <is>
          <t>Продажа · Коммерческая · Предприятие сферы услуг</t>
        </is>
      </c>
      <c r="D917" t="inlineStr">
        <is>
          <t>Стандарт, ₽/сут</t>
        </is>
      </c>
      <c r="E917" t="n">
        <v>22</v>
      </c>
    </row>
    <row r="918">
      <c r="A918" t="inlineStr">
        <is>
          <t>CIAN</t>
        </is>
      </c>
      <c r="B918" t="inlineStr">
        <is>
          <t>Красноярск</t>
        </is>
      </c>
      <c r="C918" t="inlineStr">
        <is>
          <t>Продажа · Коммерческая · Предприятие сферы услуг</t>
        </is>
      </c>
      <c r="D918" t="inlineStr">
        <is>
          <t>Публикация, ₽/30 дн</t>
        </is>
      </c>
      <c r="E918" t="n">
        <v>771</v>
      </c>
    </row>
    <row r="919">
      <c r="A919" t="inlineStr">
        <is>
          <t>CIAN</t>
        </is>
      </c>
      <c r="B919" t="inlineStr">
        <is>
          <t>Красноярск</t>
        </is>
      </c>
      <c r="C919" t="inlineStr">
        <is>
          <t>Продажа · Коммерческая · Предприятие сферы услуг</t>
        </is>
      </c>
      <c r="D919" t="inlineStr">
        <is>
          <t>Топ, ₽/сут</t>
        </is>
      </c>
      <c r="E919" t="inlineStr">
        <is>
          <t>—</t>
        </is>
      </c>
    </row>
    <row r="920">
      <c r="A920" t="inlineStr">
        <is>
          <t>CIAN</t>
        </is>
      </c>
      <c r="B920" t="inlineStr">
        <is>
          <t>Красноярск</t>
        </is>
      </c>
      <c r="C920" t="inlineStr">
        <is>
          <t>Продажа · Коммерческая · Предприятие сферы услуг</t>
        </is>
      </c>
      <c r="D920" t="inlineStr">
        <is>
          <t>Премиум, ₽/сут</t>
        </is>
      </c>
      <c r="E920" t="inlineStr">
        <is>
          <t>—</t>
        </is>
      </c>
    </row>
    <row r="921">
      <c r="A921" t="inlineStr">
        <is>
          <t>CIAN</t>
        </is>
      </c>
      <c r="B921" t="inlineStr">
        <is>
          <t>Красноярск</t>
        </is>
      </c>
      <c r="C921" t="inlineStr">
        <is>
          <t>Продажа · Коммерческая · Предприятие сферы услуг</t>
        </is>
      </c>
      <c r="D921" t="inlineStr">
        <is>
          <t>Стандарт, ₽/сут</t>
        </is>
      </c>
      <c r="E921" t="inlineStr">
        <is>
          <t>—</t>
        </is>
      </c>
    </row>
    <row r="922">
      <c r="A922" t="inlineStr">
        <is>
          <t>CIAN</t>
        </is>
      </c>
      <c r="B922" t="inlineStr">
        <is>
          <t>Нижний Новгород</t>
        </is>
      </c>
      <c r="C922" t="inlineStr">
        <is>
          <t>Продажа · Коммерческая · Предприятие сферы услуг</t>
        </is>
      </c>
      <c r="D922" t="inlineStr">
        <is>
          <t>Публикация, ₽/30 дн</t>
        </is>
      </c>
      <c r="E922" t="n">
        <v>294</v>
      </c>
    </row>
    <row r="923">
      <c r="A923" t="inlineStr">
        <is>
          <t>CIAN</t>
        </is>
      </c>
      <c r="B923" t="inlineStr">
        <is>
          <t>Нижний Новгород</t>
        </is>
      </c>
      <c r="C923" t="inlineStr">
        <is>
          <t>Продажа · Коммерческая · Предприятие сферы услуг</t>
        </is>
      </c>
      <c r="D923" t="inlineStr">
        <is>
          <t>Топ, ₽/сут</t>
        </is>
      </c>
      <c r="E923" t="n">
        <v>162</v>
      </c>
    </row>
    <row r="924">
      <c r="A924" t="inlineStr">
        <is>
          <t>CIAN</t>
        </is>
      </c>
      <c r="B924" t="inlineStr">
        <is>
          <t>Нижний Новгород</t>
        </is>
      </c>
      <c r="C924" t="inlineStr">
        <is>
          <t>Продажа · Коммерческая · Предприятие сферы услуг</t>
        </is>
      </c>
      <c r="D924" t="inlineStr">
        <is>
          <t>Премиум, ₽/сут</t>
        </is>
      </c>
      <c r="E924" t="n">
        <v>68</v>
      </c>
    </row>
    <row r="925">
      <c r="A925" t="inlineStr">
        <is>
          <t>CIAN</t>
        </is>
      </c>
      <c r="B925" t="inlineStr">
        <is>
          <t>Нижний Новгород</t>
        </is>
      </c>
      <c r="C925" t="inlineStr">
        <is>
          <t>Продажа · Коммерческая · Предприятие сферы услуг</t>
        </is>
      </c>
      <c r="D925" t="inlineStr">
        <is>
          <t>Стандарт, ₽/сут</t>
        </is>
      </c>
      <c r="E925" t="n">
        <v>21</v>
      </c>
    </row>
    <row r="926">
      <c r="A926" t="inlineStr">
        <is>
          <t>CIAN</t>
        </is>
      </c>
      <c r="B926" t="inlineStr">
        <is>
          <t>Челябинск</t>
        </is>
      </c>
      <c r="C926" t="inlineStr">
        <is>
          <t>Продажа · Коммерческая · Предприятие сферы услуг</t>
        </is>
      </c>
      <c r="D926" t="inlineStr">
        <is>
          <t>Публикация, ₽/30 дн</t>
        </is>
      </c>
      <c r="E926" t="n">
        <v>585</v>
      </c>
    </row>
    <row r="927">
      <c r="A927" t="inlineStr">
        <is>
          <t>CIAN</t>
        </is>
      </c>
      <c r="B927" t="inlineStr">
        <is>
          <t>Челябинск</t>
        </is>
      </c>
      <c r="C927" t="inlineStr">
        <is>
          <t>Продажа · Коммерческая · Предприятие сферы услуг</t>
        </is>
      </c>
      <c r="D927" t="inlineStr">
        <is>
          <t>Топ, ₽/сут</t>
        </is>
      </c>
      <c r="E927" t="n">
        <v>302</v>
      </c>
    </row>
    <row r="928">
      <c r="A928" t="inlineStr">
        <is>
          <t>CIAN</t>
        </is>
      </c>
      <c r="B928" t="inlineStr">
        <is>
          <t>Челябинск</t>
        </is>
      </c>
      <c r="C928" t="inlineStr">
        <is>
          <t>Продажа · Коммерческая · Предприятие сферы услуг</t>
        </is>
      </c>
      <c r="D928" t="inlineStr">
        <is>
          <t>Премиум, ₽/сут</t>
        </is>
      </c>
      <c r="E928" t="n">
        <v>136</v>
      </c>
    </row>
    <row r="929">
      <c r="A929" t="inlineStr">
        <is>
          <t>CIAN</t>
        </is>
      </c>
      <c r="B929" t="inlineStr">
        <is>
          <t>Челябинск</t>
        </is>
      </c>
      <c r="C929" t="inlineStr">
        <is>
          <t>Продажа · Коммерческая · Предприятие сферы услуг</t>
        </is>
      </c>
      <c r="D929" t="inlineStr">
        <is>
          <t>Стандарт, ₽/сут</t>
        </is>
      </c>
      <c r="E929" t="n">
        <v>43</v>
      </c>
    </row>
    <row r="930">
      <c r="A930" t="inlineStr">
        <is>
          <t>CIAN</t>
        </is>
      </c>
      <c r="B930" t="inlineStr">
        <is>
          <t>Уфа</t>
        </is>
      </c>
      <c r="C930" t="inlineStr">
        <is>
          <t>Продажа · Коммерческая · Предприятие сферы услуг</t>
        </is>
      </c>
      <c r="D930" t="inlineStr">
        <is>
          <t>Публикация, ₽/30 дн</t>
        </is>
      </c>
      <c r="E930" t="n">
        <v>720</v>
      </c>
    </row>
    <row r="931">
      <c r="A931" t="inlineStr">
        <is>
          <t>CIAN</t>
        </is>
      </c>
      <c r="B931" t="inlineStr">
        <is>
          <t>Уфа</t>
        </is>
      </c>
      <c r="C931" t="inlineStr">
        <is>
          <t>Продажа · Коммерческая · Предприятие сферы услуг</t>
        </is>
      </c>
      <c r="D931" t="inlineStr">
        <is>
          <t>Топ, ₽/сут</t>
        </is>
      </c>
      <c r="E931" t="n">
        <v>142</v>
      </c>
    </row>
    <row r="932">
      <c r="A932" t="inlineStr">
        <is>
          <t>CIAN</t>
        </is>
      </c>
      <c r="B932" t="inlineStr">
        <is>
          <t>Уфа</t>
        </is>
      </c>
      <c r="C932" t="inlineStr">
        <is>
          <t>Продажа · Коммерческая · Предприятие сферы услуг</t>
        </is>
      </c>
      <c r="D932" t="inlineStr">
        <is>
          <t>Премиум, ₽/сут</t>
        </is>
      </c>
      <c r="E932" t="n">
        <v>65</v>
      </c>
    </row>
    <row r="933">
      <c r="A933" t="inlineStr">
        <is>
          <t>CIAN</t>
        </is>
      </c>
      <c r="B933" t="inlineStr">
        <is>
          <t>Уфа</t>
        </is>
      </c>
      <c r="C933" t="inlineStr">
        <is>
          <t>Продажа · Коммерческая · Предприятие сферы услуг</t>
        </is>
      </c>
      <c r="D933" t="inlineStr">
        <is>
          <t>Стандарт, ₽/сут</t>
        </is>
      </c>
      <c r="E933" t="n">
        <v>21</v>
      </c>
    </row>
    <row r="934">
      <c r="A934" t="inlineStr">
        <is>
          <t>CIAN</t>
        </is>
      </c>
      <c r="B934" t="inlineStr">
        <is>
          <t>Краснодар</t>
        </is>
      </c>
      <c r="C934" t="inlineStr">
        <is>
          <t>Продажа · Коммерческая · Предприятие сферы услуг</t>
        </is>
      </c>
      <c r="D934" t="inlineStr">
        <is>
          <t>Публикация, ₽/30 дн</t>
        </is>
      </c>
      <c r="E934" t="n">
        <v>534</v>
      </c>
    </row>
    <row r="935">
      <c r="A935" t="inlineStr">
        <is>
          <t>CIAN</t>
        </is>
      </c>
      <c r="B935" t="inlineStr">
        <is>
          <t>Краснодар</t>
        </is>
      </c>
      <c r="C935" t="inlineStr">
        <is>
          <t>Продажа · Коммерческая · Предприятие сферы услуг</t>
        </is>
      </c>
      <c r="D935" t="inlineStr">
        <is>
          <t>Топ, ₽/сут</t>
        </is>
      </c>
      <c r="E935" t="n">
        <v>176</v>
      </c>
    </row>
    <row r="936">
      <c r="A936" t="inlineStr">
        <is>
          <t>CIAN</t>
        </is>
      </c>
      <c r="B936" t="inlineStr">
        <is>
          <t>Краснодар</t>
        </is>
      </c>
      <c r="C936" t="inlineStr">
        <is>
          <t>Продажа · Коммерческая · Предприятие сферы услуг</t>
        </is>
      </c>
      <c r="D936" t="inlineStr">
        <is>
          <t>Премиум, ₽/сут</t>
        </is>
      </c>
      <c r="E936" t="n">
        <v>74</v>
      </c>
    </row>
    <row r="937">
      <c r="A937" t="inlineStr">
        <is>
          <t>CIAN</t>
        </is>
      </c>
      <c r="B937" t="inlineStr">
        <is>
          <t>Краснодар</t>
        </is>
      </c>
      <c r="C937" t="inlineStr">
        <is>
          <t>Продажа · Коммерческая · Предприятие сферы услуг</t>
        </is>
      </c>
      <c r="D937" t="inlineStr">
        <is>
          <t>Стандарт, ₽/сут</t>
        </is>
      </c>
      <c r="E937" t="n">
        <v>24</v>
      </c>
    </row>
    <row r="938">
      <c r="A938" t="inlineStr">
        <is>
          <t>CIAN</t>
        </is>
      </c>
      <c r="B938" t="inlineStr">
        <is>
          <t>Самара</t>
        </is>
      </c>
      <c r="C938" t="inlineStr">
        <is>
          <t>Продажа · Коммерческая · Предприятие сферы услуг</t>
        </is>
      </c>
      <c r="D938" t="inlineStr">
        <is>
          <t>Публикация, ₽/30 дн</t>
        </is>
      </c>
      <c r="E938" t="n">
        <v>456</v>
      </c>
    </row>
    <row r="939">
      <c r="A939" t="inlineStr">
        <is>
          <t>CIAN</t>
        </is>
      </c>
      <c r="B939" t="inlineStr">
        <is>
          <t>Самара</t>
        </is>
      </c>
      <c r="C939" t="inlineStr">
        <is>
          <t>Продажа · Коммерческая · Предприятие сферы услуг</t>
        </is>
      </c>
      <c r="D939" t="inlineStr">
        <is>
          <t>Топ, ₽/сут</t>
        </is>
      </c>
      <c r="E939" t="inlineStr">
        <is>
          <t>—</t>
        </is>
      </c>
    </row>
    <row r="940">
      <c r="A940" t="inlineStr">
        <is>
          <t>CIAN</t>
        </is>
      </c>
      <c r="B940" t="inlineStr">
        <is>
          <t>Самара</t>
        </is>
      </c>
      <c r="C940" t="inlineStr">
        <is>
          <t>Продажа · Коммерческая · Предприятие сферы услуг</t>
        </is>
      </c>
      <c r="D940" t="inlineStr">
        <is>
          <t>Премиум, ₽/сут</t>
        </is>
      </c>
      <c r="E940" t="inlineStr">
        <is>
          <t>—</t>
        </is>
      </c>
    </row>
    <row r="941">
      <c r="A941" t="inlineStr">
        <is>
          <t>CIAN</t>
        </is>
      </c>
      <c r="B941" t="inlineStr">
        <is>
          <t>Самара</t>
        </is>
      </c>
      <c r="C941" t="inlineStr">
        <is>
          <t>Продажа · Коммерческая · Предприятие сферы услуг</t>
        </is>
      </c>
      <c r="D941" t="inlineStr">
        <is>
          <t>Стандарт, ₽/сут</t>
        </is>
      </c>
      <c r="E941" t="inlineStr">
        <is>
          <t>—</t>
        </is>
      </c>
    </row>
    <row r="942">
      <c r="A942" t="inlineStr">
        <is>
          <t>CIAN</t>
        </is>
      </c>
      <c r="B942" t="inlineStr">
        <is>
          <t>Ростов-на-Дону</t>
        </is>
      </c>
      <c r="C942" t="inlineStr">
        <is>
          <t>Продажа · Коммерческая · Предприятие сферы услуг</t>
        </is>
      </c>
      <c r="D942" t="inlineStr">
        <is>
          <t>Публикация, ₽/30 дн</t>
        </is>
      </c>
      <c r="E942" t="n">
        <v>456</v>
      </c>
    </row>
    <row r="943">
      <c r="A943" t="inlineStr">
        <is>
          <t>CIAN</t>
        </is>
      </c>
      <c r="B943" t="inlineStr">
        <is>
          <t>Ростов-на-Дону</t>
        </is>
      </c>
      <c r="C943" t="inlineStr">
        <is>
          <t>Продажа · Коммерческая · Предприятие сферы услуг</t>
        </is>
      </c>
      <c r="D943" t="inlineStr">
        <is>
          <t>Топ, ₽/сут</t>
        </is>
      </c>
      <c r="E943" t="n">
        <v>150</v>
      </c>
    </row>
    <row r="944">
      <c r="A944" t="inlineStr">
        <is>
          <t>CIAN</t>
        </is>
      </c>
      <c r="B944" t="inlineStr">
        <is>
          <t>Ростов-на-Дону</t>
        </is>
      </c>
      <c r="C944" t="inlineStr">
        <is>
          <t>Продажа · Коммерческая · Предприятие сферы услуг</t>
        </is>
      </c>
      <c r="D944" t="inlineStr">
        <is>
          <t>Премиум, ₽/сут</t>
        </is>
      </c>
      <c r="E944" t="n">
        <v>62</v>
      </c>
    </row>
    <row r="945">
      <c r="A945" t="inlineStr">
        <is>
          <t>CIAN</t>
        </is>
      </c>
      <c r="B945" t="inlineStr">
        <is>
          <t>Ростов-на-Дону</t>
        </is>
      </c>
      <c r="C945" t="inlineStr">
        <is>
          <t>Продажа · Коммерческая · Предприятие сферы услуг</t>
        </is>
      </c>
      <c r="D945" t="inlineStr">
        <is>
          <t>Стандарт, ₽/сут</t>
        </is>
      </c>
      <c r="E945" t="n">
        <v>20</v>
      </c>
    </row>
    <row r="946">
      <c r="A946" t="inlineStr">
        <is>
          <t>CIAN</t>
        </is>
      </c>
      <c r="B946" t="inlineStr">
        <is>
          <t>Омск</t>
        </is>
      </c>
      <c r="C946" t="inlineStr">
        <is>
          <t>Продажа · Коммерческая · Предприятие сферы услуг</t>
        </is>
      </c>
      <c r="D946" t="inlineStr">
        <is>
          <t>Публикация, ₽/30 дн</t>
        </is>
      </c>
      <c r="E946" t="n">
        <v>918</v>
      </c>
    </row>
    <row r="947">
      <c r="A947" t="inlineStr">
        <is>
          <t>CIAN</t>
        </is>
      </c>
      <c r="B947" t="inlineStr">
        <is>
          <t>Омск</t>
        </is>
      </c>
      <c r="C947" t="inlineStr">
        <is>
          <t>Продажа · Коммерческая · Предприятие сферы услуг</t>
        </is>
      </c>
      <c r="D947" t="inlineStr">
        <is>
          <t>Топ, ₽/сут</t>
        </is>
      </c>
      <c r="E947" t="n">
        <v>371</v>
      </c>
    </row>
    <row r="948">
      <c r="A948" t="inlineStr">
        <is>
          <t>CIAN</t>
        </is>
      </c>
      <c r="B948" t="inlineStr">
        <is>
          <t>Омск</t>
        </is>
      </c>
      <c r="C948" t="inlineStr">
        <is>
          <t>Продажа · Коммерческая · Предприятие сферы услуг</t>
        </is>
      </c>
      <c r="D948" t="inlineStr">
        <is>
          <t>Премиум, ₽/сут</t>
        </is>
      </c>
      <c r="E948" t="n">
        <v>194</v>
      </c>
    </row>
    <row r="949">
      <c r="A949" t="inlineStr">
        <is>
          <t>CIAN</t>
        </is>
      </c>
      <c r="B949" t="inlineStr">
        <is>
          <t>Омск</t>
        </is>
      </c>
      <c r="C949" t="inlineStr">
        <is>
          <t>Продажа · Коммерческая · Предприятие сферы услуг</t>
        </is>
      </c>
      <c r="D949" t="inlineStr">
        <is>
          <t>Стандарт, ₽/сут</t>
        </is>
      </c>
      <c r="E949" t="n">
        <v>66</v>
      </c>
    </row>
    <row r="950">
      <c r="A950" t="inlineStr">
        <is>
          <t>CIAN</t>
        </is>
      </c>
      <c r="B950" t="inlineStr">
        <is>
          <t>Воронеж</t>
        </is>
      </c>
      <c r="C950" t="inlineStr">
        <is>
          <t>Продажа · Коммерческая · Предприятие сферы услуг</t>
        </is>
      </c>
      <c r="D950" t="inlineStr">
        <is>
          <t>Публикация, ₽/30 дн</t>
        </is>
      </c>
      <c r="E950" t="n">
        <v>204</v>
      </c>
    </row>
    <row r="951">
      <c r="A951" t="inlineStr">
        <is>
          <t>CIAN</t>
        </is>
      </c>
      <c r="B951" t="inlineStr">
        <is>
          <t>Воронеж</t>
        </is>
      </c>
      <c r="C951" t="inlineStr">
        <is>
          <t>Продажа · Коммерческая · Предприятие сферы услуг</t>
        </is>
      </c>
      <c r="D951" t="inlineStr">
        <is>
          <t>Топ, ₽/сут</t>
        </is>
      </c>
      <c r="E951" t="inlineStr">
        <is>
          <t>—</t>
        </is>
      </c>
    </row>
    <row r="952">
      <c r="A952" t="inlineStr">
        <is>
          <t>CIAN</t>
        </is>
      </c>
      <c r="B952" t="inlineStr">
        <is>
          <t>Воронеж</t>
        </is>
      </c>
      <c r="C952" t="inlineStr">
        <is>
          <t>Продажа · Коммерческая · Предприятие сферы услуг</t>
        </is>
      </c>
      <c r="D952" t="inlineStr">
        <is>
          <t>Премиум, ₽/сут</t>
        </is>
      </c>
      <c r="E952" t="inlineStr">
        <is>
          <t>—</t>
        </is>
      </c>
    </row>
    <row r="953">
      <c r="A953" t="inlineStr">
        <is>
          <t>CIAN</t>
        </is>
      </c>
      <c r="B953" t="inlineStr">
        <is>
          <t>Воронеж</t>
        </is>
      </c>
      <c r="C953" t="inlineStr">
        <is>
          <t>Продажа · Коммерческая · Предприятие сферы услуг</t>
        </is>
      </c>
      <c r="D953" t="inlineStr">
        <is>
          <t>Стандарт, ₽/сут</t>
        </is>
      </c>
      <c r="E953" t="inlineStr">
        <is>
          <t>—</t>
        </is>
      </c>
    </row>
    <row r="954">
      <c r="A954" t="inlineStr">
        <is>
          <t>CIAN</t>
        </is>
      </c>
      <c r="B954" t="inlineStr">
        <is>
          <t>Пермь</t>
        </is>
      </c>
      <c r="C954" t="inlineStr">
        <is>
          <t>Продажа · Коммерческая · Предприятие сферы услуг</t>
        </is>
      </c>
      <c r="D954" t="inlineStr">
        <is>
          <t>Публикация, ₽/30 дн</t>
        </is>
      </c>
      <c r="E954" t="n">
        <v>120</v>
      </c>
    </row>
    <row r="955">
      <c r="A955" t="inlineStr">
        <is>
          <t>CIAN</t>
        </is>
      </c>
      <c r="B955" t="inlineStr">
        <is>
          <t>Пермь</t>
        </is>
      </c>
      <c r="C955" t="inlineStr">
        <is>
          <t>Продажа · Коммерческая · Предприятие сферы услуг</t>
        </is>
      </c>
      <c r="D955" t="inlineStr">
        <is>
          <t>Топ, ₽/сут</t>
        </is>
      </c>
      <c r="E955" t="inlineStr">
        <is>
          <t>—</t>
        </is>
      </c>
    </row>
    <row r="956">
      <c r="A956" t="inlineStr">
        <is>
          <t>CIAN</t>
        </is>
      </c>
      <c r="B956" t="inlineStr">
        <is>
          <t>Пермь</t>
        </is>
      </c>
      <c r="C956" t="inlineStr">
        <is>
          <t>Продажа · Коммерческая · Предприятие сферы услуг</t>
        </is>
      </c>
      <c r="D956" t="inlineStr">
        <is>
          <t>Премиум, ₽/сут</t>
        </is>
      </c>
      <c r="E956" t="inlineStr">
        <is>
          <t>—</t>
        </is>
      </c>
    </row>
    <row r="957">
      <c r="A957" t="inlineStr">
        <is>
          <t>CIAN</t>
        </is>
      </c>
      <c r="B957" t="inlineStr">
        <is>
          <t>Пермь</t>
        </is>
      </c>
      <c r="C957" t="inlineStr">
        <is>
          <t>Продажа · Коммерческая · Предприятие сферы услуг</t>
        </is>
      </c>
      <c r="D957" t="inlineStr">
        <is>
          <t>Стандарт, ₽/сут</t>
        </is>
      </c>
      <c r="E957" t="inlineStr">
        <is>
          <t>—</t>
        </is>
      </c>
    </row>
    <row r="958">
      <c r="A958" t="inlineStr">
        <is>
          <t>CIAN</t>
        </is>
      </c>
      <c r="B958" t="inlineStr">
        <is>
          <t>Волгоград</t>
        </is>
      </c>
      <c r="C958" t="inlineStr">
        <is>
          <t>Продажа · Коммерческая · Предприятие сферы услуг</t>
        </is>
      </c>
      <c r="D958" t="inlineStr">
        <is>
          <t>Публикация, ₽/30 дн</t>
        </is>
      </c>
      <c r="E958" t="n">
        <v>720</v>
      </c>
    </row>
    <row r="959">
      <c r="A959" t="inlineStr">
        <is>
          <t>CIAN</t>
        </is>
      </c>
      <c r="B959" t="inlineStr">
        <is>
          <t>Волгоград</t>
        </is>
      </c>
      <c r="C959" t="inlineStr">
        <is>
          <t>Продажа · Коммерческая · Предприятие сферы услуг</t>
        </is>
      </c>
      <c r="D959" t="inlineStr">
        <is>
          <t>Топ, ₽/сут</t>
        </is>
      </c>
      <c r="E959" t="inlineStr">
        <is>
          <t>—</t>
        </is>
      </c>
    </row>
    <row r="960">
      <c r="A960" t="inlineStr">
        <is>
          <t>CIAN</t>
        </is>
      </c>
      <c r="B960" t="inlineStr">
        <is>
          <t>Волгоград</t>
        </is>
      </c>
      <c r="C960" t="inlineStr">
        <is>
          <t>Продажа · Коммерческая · Предприятие сферы услуг</t>
        </is>
      </c>
      <c r="D960" t="inlineStr">
        <is>
          <t>Премиум, ₽/сут</t>
        </is>
      </c>
      <c r="E960" t="inlineStr">
        <is>
          <t>—</t>
        </is>
      </c>
    </row>
    <row r="961">
      <c r="A961" t="inlineStr">
        <is>
          <t>CIAN</t>
        </is>
      </c>
      <c r="B961" t="inlineStr">
        <is>
          <t>Волгоград</t>
        </is>
      </c>
      <c r="C961" t="inlineStr">
        <is>
          <t>Продажа · Коммерческая · Предприятие сферы услуг</t>
        </is>
      </c>
      <c r="D961" t="inlineStr">
        <is>
          <t>Стандарт, ₽/сут</t>
        </is>
      </c>
      <c r="E961" t="inlineStr">
        <is>
          <t>—</t>
        </is>
      </c>
    </row>
    <row r="962">
      <c r="A962" t="inlineStr">
        <is>
          <t>CIAN</t>
        </is>
      </c>
      <c r="B962" t="inlineStr">
        <is>
          <t>Москва</t>
        </is>
      </c>
      <c r="C962" t="inlineStr">
        <is>
          <t>Продажа · Коммерческая · Производство</t>
        </is>
      </c>
      <c r="D962" t="inlineStr">
        <is>
          <t>Публикация, ₽/30 дн</t>
        </is>
      </c>
      <c r="E962" t="n">
        <v>1413</v>
      </c>
    </row>
    <row r="963">
      <c r="A963" t="inlineStr">
        <is>
          <t>CIAN</t>
        </is>
      </c>
      <c r="B963" t="inlineStr">
        <is>
          <t>Москва</t>
        </is>
      </c>
      <c r="C963" t="inlineStr">
        <is>
          <t>Продажа · Коммерческая · Производство</t>
        </is>
      </c>
      <c r="D963" t="inlineStr">
        <is>
          <t>Топ, ₽/сут</t>
        </is>
      </c>
      <c r="E963" t="n">
        <v>959</v>
      </c>
    </row>
    <row r="964">
      <c r="A964" t="inlineStr">
        <is>
          <t>CIAN</t>
        </is>
      </c>
      <c r="B964" t="inlineStr">
        <is>
          <t>Москва</t>
        </is>
      </c>
      <c r="C964" t="inlineStr">
        <is>
          <t>Продажа · Коммерческая · Производство</t>
        </is>
      </c>
      <c r="D964" t="inlineStr">
        <is>
          <t>Премиум, ₽/сут</t>
        </is>
      </c>
      <c r="E964" t="n">
        <v>394</v>
      </c>
    </row>
    <row r="965">
      <c r="A965" t="inlineStr">
        <is>
          <t>CIAN</t>
        </is>
      </c>
      <c r="B965" t="inlineStr">
        <is>
          <t>Москва</t>
        </is>
      </c>
      <c r="C965" t="inlineStr">
        <is>
          <t>Продажа · Коммерческая · Производство</t>
        </is>
      </c>
      <c r="D965" t="inlineStr">
        <is>
          <t>Стандарт, ₽/сут</t>
        </is>
      </c>
      <c r="E965" t="n">
        <v>119</v>
      </c>
    </row>
    <row r="966">
      <c r="A966" t="inlineStr">
        <is>
          <t>CIAN</t>
        </is>
      </c>
      <c r="B966" t="inlineStr">
        <is>
          <t>Санкт-Петербург</t>
        </is>
      </c>
      <c r="C966" t="inlineStr">
        <is>
          <t>Продажа · Коммерческая · Производство</t>
        </is>
      </c>
      <c r="D966" t="inlineStr">
        <is>
          <t>Публикация, ₽/30 дн</t>
        </is>
      </c>
      <c r="E966" t="n">
        <v>630</v>
      </c>
    </row>
    <row r="967">
      <c r="A967" t="inlineStr">
        <is>
          <t>CIAN</t>
        </is>
      </c>
      <c r="B967" t="inlineStr">
        <is>
          <t>Санкт-Петербург</t>
        </is>
      </c>
      <c r="C967" t="inlineStr">
        <is>
          <t>Продажа · Коммерческая · Производство</t>
        </is>
      </c>
      <c r="D967" t="inlineStr">
        <is>
          <t>Топ, ₽/сут</t>
        </is>
      </c>
      <c r="E967" t="n">
        <v>532</v>
      </c>
    </row>
    <row r="968">
      <c r="A968" t="inlineStr">
        <is>
          <t>CIAN</t>
        </is>
      </c>
      <c r="B968" t="inlineStr">
        <is>
          <t>Санкт-Петербург</t>
        </is>
      </c>
      <c r="C968" t="inlineStr">
        <is>
          <t>Продажа · Коммерческая · Производство</t>
        </is>
      </c>
      <c r="D968" t="inlineStr">
        <is>
          <t>Премиум, ₽/сут</t>
        </is>
      </c>
      <c r="E968" t="n">
        <v>246</v>
      </c>
    </row>
    <row r="969">
      <c r="A969" t="inlineStr">
        <is>
          <t>CIAN</t>
        </is>
      </c>
      <c r="B969" t="inlineStr">
        <is>
          <t>Санкт-Петербург</t>
        </is>
      </c>
      <c r="C969" t="inlineStr">
        <is>
          <t>Продажа · Коммерческая · Производство</t>
        </is>
      </c>
      <c r="D969" t="inlineStr">
        <is>
          <t>Стандарт, ₽/сут</t>
        </is>
      </c>
      <c r="E969" t="n">
        <v>76</v>
      </c>
    </row>
    <row r="970">
      <c r="A970" t="inlineStr">
        <is>
          <t>CIAN</t>
        </is>
      </c>
      <c r="B970" t="inlineStr">
        <is>
          <t>Новосибирск</t>
        </is>
      </c>
      <c r="C970" t="inlineStr">
        <is>
          <t>Продажа · Коммерческая · Производство</t>
        </is>
      </c>
      <c r="D970" t="inlineStr">
        <is>
          <t>Публикация, ₽/30 дн</t>
        </is>
      </c>
      <c r="E970" t="n">
        <v>1263</v>
      </c>
    </row>
    <row r="971">
      <c r="A971" t="inlineStr">
        <is>
          <t>CIAN</t>
        </is>
      </c>
      <c r="B971" t="inlineStr">
        <is>
          <t>Новосибирск</t>
        </is>
      </c>
      <c r="C971" t="inlineStr">
        <is>
          <t>Продажа · Коммерческая · Производство</t>
        </is>
      </c>
      <c r="D971" t="inlineStr">
        <is>
          <t>Топ, ₽/сут</t>
        </is>
      </c>
      <c r="E971" t="n">
        <v>293</v>
      </c>
    </row>
    <row r="972">
      <c r="A972" t="inlineStr">
        <is>
          <t>CIAN</t>
        </is>
      </c>
      <c r="B972" t="inlineStr">
        <is>
          <t>Новосибирск</t>
        </is>
      </c>
      <c r="C972" t="inlineStr">
        <is>
          <t>Продажа · Коммерческая · Производство</t>
        </is>
      </c>
      <c r="D972" t="inlineStr">
        <is>
          <t>Премиум, ₽/сут</t>
        </is>
      </c>
      <c r="E972" t="n">
        <v>143</v>
      </c>
    </row>
    <row r="973">
      <c r="A973" t="inlineStr">
        <is>
          <t>CIAN</t>
        </is>
      </c>
      <c r="B973" t="inlineStr">
        <is>
          <t>Новосибирск</t>
        </is>
      </c>
      <c r="C973" t="inlineStr">
        <is>
          <t>Продажа · Коммерческая · Производство</t>
        </is>
      </c>
      <c r="D973" t="inlineStr">
        <is>
          <t>Стандарт, ₽/сут</t>
        </is>
      </c>
      <c r="E973" t="n">
        <v>43</v>
      </c>
    </row>
    <row r="974">
      <c r="A974" t="inlineStr">
        <is>
          <t>CIAN</t>
        </is>
      </c>
      <c r="B974" t="inlineStr">
        <is>
          <t>Екатеринбург</t>
        </is>
      </c>
      <c r="C974" t="inlineStr">
        <is>
          <t>Продажа · Коммерческая · Производство</t>
        </is>
      </c>
      <c r="D974" t="inlineStr">
        <is>
          <t>Публикация, ₽/30 дн</t>
        </is>
      </c>
      <c r="E974" t="n">
        <v>612</v>
      </c>
    </row>
    <row r="975">
      <c r="A975" t="inlineStr">
        <is>
          <t>CIAN</t>
        </is>
      </c>
      <c r="B975" t="inlineStr">
        <is>
          <t>Екатеринбург</t>
        </is>
      </c>
      <c r="C975" t="inlineStr">
        <is>
          <t>Продажа · Коммерческая · Производство</t>
        </is>
      </c>
      <c r="D975" t="inlineStr">
        <is>
          <t>Топ, ₽/сут</t>
        </is>
      </c>
      <c r="E975" t="n">
        <v>397</v>
      </c>
    </row>
    <row r="976">
      <c r="A976" t="inlineStr">
        <is>
          <t>CIAN</t>
        </is>
      </c>
      <c r="B976" t="inlineStr">
        <is>
          <t>Екатеринбург</t>
        </is>
      </c>
      <c r="C976" t="inlineStr">
        <is>
          <t>Продажа · Коммерческая · Производство</t>
        </is>
      </c>
      <c r="D976" t="inlineStr">
        <is>
          <t>Премиум, ₽/сут</t>
        </is>
      </c>
      <c r="E976" t="n">
        <v>212</v>
      </c>
    </row>
    <row r="977">
      <c r="A977" t="inlineStr">
        <is>
          <t>CIAN</t>
        </is>
      </c>
      <c r="B977" t="inlineStr">
        <is>
          <t>Екатеринбург</t>
        </is>
      </c>
      <c r="C977" t="inlineStr">
        <is>
          <t>Продажа · Коммерческая · Производство</t>
        </is>
      </c>
      <c r="D977" t="inlineStr">
        <is>
          <t>Стандарт, ₽/сут</t>
        </is>
      </c>
      <c r="E977" t="n">
        <v>66</v>
      </c>
    </row>
    <row r="978">
      <c r="A978" t="inlineStr">
        <is>
          <t>CIAN</t>
        </is>
      </c>
      <c r="B978" t="inlineStr">
        <is>
          <t>Казань</t>
        </is>
      </c>
      <c r="C978" t="inlineStr">
        <is>
          <t>Продажа · Коммерческая · Производство</t>
        </is>
      </c>
      <c r="D978" t="inlineStr">
        <is>
          <t>Публикация, ₽/30 дн</t>
        </is>
      </c>
      <c r="E978" t="n">
        <v>396</v>
      </c>
    </row>
    <row r="979">
      <c r="A979" t="inlineStr">
        <is>
          <t>CIAN</t>
        </is>
      </c>
      <c r="B979" t="inlineStr">
        <is>
          <t>Казань</t>
        </is>
      </c>
      <c r="C979" t="inlineStr">
        <is>
          <t>Продажа · Коммерческая · Производство</t>
        </is>
      </c>
      <c r="D979" t="inlineStr">
        <is>
          <t>Топ, ₽/сут</t>
        </is>
      </c>
      <c r="E979" t="n">
        <v>123</v>
      </c>
    </row>
    <row r="980">
      <c r="A980" t="inlineStr">
        <is>
          <t>CIAN</t>
        </is>
      </c>
      <c r="B980" t="inlineStr">
        <is>
          <t>Казань</t>
        </is>
      </c>
      <c r="C980" t="inlineStr">
        <is>
          <t>Продажа · Коммерческая · Производство</t>
        </is>
      </c>
      <c r="D980" t="inlineStr">
        <is>
          <t>Премиум, ₽/сут</t>
        </is>
      </c>
      <c r="E980" t="n">
        <v>55</v>
      </c>
    </row>
    <row r="981">
      <c r="A981" t="inlineStr">
        <is>
          <t>CIAN</t>
        </is>
      </c>
      <c r="B981" t="inlineStr">
        <is>
          <t>Казань</t>
        </is>
      </c>
      <c r="C981" t="inlineStr">
        <is>
          <t>Продажа · Коммерческая · Производство</t>
        </is>
      </c>
      <c r="D981" t="inlineStr">
        <is>
          <t>Стандарт, ₽/сут</t>
        </is>
      </c>
      <c r="E981" t="n">
        <v>18</v>
      </c>
    </row>
    <row r="982">
      <c r="A982" t="inlineStr">
        <is>
          <t>CIAN</t>
        </is>
      </c>
      <c r="B982" t="inlineStr">
        <is>
          <t>Красноярск</t>
        </is>
      </c>
      <c r="C982" t="inlineStr">
        <is>
          <t>Продажа · Коммерческая · Производство</t>
        </is>
      </c>
      <c r="D982" t="inlineStr">
        <is>
          <t>Публикация, ₽/30 дн</t>
        </is>
      </c>
      <c r="E982" t="n">
        <v>540</v>
      </c>
    </row>
    <row r="983">
      <c r="A983" t="inlineStr">
        <is>
          <t>CIAN</t>
        </is>
      </c>
      <c r="B983" t="inlineStr">
        <is>
          <t>Красноярск</t>
        </is>
      </c>
      <c r="C983" t="inlineStr">
        <is>
          <t>Продажа · Коммерческая · Производство</t>
        </is>
      </c>
      <c r="D983" t="inlineStr">
        <is>
          <t>Топ, ₽/сут</t>
        </is>
      </c>
      <c r="E983" t="inlineStr">
        <is>
          <t>—</t>
        </is>
      </c>
    </row>
    <row r="984">
      <c r="A984" t="inlineStr">
        <is>
          <t>CIAN</t>
        </is>
      </c>
      <c r="B984" t="inlineStr">
        <is>
          <t>Красноярск</t>
        </is>
      </c>
      <c r="C984" t="inlineStr">
        <is>
          <t>Продажа · Коммерческая · Производство</t>
        </is>
      </c>
      <c r="D984" t="inlineStr">
        <is>
          <t>Премиум, ₽/сут</t>
        </is>
      </c>
      <c r="E984" t="inlineStr">
        <is>
          <t>—</t>
        </is>
      </c>
    </row>
    <row r="985">
      <c r="A985" t="inlineStr">
        <is>
          <t>CIAN</t>
        </is>
      </c>
      <c r="B985" t="inlineStr">
        <is>
          <t>Красноярск</t>
        </is>
      </c>
      <c r="C985" t="inlineStr">
        <is>
          <t>Продажа · Коммерческая · Производство</t>
        </is>
      </c>
      <c r="D985" t="inlineStr">
        <is>
          <t>Стандарт, ₽/сут</t>
        </is>
      </c>
      <c r="E985" t="inlineStr">
        <is>
          <t>—</t>
        </is>
      </c>
    </row>
    <row r="986">
      <c r="A986" t="inlineStr">
        <is>
          <t>CIAN</t>
        </is>
      </c>
      <c r="B986" t="inlineStr">
        <is>
          <t>Нижний Новгород</t>
        </is>
      </c>
      <c r="C986" t="inlineStr">
        <is>
          <t>Продажа · Коммерческая · Производство</t>
        </is>
      </c>
      <c r="D986" t="inlineStr">
        <is>
          <t>Публикация, ₽/30 дн</t>
        </is>
      </c>
      <c r="E986" t="n">
        <v>231</v>
      </c>
    </row>
    <row r="987">
      <c r="A987" t="inlineStr">
        <is>
          <t>CIAN</t>
        </is>
      </c>
      <c r="B987" t="inlineStr">
        <is>
          <t>Нижний Новгород</t>
        </is>
      </c>
      <c r="C987" t="inlineStr">
        <is>
          <t>Продажа · Коммерческая · Производство</t>
        </is>
      </c>
      <c r="D987" t="inlineStr">
        <is>
          <t>Топ, ₽/сут</t>
        </is>
      </c>
      <c r="E987" t="n">
        <v>123</v>
      </c>
    </row>
    <row r="988">
      <c r="A988" t="inlineStr">
        <is>
          <t>CIAN</t>
        </is>
      </c>
      <c r="B988" t="inlineStr">
        <is>
          <t>Нижний Новгород</t>
        </is>
      </c>
      <c r="C988" t="inlineStr">
        <is>
          <t>Продажа · Коммерческая · Производство</t>
        </is>
      </c>
      <c r="D988" t="inlineStr">
        <is>
          <t>Премиум, ₽/сут</t>
        </is>
      </c>
      <c r="E988" t="n">
        <v>55</v>
      </c>
    </row>
    <row r="989">
      <c r="A989" t="inlineStr">
        <is>
          <t>CIAN</t>
        </is>
      </c>
      <c r="B989" t="inlineStr">
        <is>
          <t>Нижний Новгород</t>
        </is>
      </c>
      <c r="C989" t="inlineStr">
        <is>
          <t>Продажа · Коммерческая · Производство</t>
        </is>
      </c>
      <c r="D989" t="inlineStr">
        <is>
          <t>Стандарт, ₽/сут</t>
        </is>
      </c>
      <c r="E989" t="n">
        <v>18</v>
      </c>
    </row>
    <row r="990">
      <c r="A990" t="inlineStr">
        <is>
          <t>CIAN</t>
        </is>
      </c>
      <c r="B990" t="inlineStr">
        <is>
          <t>Челябинск</t>
        </is>
      </c>
      <c r="C990" t="inlineStr">
        <is>
          <t>Продажа · Коммерческая · Производство</t>
        </is>
      </c>
      <c r="D990" t="inlineStr">
        <is>
          <t>Публикация, ₽/30 дн</t>
        </is>
      </c>
      <c r="E990" t="n">
        <v>165</v>
      </c>
    </row>
    <row r="991">
      <c r="A991" t="inlineStr">
        <is>
          <t>CIAN</t>
        </is>
      </c>
      <c r="B991" t="inlineStr">
        <is>
          <t>Челябинск</t>
        </is>
      </c>
      <c r="C991" t="inlineStr">
        <is>
          <t>Продажа · Коммерческая · Производство</t>
        </is>
      </c>
      <c r="D991" t="inlineStr">
        <is>
          <t>Топ, ₽/сут</t>
        </is>
      </c>
      <c r="E991" t="n">
        <v>289</v>
      </c>
    </row>
    <row r="992">
      <c r="A992" t="inlineStr">
        <is>
          <t>CIAN</t>
        </is>
      </c>
      <c r="B992" t="inlineStr">
        <is>
          <t>Челябинск</t>
        </is>
      </c>
      <c r="C992" t="inlineStr">
        <is>
          <t>Продажа · Коммерческая · Производство</t>
        </is>
      </c>
      <c r="D992" t="inlineStr">
        <is>
          <t>Премиум, ₽/сут</t>
        </is>
      </c>
      <c r="E992" t="n">
        <v>136</v>
      </c>
    </row>
    <row r="993">
      <c r="A993" t="inlineStr">
        <is>
          <t>CIAN</t>
        </is>
      </c>
      <c r="B993" t="inlineStr">
        <is>
          <t>Челябинск</t>
        </is>
      </c>
      <c r="C993" t="inlineStr">
        <is>
          <t>Продажа · Коммерческая · Производство</t>
        </is>
      </c>
      <c r="D993" t="inlineStr">
        <is>
          <t>Стандарт, ₽/сут</t>
        </is>
      </c>
      <c r="E993" t="n">
        <v>42</v>
      </c>
    </row>
    <row r="994">
      <c r="A994" t="inlineStr">
        <is>
          <t>CIAN</t>
        </is>
      </c>
      <c r="B994" t="inlineStr">
        <is>
          <t>Уфа</t>
        </is>
      </c>
      <c r="C994" t="inlineStr">
        <is>
          <t>Продажа · Коммерческая · Производство</t>
        </is>
      </c>
      <c r="D994" t="inlineStr">
        <is>
          <t>Публикация, ₽/30 дн</t>
        </is>
      </c>
      <c r="E994" t="n">
        <v>621</v>
      </c>
    </row>
    <row r="995">
      <c r="A995" t="inlineStr">
        <is>
          <t>CIAN</t>
        </is>
      </c>
      <c r="B995" t="inlineStr">
        <is>
          <t>Уфа</t>
        </is>
      </c>
      <c r="C995" t="inlineStr">
        <is>
          <t>Продажа · Коммерческая · Производство</t>
        </is>
      </c>
      <c r="D995" t="inlineStr">
        <is>
          <t>Топ, ₽/сут</t>
        </is>
      </c>
      <c r="E995" t="n">
        <v>135</v>
      </c>
    </row>
    <row r="996">
      <c r="A996" t="inlineStr">
        <is>
          <t>CIAN</t>
        </is>
      </c>
      <c r="B996" t="inlineStr">
        <is>
          <t>Уфа</t>
        </is>
      </c>
      <c r="C996" t="inlineStr">
        <is>
          <t>Продажа · Коммерческая · Производство</t>
        </is>
      </c>
      <c r="D996" t="inlineStr">
        <is>
          <t>Премиум, ₽/сут</t>
        </is>
      </c>
      <c r="E996" t="n">
        <v>63</v>
      </c>
    </row>
    <row r="997">
      <c r="A997" t="inlineStr">
        <is>
          <t>CIAN</t>
        </is>
      </c>
      <c r="B997" t="inlineStr">
        <is>
          <t>Уфа</t>
        </is>
      </c>
      <c r="C997" t="inlineStr">
        <is>
          <t>Продажа · Коммерческая · Производство</t>
        </is>
      </c>
      <c r="D997" t="inlineStr">
        <is>
          <t>Стандарт, ₽/сут</t>
        </is>
      </c>
      <c r="E997" t="n">
        <v>20</v>
      </c>
    </row>
    <row r="998">
      <c r="A998" t="inlineStr">
        <is>
          <t>CIAN</t>
        </is>
      </c>
      <c r="B998" t="inlineStr">
        <is>
          <t>Краснодар</t>
        </is>
      </c>
      <c r="C998" t="inlineStr">
        <is>
          <t>Продажа · Коммерческая · Производство</t>
        </is>
      </c>
      <c r="D998" t="inlineStr">
        <is>
          <t>Публикация, ₽/30 дн</t>
        </is>
      </c>
      <c r="E998" t="n">
        <v>483</v>
      </c>
    </row>
    <row r="999">
      <c r="A999" t="inlineStr">
        <is>
          <t>CIAN</t>
        </is>
      </c>
      <c r="B999" t="inlineStr">
        <is>
          <t>Краснодар</t>
        </is>
      </c>
      <c r="C999" t="inlineStr">
        <is>
          <t>Продажа · Коммерческая · Производство</t>
        </is>
      </c>
      <c r="D999" t="inlineStr">
        <is>
          <t>Топ, ₽/сут</t>
        </is>
      </c>
      <c r="E999" t="n">
        <v>123</v>
      </c>
    </row>
    <row r="1000">
      <c r="A1000" t="inlineStr">
        <is>
          <t>CIAN</t>
        </is>
      </c>
      <c r="B1000" t="inlineStr">
        <is>
          <t>Краснодар</t>
        </is>
      </c>
      <c r="C1000" t="inlineStr">
        <is>
          <t>Продажа · Коммерческая · Производство</t>
        </is>
      </c>
      <c r="D1000" t="inlineStr">
        <is>
          <t>Премиум, ₽/сут</t>
        </is>
      </c>
      <c r="E1000" t="n">
        <v>55</v>
      </c>
    </row>
    <row r="1001">
      <c r="A1001" t="inlineStr">
        <is>
          <t>CIAN</t>
        </is>
      </c>
      <c r="B1001" t="inlineStr">
        <is>
          <t>Краснодар</t>
        </is>
      </c>
      <c r="C1001" t="inlineStr">
        <is>
          <t>Продажа · Коммерческая · Производство</t>
        </is>
      </c>
      <c r="D1001" t="inlineStr">
        <is>
          <t>Стандарт, ₽/сут</t>
        </is>
      </c>
      <c r="E1001" t="n">
        <v>18</v>
      </c>
    </row>
    <row r="1002">
      <c r="A1002" t="inlineStr">
        <is>
          <t>CIAN</t>
        </is>
      </c>
      <c r="B1002" t="inlineStr">
        <is>
          <t>Самара</t>
        </is>
      </c>
      <c r="C1002" t="inlineStr">
        <is>
          <t>Продажа · Коммерческая · Производство</t>
        </is>
      </c>
      <c r="D1002" t="inlineStr">
        <is>
          <t>Публикация, ₽/30 дн</t>
        </is>
      </c>
      <c r="E1002" t="n">
        <v>321</v>
      </c>
    </row>
    <row r="1003">
      <c r="A1003" t="inlineStr">
        <is>
          <t>CIAN</t>
        </is>
      </c>
      <c r="B1003" t="inlineStr">
        <is>
          <t>Самара</t>
        </is>
      </c>
      <c r="C1003" t="inlineStr">
        <is>
          <t>Продажа · Коммерческая · Производство</t>
        </is>
      </c>
      <c r="D1003" t="inlineStr">
        <is>
          <t>Топ, ₽/сут</t>
        </is>
      </c>
      <c r="E1003" t="inlineStr">
        <is>
          <t>—</t>
        </is>
      </c>
    </row>
    <row r="1004">
      <c r="A1004" t="inlineStr">
        <is>
          <t>CIAN</t>
        </is>
      </c>
      <c r="B1004" t="inlineStr">
        <is>
          <t>Самара</t>
        </is>
      </c>
      <c r="C1004" t="inlineStr">
        <is>
          <t>Продажа · Коммерческая · Производство</t>
        </is>
      </c>
      <c r="D1004" t="inlineStr">
        <is>
          <t>Премиум, ₽/сут</t>
        </is>
      </c>
      <c r="E1004" t="inlineStr">
        <is>
          <t>—</t>
        </is>
      </c>
    </row>
    <row r="1005">
      <c r="A1005" t="inlineStr">
        <is>
          <t>CIAN</t>
        </is>
      </c>
      <c r="B1005" t="inlineStr">
        <is>
          <t>Самара</t>
        </is>
      </c>
      <c r="C1005" t="inlineStr">
        <is>
          <t>Продажа · Коммерческая · Производство</t>
        </is>
      </c>
      <c r="D1005" t="inlineStr">
        <is>
          <t>Стандарт, ₽/сут</t>
        </is>
      </c>
      <c r="E1005" t="inlineStr">
        <is>
          <t>—</t>
        </is>
      </c>
    </row>
    <row r="1006">
      <c r="A1006" t="inlineStr">
        <is>
          <t>CIAN</t>
        </is>
      </c>
      <c r="B1006" t="inlineStr">
        <is>
          <t>Ростов-на-Дону</t>
        </is>
      </c>
      <c r="C1006" t="inlineStr">
        <is>
          <t>Продажа · Коммерческая · Производство</t>
        </is>
      </c>
      <c r="D1006" t="inlineStr">
        <is>
          <t>Публикация, ₽/30 дн</t>
        </is>
      </c>
      <c r="E1006" t="n">
        <v>411</v>
      </c>
    </row>
    <row r="1007">
      <c r="A1007" t="inlineStr">
        <is>
          <t>CIAN</t>
        </is>
      </c>
      <c r="B1007" t="inlineStr">
        <is>
          <t>Ростов-на-Дону</t>
        </is>
      </c>
      <c r="C1007" t="inlineStr">
        <is>
          <t>Продажа · Коммерческая · Производство</t>
        </is>
      </c>
      <c r="D1007" t="inlineStr">
        <is>
          <t>Топ, ₽/сут</t>
        </is>
      </c>
      <c r="E1007" t="n">
        <v>125</v>
      </c>
    </row>
    <row r="1008">
      <c r="A1008" t="inlineStr">
        <is>
          <t>CIAN</t>
        </is>
      </c>
      <c r="B1008" t="inlineStr">
        <is>
          <t>Ростов-на-Дону</t>
        </is>
      </c>
      <c r="C1008" t="inlineStr">
        <is>
          <t>Продажа · Коммерческая · Производство</t>
        </is>
      </c>
      <c r="D1008" t="inlineStr">
        <is>
          <t>Премиум, ₽/сут</t>
        </is>
      </c>
      <c r="E1008" t="n">
        <v>55</v>
      </c>
    </row>
    <row r="1009">
      <c r="A1009" t="inlineStr">
        <is>
          <t>CIAN</t>
        </is>
      </c>
      <c r="B1009" t="inlineStr">
        <is>
          <t>Ростов-на-Дону</t>
        </is>
      </c>
      <c r="C1009" t="inlineStr">
        <is>
          <t>Продажа · Коммерческая · Производство</t>
        </is>
      </c>
      <c r="D1009" t="inlineStr">
        <is>
          <t>Стандарт, ₽/сут</t>
        </is>
      </c>
      <c r="E1009" t="n">
        <v>17</v>
      </c>
    </row>
    <row r="1010">
      <c r="A1010" t="inlineStr">
        <is>
          <t>CIAN</t>
        </is>
      </c>
      <c r="B1010" t="inlineStr">
        <is>
          <t>Омск</t>
        </is>
      </c>
      <c r="C1010" t="inlineStr">
        <is>
          <t>Продажа · Коммерческая · Производство</t>
        </is>
      </c>
      <c r="D1010" t="inlineStr">
        <is>
          <t>Публикация, ₽/30 дн</t>
        </is>
      </c>
      <c r="E1010" t="n">
        <v>582</v>
      </c>
    </row>
    <row r="1011">
      <c r="A1011" t="inlineStr">
        <is>
          <t>CIAN</t>
        </is>
      </c>
      <c r="B1011" t="inlineStr">
        <is>
          <t>Омск</t>
        </is>
      </c>
      <c r="C1011" t="inlineStr">
        <is>
          <t>Продажа · Коммерческая · Производство</t>
        </is>
      </c>
      <c r="D1011" t="inlineStr">
        <is>
          <t>Топ, ₽/сут</t>
        </is>
      </c>
      <c r="E1011" t="n">
        <v>342</v>
      </c>
    </row>
    <row r="1012">
      <c r="A1012" t="inlineStr">
        <is>
          <t>CIAN</t>
        </is>
      </c>
      <c r="B1012" t="inlineStr">
        <is>
          <t>Омск</t>
        </is>
      </c>
      <c r="C1012" t="inlineStr">
        <is>
          <t>Продажа · Коммерческая · Производство</t>
        </is>
      </c>
      <c r="D1012" t="inlineStr">
        <is>
          <t>Премиум, ₽/сут</t>
        </is>
      </c>
      <c r="E1012" t="n">
        <v>194</v>
      </c>
    </row>
    <row r="1013">
      <c r="A1013" t="inlineStr">
        <is>
          <t>CIAN</t>
        </is>
      </c>
      <c r="B1013" t="inlineStr">
        <is>
          <t>Омск</t>
        </is>
      </c>
      <c r="C1013" t="inlineStr">
        <is>
          <t>Продажа · Коммерческая · Производство</t>
        </is>
      </c>
      <c r="D1013" t="inlineStr">
        <is>
          <t>Стандарт, ₽/сут</t>
        </is>
      </c>
      <c r="E1013" t="n">
        <v>66</v>
      </c>
    </row>
    <row r="1014">
      <c r="A1014" t="inlineStr">
        <is>
          <t>CIAN</t>
        </is>
      </c>
      <c r="B1014" t="inlineStr">
        <is>
          <t>Воронеж</t>
        </is>
      </c>
      <c r="C1014" t="inlineStr">
        <is>
          <t>Продажа · Коммерческая · Производство</t>
        </is>
      </c>
      <c r="D1014" t="inlineStr">
        <is>
          <t>Публикация, ₽/30 дн</t>
        </is>
      </c>
      <c r="E1014" t="n">
        <v>54</v>
      </c>
    </row>
    <row r="1015">
      <c r="A1015" t="inlineStr">
        <is>
          <t>CIAN</t>
        </is>
      </c>
      <c r="B1015" t="inlineStr">
        <is>
          <t>Воронеж</t>
        </is>
      </c>
      <c r="C1015" t="inlineStr">
        <is>
          <t>Продажа · Коммерческая · Производство</t>
        </is>
      </c>
      <c r="D1015" t="inlineStr">
        <is>
          <t>Топ, ₽/сут</t>
        </is>
      </c>
      <c r="E1015" t="inlineStr">
        <is>
          <t>—</t>
        </is>
      </c>
    </row>
    <row r="1016">
      <c r="A1016" t="inlineStr">
        <is>
          <t>CIAN</t>
        </is>
      </c>
      <c r="B1016" t="inlineStr">
        <is>
          <t>Воронеж</t>
        </is>
      </c>
      <c r="C1016" t="inlineStr">
        <is>
          <t>Продажа · Коммерческая · Производство</t>
        </is>
      </c>
      <c r="D1016" t="inlineStr">
        <is>
          <t>Премиум, ₽/сут</t>
        </is>
      </c>
      <c r="E1016" t="inlineStr">
        <is>
          <t>—</t>
        </is>
      </c>
    </row>
    <row r="1017">
      <c r="A1017" t="inlineStr">
        <is>
          <t>CIAN</t>
        </is>
      </c>
      <c r="B1017" t="inlineStr">
        <is>
          <t>Воронеж</t>
        </is>
      </c>
      <c r="C1017" t="inlineStr">
        <is>
          <t>Продажа · Коммерческая · Производство</t>
        </is>
      </c>
      <c r="D1017" t="inlineStr">
        <is>
          <t>Стандарт, ₽/сут</t>
        </is>
      </c>
      <c r="E1017" t="inlineStr">
        <is>
          <t>—</t>
        </is>
      </c>
    </row>
    <row r="1018">
      <c r="A1018" t="inlineStr">
        <is>
          <t>CIAN</t>
        </is>
      </c>
      <c r="B1018" t="inlineStr">
        <is>
          <t>Пермь</t>
        </is>
      </c>
      <c r="C1018" t="inlineStr">
        <is>
          <t>Продажа · Коммерческая · Производство</t>
        </is>
      </c>
      <c r="D1018" t="inlineStr">
        <is>
          <t>Публикация, ₽/30 дн</t>
        </is>
      </c>
      <c r="E1018" t="n">
        <v>45</v>
      </c>
    </row>
    <row r="1019">
      <c r="A1019" t="inlineStr">
        <is>
          <t>CIAN</t>
        </is>
      </c>
      <c r="B1019" t="inlineStr">
        <is>
          <t>Пермь</t>
        </is>
      </c>
      <c r="C1019" t="inlineStr">
        <is>
          <t>Продажа · Коммерческая · Производство</t>
        </is>
      </c>
      <c r="D1019" t="inlineStr">
        <is>
          <t>Топ, ₽/сут</t>
        </is>
      </c>
      <c r="E1019" t="inlineStr">
        <is>
          <t>—</t>
        </is>
      </c>
    </row>
    <row r="1020">
      <c r="A1020" t="inlineStr">
        <is>
          <t>CIAN</t>
        </is>
      </c>
      <c r="B1020" t="inlineStr">
        <is>
          <t>Пермь</t>
        </is>
      </c>
      <c r="C1020" t="inlineStr">
        <is>
          <t>Продажа · Коммерческая · Производство</t>
        </is>
      </c>
      <c r="D1020" t="inlineStr">
        <is>
          <t>Премиум, ₽/сут</t>
        </is>
      </c>
      <c r="E1020" t="inlineStr">
        <is>
          <t>—</t>
        </is>
      </c>
    </row>
    <row r="1021">
      <c r="A1021" t="inlineStr">
        <is>
          <t>CIAN</t>
        </is>
      </c>
      <c r="B1021" t="inlineStr">
        <is>
          <t>Пермь</t>
        </is>
      </c>
      <c r="C1021" t="inlineStr">
        <is>
          <t>Продажа · Коммерческая · Производство</t>
        </is>
      </c>
      <c r="D1021" t="inlineStr">
        <is>
          <t>Стандарт, ₽/сут</t>
        </is>
      </c>
      <c r="E1021" t="inlineStr">
        <is>
          <t>—</t>
        </is>
      </c>
    </row>
    <row r="1022">
      <c r="A1022" t="inlineStr">
        <is>
          <t>CIAN</t>
        </is>
      </c>
      <c r="B1022" t="inlineStr">
        <is>
          <t>Волгоград</t>
        </is>
      </c>
      <c r="C1022" t="inlineStr">
        <is>
          <t>Продажа · Коммерческая · Производство</t>
        </is>
      </c>
      <c r="D1022" t="inlineStr">
        <is>
          <t>Публикация, ₽/30 дн</t>
        </is>
      </c>
      <c r="E1022" t="n">
        <v>204</v>
      </c>
    </row>
    <row r="1023">
      <c r="A1023" t="inlineStr">
        <is>
          <t>CIAN</t>
        </is>
      </c>
      <c r="B1023" t="inlineStr">
        <is>
          <t>Волгоград</t>
        </is>
      </c>
      <c r="C1023" t="inlineStr">
        <is>
          <t>Продажа · Коммерческая · Производство</t>
        </is>
      </c>
      <c r="D1023" t="inlineStr">
        <is>
          <t>Топ, ₽/сут</t>
        </is>
      </c>
      <c r="E1023" t="inlineStr">
        <is>
          <t>—</t>
        </is>
      </c>
    </row>
    <row r="1024">
      <c r="A1024" t="inlineStr">
        <is>
          <t>CIAN</t>
        </is>
      </c>
      <c r="B1024" t="inlineStr">
        <is>
          <t>Волгоград</t>
        </is>
      </c>
      <c r="C1024" t="inlineStr">
        <is>
          <t>Продажа · Коммерческая · Производство</t>
        </is>
      </c>
      <c r="D1024" t="inlineStr">
        <is>
          <t>Премиум, ₽/сут</t>
        </is>
      </c>
      <c r="E1024" t="inlineStr">
        <is>
          <t>—</t>
        </is>
      </c>
    </row>
    <row r="1025">
      <c r="A1025" t="inlineStr">
        <is>
          <t>CIAN</t>
        </is>
      </c>
      <c r="B1025" t="inlineStr">
        <is>
          <t>Волгоград</t>
        </is>
      </c>
      <c r="C1025" t="inlineStr">
        <is>
          <t>Продажа · Коммерческая · Производство</t>
        </is>
      </c>
      <c r="D1025" t="inlineStr">
        <is>
          <t>Стандарт, ₽/сут</t>
        </is>
      </c>
      <c r="E1025" t="inlineStr">
        <is>
          <t>—</t>
        </is>
      </c>
    </row>
    <row r="1026">
      <c r="A1026" t="inlineStr">
        <is>
          <t>CIAN</t>
        </is>
      </c>
      <c r="B1026" t="inlineStr">
        <is>
          <t>Москва</t>
        </is>
      </c>
      <c r="C1026" t="inlineStr">
        <is>
          <t>Продажа · Коммерческая · Помещение свободного назначения</t>
        </is>
      </c>
      <c r="D1026" t="inlineStr">
        <is>
          <t>Публикация, ₽/30 дн</t>
        </is>
      </c>
      <c r="E1026" t="n">
        <v>3120</v>
      </c>
    </row>
    <row r="1027">
      <c r="A1027" t="inlineStr">
        <is>
          <t>CIAN</t>
        </is>
      </c>
      <c r="B1027" t="inlineStr">
        <is>
          <t>Москва</t>
        </is>
      </c>
      <c r="C1027" t="inlineStr">
        <is>
          <t>Продажа · Коммерческая · Помещение свободного назначения</t>
        </is>
      </c>
      <c r="D1027" t="inlineStr">
        <is>
          <t>Топ, ₽/сут</t>
        </is>
      </c>
      <c r="E1027" t="n">
        <v>1002</v>
      </c>
    </row>
    <row r="1028">
      <c r="A1028" t="inlineStr">
        <is>
          <t>CIAN</t>
        </is>
      </c>
      <c r="B1028" t="inlineStr">
        <is>
          <t>Москва</t>
        </is>
      </c>
      <c r="C1028" t="inlineStr">
        <is>
          <t>Продажа · Коммерческая · Помещение свободного назначения</t>
        </is>
      </c>
      <c r="D1028" t="inlineStr">
        <is>
          <t>Премиум, ₽/сут</t>
        </is>
      </c>
      <c r="E1028" t="n">
        <v>450</v>
      </c>
    </row>
    <row r="1029">
      <c r="A1029" t="inlineStr">
        <is>
          <t>CIAN</t>
        </is>
      </c>
      <c r="B1029" t="inlineStr">
        <is>
          <t>Москва</t>
        </is>
      </c>
      <c r="C1029" t="inlineStr">
        <is>
          <t>Продажа · Коммерческая · Помещение свободного назначения</t>
        </is>
      </c>
      <c r="D1029" t="inlineStr">
        <is>
          <t>Стандарт, ₽/сут</t>
        </is>
      </c>
      <c r="E1029" t="n">
        <v>372</v>
      </c>
    </row>
    <row r="1030">
      <c r="A1030" t="inlineStr">
        <is>
          <t>CIAN</t>
        </is>
      </c>
      <c r="B1030" t="inlineStr">
        <is>
          <t>Санкт-Петербург</t>
        </is>
      </c>
      <c r="C1030" t="inlineStr">
        <is>
          <t>Продажа · Коммерческая · Помещение свободного назначения</t>
        </is>
      </c>
      <c r="D1030" t="inlineStr">
        <is>
          <t>Публикация, ₽/30 дн</t>
        </is>
      </c>
      <c r="E1030" t="n">
        <v>1659</v>
      </c>
    </row>
    <row r="1031">
      <c r="A1031" t="inlineStr">
        <is>
          <t>CIAN</t>
        </is>
      </c>
      <c r="B1031" t="inlineStr">
        <is>
          <t>Санкт-Петербург</t>
        </is>
      </c>
      <c r="C1031" t="inlineStr">
        <is>
          <t>Продажа · Коммерческая · Помещение свободного назначения</t>
        </is>
      </c>
      <c r="D1031" t="inlineStr">
        <is>
          <t>Топ, ₽/сут</t>
        </is>
      </c>
      <c r="E1031" t="n">
        <v>522</v>
      </c>
    </row>
    <row r="1032">
      <c r="A1032" t="inlineStr">
        <is>
          <t>CIAN</t>
        </is>
      </c>
      <c r="B1032" t="inlineStr">
        <is>
          <t>Санкт-Петербург</t>
        </is>
      </c>
      <c r="C1032" t="inlineStr">
        <is>
          <t>Продажа · Коммерческая · Помещение свободного назначения</t>
        </is>
      </c>
      <c r="D1032" t="inlineStr">
        <is>
          <t>Премиум, ₽/сут</t>
        </is>
      </c>
      <c r="E1032" t="n">
        <v>230</v>
      </c>
    </row>
    <row r="1033">
      <c r="A1033" t="inlineStr">
        <is>
          <t>CIAN</t>
        </is>
      </c>
      <c r="B1033" t="inlineStr">
        <is>
          <t>Санкт-Петербург</t>
        </is>
      </c>
      <c r="C1033" t="inlineStr">
        <is>
          <t>Продажа · Коммерческая · Помещение свободного назначения</t>
        </is>
      </c>
      <c r="D1033" t="inlineStr">
        <is>
          <t>Стандарт, ₽/сут</t>
        </is>
      </c>
      <c r="E1033" t="n">
        <v>71</v>
      </c>
    </row>
    <row r="1034">
      <c r="A1034" t="inlineStr">
        <is>
          <t>CIAN</t>
        </is>
      </c>
      <c r="B1034" t="inlineStr">
        <is>
          <t>Новосибирск</t>
        </is>
      </c>
      <c r="C1034" t="inlineStr">
        <is>
          <t>Продажа · Коммерческая · Помещение свободного назначения</t>
        </is>
      </c>
      <c r="D1034" t="inlineStr">
        <is>
          <t>Публикация, ₽/30 дн</t>
        </is>
      </c>
      <c r="E1034" t="n">
        <v>1389</v>
      </c>
    </row>
    <row r="1035">
      <c r="A1035" t="inlineStr">
        <is>
          <t>CIAN</t>
        </is>
      </c>
      <c r="B1035" t="inlineStr">
        <is>
          <t>Новосибирск</t>
        </is>
      </c>
      <c r="C1035" t="inlineStr">
        <is>
          <t>Продажа · Коммерческая · Помещение свободного назначения</t>
        </is>
      </c>
      <c r="D1035" t="inlineStr">
        <is>
          <t>Топ, ₽/сут</t>
        </is>
      </c>
      <c r="E1035" t="n">
        <v>356</v>
      </c>
    </row>
    <row r="1036">
      <c r="A1036" t="inlineStr">
        <is>
          <t>CIAN</t>
        </is>
      </c>
      <c r="B1036" t="inlineStr">
        <is>
          <t>Новосибирск</t>
        </is>
      </c>
      <c r="C1036" t="inlineStr">
        <is>
          <t>Продажа · Коммерческая · Помещение свободного назначения</t>
        </is>
      </c>
      <c r="D1036" t="inlineStr">
        <is>
          <t>Премиум, ₽/сут</t>
        </is>
      </c>
      <c r="E1036" t="n">
        <v>162</v>
      </c>
    </row>
    <row r="1037">
      <c r="A1037" t="inlineStr">
        <is>
          <t>CIAN</t>
        </is>
      </c>
      <c r="B1037" t="inlineStr">
        <is>
          <t>Новосибирск</t>
        </is>
      </c>
      <c r="C1037" t="inlineStr">
        <is>
          <t>Продажа · Коммерческая · Помещение свободного назначения</t>
        </is>
      </c>
      <c r="D1037" t="inlineStr">
        <is>
          <t>Стандарт, ₽/сут</t>
        </is>
      </c>
      <c r="E1037" t="n">
        <v>48</v>
      </c>
    </row>
    <row r="1038">
      <c r="A1038" t="inlineStr">
        <is>
          <t>CIAN</t>
        </is>
      </c>
      <c r="B1038" t="inlineStr">
        <is>
          <t>Екатеринбург</t>
        </is>
      </c>
      <c r="C1038" t="inlineStr">
        <is>
          <t>Продажа · Коммерческая · Помещение свободного назначения</t>
        </is>
      </c>
      <c r="D1038" t="inlineStr">
        <is>
          <t>Публикация, ₽/30 дн</t>
        </is>
      </c>
      <c r="E1038" t="n">
        <v>510</v>
      </c>
    </row>
    <row r="1039">
      <c r="A1039" t="inlineStr">
        <is>
          <t>CIAN</t>
        </is>
      </c>
      <c r="B1039" t="inlineStr">
        <is>
          <t>Екатеринбург</t>
        </is>
      </c>
      <c r="C1039" t="inlineStr">
        <is>
          <t>Продажа · Коммерческая · Помещение свободного назначения</t>
        </is>
      </c>
      <c r="D1039" t="inlineStr">
        <is>
          <t>Топ, ₽/сут</t>
        </is>
      </c>
      <c r="E1039" t="n">
        <v>456</v>
      </c>
    </row>
    <row r="1040">
      <c r="A1040" t="inlineStr">
        <is>
          <t>CIAN</t>
        </is>
      </c>
      <c r="B1040" t="inlineStr">
        <is>
          <t>Екатеринбург</t>
        </is>
      </c>
      <c r="C1040" t="inlineStr">
        <is>
          <t>Продажа · Коммерческая · Помещение свободного назначения</t>
        </is>
      </c>
      <c r="D1040" t="inlineStr">
        <is>
          <t>Премиум, ₽/сут</t>
        </is>
      </c>
      <c r="E1040" t="n">
        <v>231</v>
      </c>
    </row>
    <row r="1041">
      <c r="A1041" t="inlineStr">
        <is>
          <t>CIAN</t>
        </is>
      </c>
      <c r="B1041" t="inlineStr">
        <is>
          <t>Екатеринбург</t>
        </is>
      </c>
      <c r="C1041" t="inlineStr">
        <is>
          <t>Продажа · Коммерческая · Помещение свободного назначения</t>
        </is>
      </c>
      <c r="D1041" t="inlineStr">
        <is>
          <t>Стандарт, ₽/сут</t>
        </is>
      </c>
      <c r="E1041" t="n">
        <v>71</v>
      </c>
    </row>
    <row r="1042">
      <c r="A1042" t="inlineStr">
        <is>
          <t>CIAN</t>
        </is>
      </c>
      <c r="B1042" t="inlineStr">
        <is>
          <t>Казань</t>
        </is>
      </c>
      <c r="C1042" t="inlineStr">
        <is>
          <t>Продажа · Коммерческая · Помещение свободного назначения</t>
        </is>
      </c>
      <c r="D1042" t="inlineStr">
        <is>
          <t>Публикация, ₽/30 дн</t>
        </is>
      </c>
      <c r="E1042" t="n">
        <v>441</v>
      </c>
    </row>
    <row r="1043">
      <c r="A1043" t="inlineStr">
        <is>
          <t>CIAN</t>
        </is>
      </c>
      <c r="B1043" t="inlineStr">
        <is>
          <t>Казань</t>
        </is>
      </c>
      <c r="C1043" t="inlineStr">
        <is>
          <t>Продажа · Коммерческая · Помещение свободного назначения</t>
        </is>
      </c>
      <c r="D1043" t="inlineStr">
        <is>
          <t>Топ, ₽/сут</t>
        </is>
      </c>
      <c r="E1043" t="n">
        <v>126</v>
      </c>
    </row>
    <row r="1044">
      <c r="A1044" t="inlineStr">
        <is>
          <t>CIAN</t>
        </is>
      </c>
      <c r="B1044" t="inlineStr">
        <is>
          <t>Казань</t>
        </is>
      </c>
      <c r="C1044" t="inlineStr">
        <is>
          <t>Продажа · Коммерческая · Помещение свободного назначения</t>
        </is>
      </c>
      <c r="D1044" t="inlineStr">
        <is>
          <t>Премиум, ₽/сут</t>
        </is>
      </c>
      <c r="E1044" t="n">
        <v>56</v>
      </c>
    </row>
    <row r="1045">
      <c r="A1045" t="inlineStr">
        <is>
          <t>CIAN</t>
        </is>
      </c>
      <c r="B1045" t="inlineStr">
        <is>
          <t>Казань</t>
        </is>
      </c>
      <c r="C1045" t="inlineStr">
        <is>
          <t>Продажа · Коммерческая · Помещение свободного назначения</t>
        </is>
      </c>
      <c r="D1045" t="inlineStr">
        <is>
          <t>Стандарт, ₽/сут</t>
        </is>
      </c>
      <c r="E1045" t="n">
        <v>18</v>
      </c>
    </row>
    <row r="1046">
      <c r="A1046" t="inlineStr">
        <is>
          <t>CIAN</t>
        </is>
      </c>
      <c r="B1046" t="inlineStr">
        <is>
          <t>Красноярск</t>
        </is>
      </c>
      <c r="C1046" t="inlineStr">
        <is>
          <t>Продажа · Коммерческая · Помещение свободного назначения</t>
        </is>
      </c>
      <c r="D1046" t="inlineStr">
        <is>
          <t>Публикация, ₽/30 дн</t>
        </is>
      </c>
      <c r="E1046" t="n">
        <v>591</v>
      </c>
    </row>
    <row r="1047">
      <c r="A1047" t="inlineStr">
        <is>
          <t>CIAN</t>
        </is>
      </c>
      <c r="B1047" t="inlineStr">
        <is>
          <t>Красноярск</t>
        </is>
      </c>
      <c r="C1047" t="inlineStr">
        <is>
          <t>Продажа · Коммерческая · Помещение свободного назначения</t>
        </is>
      </c>
      <c r="D1047" t="inlineStr">
        <is>
          <t>Топ, ₽/сут</t>
        </is>
      </c>
      <c r="E1047" t="inlineStr">
        <is>
          <t>—</t>
        </is>
      </c>
    </row>
    <row r="1048">
      <c r="A1048" t="inlineStr">
        <is>
          <t>CIAN</t>
        </is>
      </c>
      <c r="B1048" t="inlineStr">
        <is>
          <t>Красноярск</t>
        </is>
      </c>
      <c r="C1048" t="inlineStr">
        <is>
          <t>Продажа · Коммерческая · Помещение свободного назначения</t>
        </is>
      </c>
      <c r="D1048" t="inlineStr">
        <is>
          <t>Премиум, ₽/сут</t>
        </is>
      </c>
      <c r="E1048" t="inlineStr">
        <is>
          <t>—</t>
        </is>
      </c>
    </row>
    <row r="1049">
      <c r="A1049" t="inlineStr">
        <is>
          <t>CIAN</t>
        </is>
      </c>
      <c r="B1049" t="inlineStr">
        <is>
          <t>Красноярск</t>
        </is>
      </c>
      <c r="C1049" t="inlineStr">
        <is>
          <t>Продажа · Коммерческая · Помещение свободного назначения</t>
        </is>
      </c>
      <c r="D1049" t="inlineStr">
        <is>
          <t>Стандарт, ₽/сут</t>
        </is>
      </c>
      <c r="E1049" t="inlineStr">
        <is>
          <t>—</t>
        </is>
      </c>
    </row>
    <row r="1050">
      <c r="A1050" t="inlineStr">
        <is>
          <t>CIAN</t>
        </is>
      </c>
      <c r="B1050" t="inlineStr">
        <is>
          <t>Нижний Новгород</t>
        </is>
      </c>
      <c r="C1050" t="inlineStr">
        <is>
          <t>Продажа · Коммерческая · Помещение свободного назначения</t>
        </is>
      </c>
      <c r="D1050" t="inlineStr">
        <is>
          <t>Публикация, ₽/30 дн</t>
        </is>
      </c>
      <c r="E1050" t="n">
        <v>294</v>
      </c>
    </row>
    <row r="1051">
      <c r="A1051" t="inlineStr">
        <is>
          <t>CIAN</t>
        </is>
      </c>
      <c r="B1051" t="inlineStr">
        <is>
          <t>Нижний Новгород</t>
        </is>
      </c>
      <c r="C1051" t="inlineStr">
        <is>
          <t>Продажа · Коммерческая · Помещение свободного назначения</t>
        </is>
      </c>
      <c r="D1051" t="inlineStr">
        <is>
          <t>Топ, ₽/сут</t>
        </is>
      </c>
      <c r="E1051" t="n">
        <v>120</v>
      </c>
    </row>
    <row r="1052">
      <c r="A1052" t="inlineStr">
        <is>
          <t>CIAN</t>
        </is>
      </c>
      <c r="B1052" t="inlineStr">
        <is>
          <t>Нижний Новгород</t>
        </is>
      </c>
      <c r="C1052" t="inlineStr">
        <is>
          <t>Продажа · Коммерческая · Помещение свободного назначения</t>
        </is>
      </c>
      <c r="D1052" t="inlineStr">
        <is>
          <t>Премиум, ₽/сут</t>
        </is>
      </c>
      <c r="E1052" t="n">
        <v>56</v>
      </c>
    </row>
    <row r="1053">
      <c r="A1053" t="inlineStr">
        <is>
          <t>CIAN</t>
        </is>
      </c>
      <c r="B1053" t="inlineStr">
        <is>
          <t>Нижний Новгород</t>
        </is>
      </c>
      <c r="C1053" t="inlineStr">
        <is>
          <t>Продажа · Коммерческая · Помещение свободного назначения</t>
        </is>
      </c>
      <c r="D1053" t="inlineStr">
        <is>
          <t>Стандарт, ₽/сут</t>
        </is>
      </c>
      <c r="E1053" t="n">
        <v>18</v>
      </c>
    </row>
    <row r="1054">
      <c r="A1054" t="inlineStr">
        <is>
          <t>CIAN</t>
        </is>
      </c>
      <c r="B1054" t="inlineStr">
        <is>
          <t>Челябинск</t>
        </is>
      </c>
      <c r="C1054" t="inlineStr">
        <is>
          <t>Продажа · Коммерческая · Помещение свободного назначения</t>
        </is>
      </c>
      <c r="D1054" t="inlineStr">
        <is>
          <t>Публикация, ₽/30 дн</t>
        </is>
      </c>
      <c r="E1054" t="n">
        <v>258</v>
      </c>
    </row>
    <row r="1055">
      <c r="A1055" t="inlineStr">
        <is>
          <t>CIAN</t>
        </is>
      </c>
      <c r="B1055" t="inlineStr">
        <is>
          <t>Челябинск</t>
        </is>
      </c>
      <c r="C1055" t="inlineStr">
        <is>
          <t>Продажа · Коммерческая · Помещение свободного назначения</t>
        </is>
      </c>
      <c r="D1055" t="inlineStr">
        <is>
          <t>Топ, ₽/сут</t>
        </is>
      </c>
      <c r="E1055" t="n">
        <v>225</v>
      </c>
    </row>
    <row r="1056">
      <c r="A1056" t="inlineStr">
        <is>
          <t>CIAN</t>
        </is>
      </c>
      <c r="B1056" t="inlineStr">
        <is>
          <t>Челябинск</t>
        </is>
      </c>
      <c r="C1056" t="inlineStr">
        <is>
          <t>Продажа · Коммерческая · Помещение свободного назначения</t>
        </is>
      </c>
      <c r="D1056" t="inlineStr">
        <is>
          <t>Премиум, ₽/сут</t>
        </is>
      </c>
      <c r="E1056" t="n">
        <v>105</v>
      </c>
    </row>
    <row r="1057">
      <c r="A1057" t="inlineStr">
        <is>
          <t>CIAN</t>
        </is>
      </c>
      <c r="B1057" t="inlineStr">
        <is>
          <t>Челябинск</t>
        </is>
      </c>
      <c r="C1057" t="inlineStr">
        <is>
          <t>Продажа · Коммерческая · Помещение свободного назначения</t>
        </is>
      </c>
      <c r="D1057" t="inlineStr">
        <is>
          <t>Стандарт, ₽/сут</t>
        </is>
      </c>
      <c r="E1057" t="n">
        <v>33</v>
      </c>
    </row>
    <row r="1058">
      <c r="A1058" t="inlineStr">
        <is>
          <t>CIAN</t>
        </is>
      </c>
      <c r="B1058" t="inlineStr">
        <is>
          <t>Уфа</t>
        </is>
      </c>
      <c r="C1058" t="inlineStr">
        <is>
          <t>Продажа · Коммерческая · Помещение свободного назначения</t>
        </is>
      </c>
      <c r="D1058" t="inlineStr">
        <is>
          <t>Публикация, ₽/30 дн</t>
        </is>
      </c>
      <c r="E1058" t="n">
        <v>291</v>
      </c>
    </row>
    <row r="1059">
      <c r="A1059" t="inlineStr">
        <is>
          <t>CIAN</t>
        </is>
      </c>
      <c r="B1059" t="inlineStr">
        <is>
          <t>Уфа</t>
        </is>
      </c>
      <c r="C1059" t="inlineStr">
        <is>
          <t>Продажа · Коммерческая · Помещение свободного назначения</t>
        </is>
      </c>
      <c r="D1059" t="inlineStr">
        <is>
          <t>Топ, ₽/сут</t>
        </is>
      </c>
      <c r="E1059" t="n">
        <v>110</v>
      </c>
    </row>
    <row r="1060">
      <c r="A1060" t="inlineStr">
        <is>
          <t>CIAN</t>
        </is>
      </c>
      <c r="B1060" t="inlineStr">
        <is>
          <t>Уфа</t>
        </is>
      </c>
      <c r="C1060" t="inlineStr">
        <is>
          <t>Продажа · Коммерческая · Помещение свободного назначения</t>
        </is>
      </c>
      <c r="D1060" t="inlineStr">
        <is>
          <t>Премиум, ₽/сут</t>
        </is>
      </c>
      <c r="E1060" t="n">
        <v>49</v>
      </c>
    </row>
    <row r="1061">
      <c r="A1061" t="inlineStr">
        <is>
          <t>CIAN</t>
        </is>
      </c>
      <c r="B1061" t="inlineStr">
        <is>
          <t>Уфа</t>
        </is>
      </c>
      <c r="C1061" t="inlineStr">
        <is>
          <t>Продажа · Коммерческая · Помещение свободного назначения</t>
        </is>
      </c>
      <c r="D1061" t="inlineStr">
        <is>
          <t>Стандарт, ₽/сут</t>
        </is>
      </c>
      <c r="E1061" t="n">
        <v>15</v>
      </c>
    </row>
    <row r="1062">
      <c r="A1062" t="inlineStr">
        <is>
          <t>CIAN</t>
        </is>
      </c>
      <c r="B1062" t="inlineStr">
        <is>
          <t>Краснодар</t>
        </is>
      </c>
      <c r="C1062" t="inlineStr">
        <is>
          <t>Продажа · Коммерческая · Помещение свободного назначения</t>
        </is>
      </c>
      <c r="D1062" t="inlineStr">
        <is>
          <t>Публикация, ₽/30 дн</t>
        </is>
      </c>
      <c r="E1062" t="n">
        <v>462</v>
      </c>
    </row>
    <row r="1063">
      <c r="A1063" t="inlineStr">
        <is>
          <t>CIAN</t>
        </is>
      </c>
      <c r="B1063" t="inlineStr">
        <is>
          <t>Краснодар</t>
        </is>
      </c>
      <c r="C1063" t="inlineStr">
        <is>
          <t>Продажа · Коммерческая · Помещение свободного назначения</t>
        </is>
      </c>
      <c r="D1063" t="inlineStr">
        <is>
          <t>Топ, ₽/сут</t>
        </is>
      </c>
      <c r="E1063" t="n">
        <v>169</v>
      </c>
    </row>
    <row r="1064">
      <c r="A1064" t="inlineStr">
        <is>
          <t>CIAN</t>
        </is>
      </c>
      <c r="B1064" t="inlineStr">
        <is>
          <t>Краснодар</t>
        </is>
      </c>
      <c r="C1064" t="inlineStr">
        <is>
          <t>Продажа · Коммерческая · Помещение свободного назначения</t>
        </is>
      </c>
      <c r="D1064" t="inlineStr">
        <is>
          <t>Премиум, ₽/сут</t>
        </is>
      </c>
      <c r="E1064" t="n">
        <v>70</v>
      </c>
    </row>
    <row r="1065">
      <c r="A1065" t="inlineStr">
        <is>
          <t>CIAN</t>
        </is>
      </c>
      <c r="B1065" t="inlineStr">
        <is>
          <t>Краснодар</t>
        </is>
      </c>
      <c r="C1065" t="inlineStr">
        <is>
          <t>Продажа · Коммерческая · Помещение свободного назначения</t>
        </is>
      </c>
      <c r="D1065" t="inlineStr">
        <is>
          <t>Стандарт, ₽/сут</t>
        </is>
      </c>
      <c r="E1065" t="n">
        <v>22</v>
      </c>
    </row>
    <row r="1066">
      <c r="A1066" t="inlineStr">
        <is>
          <t>CIAN</t>
        </is>
      </c>
      <c r="B1066" t="inlineStr">
        <is>
          <t>Самара</t>
        </is>
      </c>
      <c r="C1066" t="inlineStr">
        <is>
          <t>Продажа · Коммерческая · Помещение свободного назначения</t>
        </is>
      </c>
      <c r="D1066" t="inlineStr">
        <is>
          <t>Публикация, ₽/30 дн</t>
        </is>
      </c>
      <c r="E1066" t="n">
        <v>333</v>
      </c>
    </row>
    <row r="1067">
      <c r="A1067" t="inlineStr">
        <is>
          <t>CIAN</t>
        </is>
      </c>
      <c r="B1067" t="inlineStr">
        <is>
          <t>Самара</t>
        </is>
      </c>
      <c r="C1067" t="inlineStr">
        <is>
          <t>Продажа · Коммерческая · Помещение свободного назначения</t>
        </is>
      </c>
      <c r="D1067" t="inlineStr">
        <is>
          <t>Топ, ₽/сут</t>
        </is>
      </c>
      <c r="E1067" t="inlineStr">
        <is>
          <t>—</t>
        </is>
      </c>
    </row>
    <row r="1068">
      <c r="A1068" t="inlineStr">
        <is>
          <t>CIAN</t>
        </is>
      </c>
      <c r="B1068" t="inlineStr">
        <is>
          <t>Самара</t>
        </is>
      </c>
      <c r="C1068" t="inlineStr">
        <is>
          <t>Продажа · Коммерческая · Помещение свободного назначения</t>
        </is>
      </c>
      <c r="D1068" t="inlineStr">
        <is>
          <t>Премиум, ₽/сут</t>
        </is>
      </c>
      <c r="E1068" t="inlineStr">
        <is>
          <t>—</t>
        </is>
      </c>
    </row>
    <row r="1069">
      <c r="A1069" t="inlineStr">
        <is>
          <t>CIAN</t>
        </is>
      </c>
      <c r="B1069" t="inlineStr">
        <is>
          <t>Самара</t>
        </is>
      </c>
      <c r="C1069" t="inlineStr">
        <is>
          <t>Продажа · Коммерческая · Помещение свободного назначения</t>
        </is>
      </c>
      <c r="D1069" t="inlineStr">
        <is>
          <t>Стандарт, ₽/сут</t>
        </is>
      </c>
      <c r="E1069" t="inlineStr">
        <is>
          <t>—</t>
        </is>
      </c>
    </row>
    <row r="1070">
      <c r="A1070" t="inlineStr">
        <is>
          <t>CIAN</t>
        </is>
      </c>
      <c r="B1070" t="inlineStr">
        <is>
          <t>Ростов-на-Дону</t>
        </is>
      </c>
      <c r="C1070" t="inlineStr">
        <is>
          <t>Продажа · Коммерческая · Помещение свободного назначения</t>
        </is>
      </c>
      <c r="D1070" t="inlineStr">
        <is>
          <t>Публикация, ₽/30 дн</t>
        </is>
      </c>
      <c r="E1070" t="n">
        <v>360</v>
      </c>
    </row>
    <row r="1071">
      <c r="A1071" t="inlineStr">
        <is>
          <t>CIAN</t>
        </is>
      </c>
      <c r="B1071" t="inlineStr">
        <is>
          <t>Ростов-на-Дону</t>
        </is>
      </c>
      <c r="C1071" t="inlineStr">
        <is>
          <t>Продажа · Коммерческая · Помещение свободного назначения</t>
        </is>
      </c>
      <c r="D1071" t="inlineStr">
        <is>
          <t>Топ, ₽/сут</t>
        </is>
      </c>
      <c r="E1071" t="n">
        <v>145</v>
      </c>
    </row>
    <row r="1072">
      <c r="A1072" t="inlineStr">
        <is>
          <t>CIAN</t>
        </is>
      </c>
      <c r="B1072" t="inlineStr">
        <is>
          <t>Ростов-на-Дону</t>
        </is>
      </c>
      <c r="C1072" t="inlineStr">
        <is>
          <t>Продажа · Коммерческая · Помещение свободного назначения</t>
        </is>
      </c>
      <c r="D1072" t="inlineStr">
        <is>
          <t>Премиум, ₽/сут</t>
        </is>
      </c>
      <c r="E1072" t="n">
        <v>61</v>
      </c>
    </row>
    <row r="1073">
      <c r="A1073" t="inlineStr">
        <is>
          <t>CIAN</t>
        </is>
      </c>
      <c r="B1073" t="inlineStr">
        <is>
          <t>Ростов-на-Дону</t>
        </is>
      </c>
      <c r="C1073" t="inlineStr">
        <is>
          <t>Продажа · Коммерческая · Помещение свободного назначения</t>
        </is>
      </c>
      <c r="D1073" t="inlineStr">
        <is>
          <t>Стандарт, ₽/сут</t>
        </is>
      </c>
      <c r="E1073" t="n">
        <v>17</v>
      </c>
    </row>
    <row r="1074">
      <c r="A1074" t="inlineStr">
        <is>
          <t>CIAN</t>
        </is>
      </c>
      <c r="B1074" t="inlineStr">
        <is>
          <t>Омск</t>
        </is>
      </c>
      <c r="C1074" t="inlineStr">
        <is>
          <t>Продажа · Коммерческая · Помещение свободного назначения</t>
        </is>
      </c>
      <c r="D1074" t="inlineStr">
        <is>
          <t>Публикация, ₽/30 дн</t>
        </is>
      </c>
      <c r="E1074" t="n">
        <v>918</v>
      </c>
    </row>
    <row r="1075">
      <c r="A1075" t="inlineStr">
        <is>
          <t>CIAN</t>
        </is>
      </c>
      <c r="B1075" t="inlineStr">
        <is>
          <t>Омск</t>
        </is>
      </c>
      <c r="C1075" t="inlineStr">
        <is>
          <t>Продажа · Коммерческая · Помещение свободного назначения</t>
        </is>
      </c>
      <c r="D1075" t="inlineStr">
        <is>
          <t>Топ, ₽/сут</t>
        </is>
      </c>
      <c r="E1075" t="n">
        <v>291</v>
      </c>
    </row>
    <row r="1076">
      <c r="A1076" t="inlineStr">
        <is>
          <t>CIAN</t>
        </is>
      </c>
      <c r="B1076" t="inlineStr">
        <is>
          <t>Омск</t>
        </is>
      </c>
      <c r="C1076" t="inlineStr">
        <is>
          <t>Продажа · Коммерческая · Помещение свободного назначения</t>
        </is>
      </c>
      <c r="D1076" t="inlineStr">
        <is>
          <t>Премиум, ₽/сут</t>
        </is>
      </c>
      <c r="E1076" t="n">
        <v>165</v>
      </c>
    </row>
    <row r="1077">
      <c r="A1077" t="inlineStr">
        <is>
          <t>CIAN</t>
        </is>
      </c>
      <c r="B1077" t="inlineStr">
        <is>
          <t>Омск</t>
        </is>
      </c>
      <c r="C1077" t="inlineStr">
        <is>
          <t>Продажа · Коммерческая · Помещение свободного назначения</t>
        </is>
      </c>
      <c r="D1077" t="inlineStr">
        <is>
          <t>Стандарт, ₽/сут</t>
        </is>
      </c>
      <c r="E1077" t="n">
        <v>56</v>
      </c>
    </row>
    <row r="1078">
      <c r="A1078" t="inlineStr">
        <is>
          <t>CIAN</t>
        </is>
      </c>
      <c r="B1078" t="inlineStr">
        <is>
          <t>Воронеж</t>
        </is>
      </c>
      <c r="C1078" t="inlineStr">
        <is>
          <t>Продажа · Коммерческая · Помещение свободного назначения</t>
        </is>
      </c>
      <c r="D1078" t="inlineStr">
        <is>
          <t>Публикация, ₽/30 дн</t>
        </is>
      </c>
      <c r="E1078" t="n">
        <v>204</v>
      </c>
    </row>
    <row r="1079">
      <c r="A1079" t="inlineStr">
        <is>
          <t>CIAN</t>
        </is>
      </c>
      <c r="B1079" t="inlineStr">
        <is>
          <t>Воронеж</t>
        </is>
      </c>
      <c r="C1079" t="inlineStr">
        <is>
          <t>Продажа · Коммерческая · Помещение свободного назначения</t>
        </is>
      </c>
      <c r="D1079" t="inlineStr">
        <is>
          <t>Топ, ₽/сут</t>
        </is>
      </c>
      <c r="E1079" t="inlineStr">
        <is>
          <t>—</t>
        </is>
      </c>
    </row>
    <row r="1080">
      <c r="A1080" t="inlineStr">
        <is>
          <t>CIAN</t>
        </is>
      </c>
      <c r="B1080" t="inlineStr">
        <is>
          <t>Воронеж</t>
        </is>
      </c>
      <c r="C1080" t="inlineStr">
        <is>
          <t>Продажа · Коммерческая · Помещение свободного назначения</t>
        </is>
      </c>
      <c r="D1080" t="inlineStr">
        <is>
          <t>Премиум, ₽/сут</t>
        </is>
      </c>
      <c r="E1080" t="inlineStr">
        <is>
          <t>—</t>
        </is>
      </c>
    </row>
    <row r="1081">
      <c r="A1081" t="inlineStr">
        <is>
          <t>CIAN</t>
        </is>
      </c>
      <c r="B1081" t="inlineStr">
        <is>
          <t>Воронеж</t>
        </is>
      </c>
      <c r="C1081" t="inlineStr">
        <is>
          <t>Продажа · Коммерческая · Помещение свободного назначения</t>
        </is>
      </c>
      <c r="D1081" t="inlineStr">
        <is>
          <t>Стандарт, ₽/сут</t>
        </is>
      </c>
      <c r="E1081" t="inlineStr">
        <is>
          <t>—</t>
        </is>
      </c>
    </row>
    <row r="1082">
      <c r="A1082" t="inlineStr">
        <is>
          <t>CIAN</t>
        </is>
      </c>
      <c r="B1082" t="inlineStr">
        <is>
          <t>Пермь</t>
        </is>
      </c>
      <c r="C1082" t="inlineStr">
        <is>
          <t>Продажа · Коммерческая · Помещение свободного назначения</t>
        </is>
      </c>
      <c r="D1082" t="inlineStr">
        <is>
          <t>Публикация, ₽/30 дн</t>
        </is>
      </c>
      <c r="E1082" t="n">
        <v>78</v>
      </c>
    </row>
    <row r="1083">
      <c r="A1083" t="inlineStr">
        <is>
          <t>CIAN</t>
        </is>
      </c>
      <c r="B1083" t="inlineStr">
        <is>
          <t>Пермь</t>
        </is>
      </c>
      <c r="C1083" t="inlineStr">
        <is>
          <t>Продажа · Коммерческая · Помещение свободного назначения</t>
        </is>
      </c>
      <c r="D1083" t="inlineStr">
        <is>
          <t>Топ, ₽/сут</t>
        </is>
      </c>
      <c r="E1083" t="inlineStr">
        <is>
          <t>—</t>
        </is>
      </c>
    </row>
    <row r="1084">
      <c r="A1084" t="inlineStr">
        <is>
          <t>CIAN</t>
        </is>
      </c>
      <c r="B1084" t="inlineStr">
        <is>
          <t>Пермь</t>
        </is>
      </c>
      <c r="C1084" t="inlineStr">
        <is>
          <t>Продажа · Коммерческая · Помещение свободного назначения</t>
        </is>
      </c>
      <c r="D1084" t="inlineStr">
        <is>
          <t>Премиум, ₽/сут</t>
        </is>
      </c>
      <c r="E1084" t="inlineStr">
        <is>
          <t>—</t>
        </is>
      </c>
    </row>
    <row r="1085">
      <c r="A1085" t="inlineStr">
        <is>
          <t>CIAN</t>
        </is>
      </c>
      <c r="B1085" t="inlineStr">
        <is>
          <t>Пермь</t>
        </is>
      </c>
      <c r="C1085" t="inlineStr">
        <is>
          <t>Продажа · Коммерческая · Помещение свободного назначения</t>
        </is>
      </c>
      <c r="D1085" t="inlineStr">
        <is>
          <t>Стандарт, ₽/сут</t>
        </is>
      </c>
      <c r="E1085" t="inlineStr">
        <is>
          <t>—</t>
        </is>
      </c>
    </row>
    <row r="1086">
      <c r="A1086" t="inlineStr">
        <is>
          <t>CIAN</t>
        </is>
      </c>
      <c r="B1086" t="inlineStr">
        <is>
          <t>Волгоград</t>
        </is>
      </c>
      <c r="C1086" t="inlineStr">
        <is>
          <t>Продажа · Коммерческая · Помещение свободного назначения</t>
        </is>
      </c>
      <c r="D1086" t="inlineStr">
        <is>
          <t>Публикация, ₽/30 дн</t>
        </is>
      </c>
      <c r="E1086" t="n">
        <v>630</v>
      </c>
    </row>
    <row r="1087">
      <c r="A1087" t="inlineStr">
        <is>
          <t>CIAN</t>
        </is>
      </c>
      <c r="B1087" t="inlineStr">
        <is>
          <t>Волгоград</t>
        </is>
      </c>
      <c r="C1087" t="inlineStr">
        <is>
          <t>Продажа · Коммерческая · Помещение свободного назначения</t>
        </is>
      </c>
      <c r="D1087" t="inlineStr">
        <is>
          <t>Топ, ₽/сут</t>
        </is>
      </c>
      <c r="E1087" t="inlineStr">
        <is>
          <t>—</t>
        </is>
      </c>
    </row>
    <row r="1088">
      <c r="A1088" t="inlineStr">
        <is>
          <t>CIAN</t>
        </is>
      </c>
      <c r="B1088" t="inlineStr">
        <is>
          <t>Волгоград</t>
        </is>
      </c>
      <c r="C1088" t="inlineStr">
        <is>
          <t>Продажа · Коммерческая · Помещение свободного назначения</t>
        </is>
      </c>
      <c r="D1088" t="inlineStr">
        <is>
          <t>Премиум, ₽/сут</t>
        </is>
      </c>
      <c r="E1088" t="inlineStr">
        <is>
          <t>—</t>
        </is>
      </c>
    </row>
    <row r="1089">
      <c r="A1089" t="inlineStr">
        <is>
          <t>CIAN</t>
        </is>
      </c>
      <c r="B1089" t="inlineStr">
        <is>
          <t>Волгоград</t>
        </is>
      </c>
      <c r="C1089" t="inlineStr">
        <is>
          <t>Продажа · Коммерческая · Помещение свободного назначения</t>
        </is>
      </c>
      <c r="D1089" t="inlineStr">
        <is>
          <t>Стандарт, ₽/сут</t>
        </is>
      </c>
      <c r="E1089" t="inlineStr">
        <is>
          <t>—</t>
        </is>
      </c>
    </row>
    <row r="1090">
      <c r="A1090" t="inlineStr">
        <is>
          <t>CIAN</t>
        </is>
      </c>
      <c r="B1090" t="inlineStr">
        <is>
          <t>Москва</t>
        </is>
      </c>
      <c r="C1090" t="inlineStr">
        <is>
          <t>Продажа · Коммерческая · Склад</t>
        </is>
      </c>
      <c r="D1090" t="inlineStr">
        <is>
          <t>Публикация, ₽/30 дн</t>
        </is>
      </c>
      <c r="E1090" t="n">
        <v>3420</v>
      </c>
    </row>
    <row r="1091">
      <c r="A1091" t="inlineStr">
        <is>
          <t>CIAN</t>
        </is>
      </c>
      <c r="B1091" t="inlineStr">
        <is>
          <t>Москва</t>
        </is>
      </c>
      <c r="C1091" t="inlineStr">
        <is>
          <t>Продажа · Коммерческая · Склад</t>
        </is>
      </c>
      <c r="D1091" t="inlineStr">
        <is>
          <t>Топ, ₽/сут</t>
        </is>
      </c>
      <c r="E1091" t="n">
        <v>958</v>
      </c>
    </row>
    <row r="1092">
      <c r="A1092" t="inlineStr">
        <is>
          <t>CIAN</t>
        </is>
      </c>
      <c r="B1092" t="inlineStr">
        <is>
          <t>Москва</t>
        </is>
      </c>
      <c r="C1092" t="inlineStr">
        <is>
          <t>Продажа · Коммерческая · Склад</t>
        </is>
      </c>
      <c r="D1092" t="inlineStr">
        <is>
          <t>Премиум, ₽/сут</t>
        </is>
      </c>
      <c r="E1092" t="n">
        <v>392</v>
      </c>
    </row>
    <row r="1093">
      <c r="A1093" t="inlineStr">
        <is>
          <t>CIAN</t>
        </is>
      </c>
      <c r="B1093" t="inlineStr">
        <is>
          <t>Москва</t>
        </is>
      </c>
      <c r="C1093" t="inlineStr">
        <is>
          <t>Продажа · Коммерческая · Склад</t>
        </is>
      </c>
      <c r="D1093" t="inlineStr">
        <is>
          <t>Стандарт, ₽/сут</t>
        </is>
      </c>
      <c r="E1093" t="n">
        <v>119</v>
      </c>
    </row>
    <row r="1094">
      <c r="A1094" t="inlineStr">
        <is>
          <t>CIAN</t>
        </is>
      </c>
      <c r="B1094" t="inlineStr">
        <is>
          <t>Санкт-Петербург</t>
        </is>
      </c>
      <c r="C1094" t="inlineStr">
        <is>
          <t>Продажа · Коммерческая · Склад</t>
        </is>
      </c>
      <c r="D1094" t="inlineStr">
        <is>
          <t>Публикация, ₽/30 дн</t>
        </is>
      </c>
      <c r="E1094" t="n">
        <v>1446</v>
      </c>
    </row>
    <row r="1095">
      <c r="A1095" t="inlineStr">
        <is>
          <t>CIAN</t>
        </is>
      </c>
      <c r="B1095" t="inlineStr">
        <is>
          <t>Санкт-Петербург</t>
        </is>
      </c>
      <c r="C1095" t="inlineStr">
        <is>
          <t>Продажа · Коммерческая · Склад</t>
        </is>
      </c>
      <c r="D1095" t="inlineStr">
        <is>
          <t>Топ, ₽/сут</t>
        </is>
      </c>
      <c r="E1095" t="n">
        <v>447</v>
      </c>
    </row>
    <row r="1096">
      <c r="A1096" t="inlineStr">
        <is>
          <t>CIAN</t>
        </is>
      </c>
      <c r="B1096" t="inlineStr">
        <is>
          <t>Санкт-Петербург</t>
        </is>
      </c>
      <c r="C1096" t="inlineStr">
        <is>
          <t>Продажа · Коммерческая · Склад</t>
        </is>
      </c>
      <c r="D1096" t="inlineStr">
        <is>
          <t>Премиум, ₽/сут</t>
        </is>
      </c>
      <c r="E1096" t="n">
        <v>196</v>
      </c>
    </row>
    <row r="1097">
      <c r="A1097" t="inlineStr">
        <is>
          <t>CIAN</t>
        </is>
      </c>
      <c r="B1097" t="inlineStr">
        <is>
          <t>Санкт-Петербург</t>
        </is>
      </c>
      <c r="C1097" t="inlineStr">
        <is>
          <t>Продажа · Коммерческая · Склад</t>
        </is>
      </c>
      <c r="D1097" t="inlineStr">
        <is>
          <t>Стандарт, ₽/сут</t>
        </is>
      </c>
      <c r="E1097" t="n">
        <v>61</v>
      </c>
    </row>
    <row r="1098">
      <c r="A1098" t="inlineStr">
        <is>
          <t>CIAN</t>
        </is>
      </c>
      <c r="B1098" t="inlineStr">
        <is>
          <t>Новосибирск</t>
        </is>
      </c>
      <c r="C1098" t="inlineStr">
        <is>
          <t>Продажа · Коммерческая · Склад</t>
        </is>
      </c>
      <c r="D1098" t="inlineStr">
        <is>
          <t>Публикация, ₽/30 дн</t>
        </is>
      </c>
      <c r="E1098" t="n">
        <v>1149</v>
      </c>
    </row>
    <row r="1099">
      <c r="A1099" t="inlineStr">
        <is>
          <t>CIAN</t>
        </is>
      </c>
      <c r="B1099" t="inlineStr">
        <is>
          <t>Новосибирск</t>
        </is>
      </c>
      <c r="C1099" t="inlineStr">
        <is>
          <t>Продажа · Коммерческая · Склад</t>
        </is>
      </c>
      <c r="D1099" t="inlineStr">
        <is>
          <t>Топ, ₽/сут</t>
        </is>
      </c>
      <c r="E1099" t="n">
        <v>402</v>
      </c>
    </row>
    <row r="1100">
      <c r="A1100" t="inlineStr">
        <is>
          <t>CIAN</t>
        </is>
      </c>
      <c r="B1100" t="inlineStr">
        <is>
          <t>Новосибирск</t>
        </is>
      </c>
      <c r="C1100" t="inlineStr">
        <is>
          <t>Продажа · Коммерческая · Склад</t>
        </is>
      </c>
      <c r="D1100" t="inlineStr">
        <is>
          <t>Премиум, ₽/сут</t>
        </is>
      </c>
      <c r="E1100" t="n">
        <v>181</v>
      </c>
    </row>
    <row r="1101">
      <c r="A1101" t="inlineStr">
        <is>
          <t>CIAN</t>
        </is>
      </c>
      <c r="B1101" t="inlineStr">
        <is>
          <t>Новосибирск</t>
        </is>
      </c>
      <c r="C1101" t="inlineStr">
        <is>
          <t>Продажа · Коммерческая · Склад</t>
        </is>
      </c>
      <c r="D1101" t="inlineStr">
        <is>
          <t>Стандарт, ₽/сут</t>
        </is>
      </c>
      <c r="E1101" t="n">
        <v>53</v>
      </c>
    </row>
    <row r="1102">
      <c r="A1102" t="inlineStr">
        <is>
          <t>CIAN</t>
        </is>
      </c>
      <c r="B1102" t="inlineStr">
        <is>
          <t>Екатеринбург</t>
        </is>
      </c>
      <c r="C1102" t="inlineStr">
        <is>
          <t>Продажа · Коммерческая · Склад</t>
        </is>
      </c>
      <c r="D1102" t="inlineStr">
        <is>
          <t>Публикация, ₽/30 дн</t>
        </is>
      </c>
      <c r="E1102" t="n">
        <v>612</v>
      </c>
    </row>
    <row r="1103">
      <c r="A1103" t="inlineStr">
        <is>
          <t>CIAN</t>
        </is>
      </c>
      <c r="B1103" t="inlineStr">
        <is>
          <t>Екатеринбург</t>
        </is>
      </c>
      <c r="C1103" t="inlineStr">
        <is>
          <t>Продажа · Коммерческая · Склад</t>
        </is>
      </c>
      <c r="D1103" t="inlineStr">
        <is>
          <t>Топ, ₽/сут</t>
        </is>
      </c>
      <c r="E1103" t="n">
        <v>566</v>
      </c>
    </row>
    <row r="1104">
      <c r="A1104" t="inlineStr">
        <is>
          <t>CIAN</t>
        </is>
      </c>
      <c r="B1104" t="inlineStr">
        <is>
          <t>Екатеринбург</t>
        </is>
      </c>
      <c r="C1104" t="inlineStr">
        <is>
          <t>Продажа · Коммерческая · Склад</t>
        </is>
      </c>
      <c r="D1104" t="inlineStr">
        <is>
          <t>Премиум, ₽/сут</t>
        </is>
      </c>
      <c r="E1104" t="n">
        <v>278</v>
      </c>
    </row>
    <row r="1105">
      <c r="A1105" t="inlineStr">
        <is>
          <t>CIAN</t>
        </is>
      </c>
      <c r="B1105" t="inlineStr">
        <is>
          <t>Екатеринбург</t>
        </is>
      </c>
      <c r="C1105" t="inlineStr">
        <is>
          <t>Продажа · Коммерческая · Склад</t>
        </is>
      </c>
      <c r="D1105" t="inlineStr">
        <is>
          <t>Стандарт, ₽/сут</t>
        </is>
      </c>
      <c r="E1105" t="n">
        <v>84</v>
      </c>
    </row>
    <row r="1106">
      <c r="A1106" t="inlineStr">
        <is>
          <t>CIAN</t>
        </is>
      </c>
      <c r="B1106" t="inlineStr">
        <is>
          <t>Казань</t>
        </is>
      </c>
      <c r="C1106" t="inlineStr">
        <is>
          <t>Продажа · Коммерческая · Склад</t>
        </is>
      </c>
      <c r="D1106" t="inlineStr">
        <is>
          <t>Публикация, ₽/30 дн</t>
        </is>
      </c>
      <c r="E1106" t="n">
        <v>159</v>
      </c>
    </row>
    <row r="1107">
      <c r="A1107" t="inlineStr">
        <is>
          <t>CIAN</t>
        </is>
      </c>
      <c r="B1107" t="inlineStr">
        <is>
          <t>Казань</t>
        </is>
      </c>
      <c r="C1107" t="inlineStr">
        <is>
          <t>Продажа · Коммерческая · Склад</t>
        </is>
      </c>
      <c r="D1107" t="inlineStr">
        <is>
          <t>Топ, ₽/сут</t>
        </is>
      </c>
      <c r="E1107" t="n">
        <v>123</v>
      </c>
    </row>
    <row r="1108">
      <c r="A1108" t="inlineStr">
        <is>
          <t>CIAN</t>
        </is>
      </c>
      <c r="B1108" t="inlineStr">
        <is>
          <t>Казань</t>
        </is>
      </c>
      <c r="C1108" t="inlineStr">
        <is>
          <t>Продажа · Коммерческая · Склад</t>
        </is>
      </c>
      <c r="D1108" t="inlineStr">
        <is>
          <t>Премиум, ₽/сут</t>
        </is>
      </c>
      <c r="E1108" t="n">
        <v>55</v>
      </c>
    </row>
    <row r="1109">
      <c r="A1109" t="inlineStr">
        <is>
          <t>CIAN</t>
        </is>
      </c>
      <c r="B1109" t="inlineStr">
        <is>
          <t>Казань</t>
        </is>
      </c>
      <c r="C1109" t="inlineStr">
        <is>
          <t>Продажа · Коммерческая · Склад</t>
        </is>
      </c>
      <c r="D1109" t="inlineStr">
        <is>
          <t>Стандарт, ₽/сут</t>
        </is>
      </c>
      <c r="E1109" t="n">
        <v>18</v>
      </c>
    </row>
    <row r="1110">
      <c r="A1110" t="inlineStr">
        <is>
          <t>CIAN</t>
        </is>
      </c>
      <c r="B1110" t="inlineStr">
        <is>
          <t>Красноярск</t>
        </is>
      </c>
      <c r="C1110" t="inlineStr">
        <is>
          <t>Продажа · Коммерческая · Склад</t>
        </is>
      </c>
      <c r="D1110" t="inlineStr">
        <is>
          <t>Публикация, ₽/30 дн</t>
        </is>
      </c>
      <c r="E1110" t="n">
        <v>648</v>
      </c>
    </row>
    <row r="1111">
      <c r="A1111" t="inlineStr">
        <is>
          <t>CIAN</t>
        </is>
      </c>
      <c r="B1111" t="inlineStr">
        <is>
          <t>Красноярск</t>
        </is>
      </c>
      <c r="C1111" t="inlineStr">
        <is>
          <t>Продажа · Коммерческая · Склад</t>
        </is>
      </c>
      <c r="D1111" t="inlineStr">
        <is>
          <t>Топ, ₽/сут</t>
        </is>
      </c>
      <c r="E1111" t="inlineStr">
        <is>
          <t>—</t>
        </is>
      </c>
    </row>
    <row r="1112">
      <c r="A1112" t="inlineStr">
        <is>
          <t>CIAN</t>
        </is>
      </c>
      <c r="B1112" t="inlineStr">
        <is>
          <t>Красноярск</t>
        </is>
      </c>
      <c r="C1112" t="inlineStr">
        <is>
          <t>Продажа · Коммерческая · Склад</t>
        </is>
      </c>
      <c r="D1112" t="inlineStr">
        <is>
          <t>Премиум, ₽/сут</t>
        </is>
      </c>
      <c r="E1112" t="inlineStr">
        <is>
          <t>—</t>
        </is>
      </c>
    </row>
    <row r="1113">
      <c r="A1113" t="inlineStr">
        <is>
          <t>CIAN</t>
        </is>
      </c>
      <c r="B1113" t="inlineStr">
        <is>
          <t>Красноярск</t>
        </is>
      </c>
      <c r="C1113" t="inlineStr">
        <is>
          <t>Продажа · Коммерческая · Склад</t>
        </is>
      </c>
      <c r="D1113" t="inlineStr">
        <is>
          <t>Стандарт, ₽/сут</t>
        </is>
      </c>
      <c r="E1113" t="inlineStr">
        <is>
          <t>—</t>
        </is>
      </c>
    </row>
    <row r="1114">
      <c r="A1114" t="inlineStr">
        <is>
          <t>CIAN</t>
        </is>
      </c>
      <c r="B1114" t="inlineStr">
        <is>
          <t>Нижний Новгород</t>
        </is>
      </c>
      <c r="C1114" t="inlineStr">
        <is>
          <t>Продажа · Коммерческая · Склад</t>
        </is>
      </c>
      <c r="D1114" t="inlineStr">
        <is>
          <t>Публикация, ₽/30 дн</t>
        </is>
      </c>
      <c r="E1114" t="n">
        <v>117</v>
      </c>
    </row>
    <row r="1115">
      <c r="A1115" t="inlineStr">
        <is>
          <t>CIAN</t>
        </is>
      </c>
      <c r="B1115" t="inlineStr">
        <is>
          <t>Нижний Новгород</t>
        </is>
      </c>
      <c r="C1115" t="inlineStr">
        <is>
          <t>Продажа · Коммерческая · Склад</t>
        </is>
      </c>
      <c r="D1115" t="inlineStr">
        <is>
          <t>Топ, ₽/сут</t>
        </is>
      </c>
      <c r="E1115" t="n">
        <v>134</v>
      </c>
    </row>
    <row r="1116">
      <c r="A1116" t="inlineStr">
        <is>
          <t>CIAN</t>
        </is>
      </c>
      <c r="B1116" t="inlineStr">
        <is>
          <t>Нижний Новгород</t>
        </is>
      </c>
      <c r="C1116" t="inlineStr">
        <is>
          <t>Продажа · Коммерческая · Склад</t>
        </is>
      </c>
      <c r="D1116" t="inlineStr">
        <is>
          <t>Премиум, ₽/сут</t>
        </is>
      </c>
      <c r="E1116" t="n">
        <v>58</v>
      </c>
    </row>
    <row r="1117">
      <c r="A1117" t="inlineStr">
        <is>
          <t>CIAN</t>
        </is>
      </c>
      <c r="B1117" t="inlineStr">
        <is>
          <t>Нижний Новгород</t>
        </is>
      </c>
      <c r="C1117" t="inlineStr">
        <is>
          <t>Продажа · Коммерческая · Склад</t>
        </is>
      </c>
      <c r="D1117" t="inlineStr">
        <is>
          <t>Стандарт, ₽/сут</t>
        </is>
      </c>
      <c r="E1117" t="n">
        <v>18</v>
      </c>
    </row>
    <row r="1118">
      <c r="A1118" t="inlineStr">
        <is>
          <t>CIAN</t>
        </is>
      </c>
      <c r="B1118" t="inlineStr">
        <is>
          <t>Челябинск</t>
        </is>
      </c>
      <c r="C1118" t="inlineStr">
        <is>
          <t>Продажа · Коммерческая · Склад</t>
        </is>
      </c>
      <c r="D1118" t="inlineStr">
        <is>
          <t>Публикация, ₽/30 дн</t>
        </is>
      </c>
      <c r="E1118" t="n">
        <v>246</v>
      </c>
    </row>
    <row r="1119">
      <c r="A1119" t="inlineStr">
        <is>
          <t>CIAN</t>
        </is>
      </c>
      <c r="B1119" t="inlineStr">
        <is>
          <t>Челябинск</t>
        </is>
      </c>
      <c r="C1119" t="inlineStr">
        <is>
          <t>Продажа · Коммерческая · Склад</t>
        </is>
      </c>
      <c r="D1119" t="inlineStr">
        <is>
          <t>Топ, ₽/сут</t>
        </is>
      </c>
      <c r="E1119" t="n">
        <v>240</v>
      </c>
    </row>
    <row r="1120">
      <c r="A1120" t="inlineStr">
        <is>
          <t>CIAN</t>
        </is>
      </c>
      <c r="B1120" t="inlineStr">
        <is>
          <t>Челябинск</t>
        </is>
      </c>
      <c r="C1120" t="inlineStr">
        <is>
          <t>Продажа · Коммерческая · Склад</t>
        </is>
      </c>
      <c r="D1120" t="inlineStr">
        <is>
          <t>Премиум, ₽/сут</t>
        </is>
      </c>
      <c r="E1120" t="n">
        <v>113</v>
      </c>
    </row>
    <row r="1121">
      <c r="A1121" t="inlineStr">
        <is>
          <t>CIAN</t>
        </is>
      </c>
      <c r="B1121" t="inlineStr">
        <is>
          <t>Челябинск</t>
        </is>
      </c>
      <c r="C1121" t="inlineStr">
        <is>
          <t>Продажа · Коммерческая · Склад</t>
        </is>
      </c>
      <c r="D1121" t="inlineStr">
        <is>
          <t>Стандарт, ₽/сут</t>
        </is>
      </c>
      <c r="E1121" t="n">
        <v>33</v>
      </c>
    </row>
    <row r="1122">
      <c r="A1122" t="inlineStr">
        <is>
          <t>CIAN</t>
        </is>
      </c>
      <c r="B1122" t="inlineStr">
        <is>
          <t>Уфа</t>
        </is>
      </c>
      <c r="C1122" t="inlineStr">
        <is>
          <t>Продажа · Коммерческая · Склад</t>
        </is>
      </c>
      <c r="D1122" t="inlineStr">
        <is>
          <t>Публикация, ₽/30 дн</t>
        </is>
      </c>
      <c r="E1122" t="n">
        <v>450</v>
      </c>
    </row>
    <row r="1123">
      <c r="A1123" t="inlineStr">
        <is>
          <t>CIAN</t>
        </is>
      </c>
      <c r="B1123" t="inlineStr">
        <is>
          <t>Уфа</t>
        </is>
      </c>
      <c r="C1123" t="inlineStr">
        <is>
          <t>Продажа · Коммерческая · Склад</t>
        </is>
      </c>
      <c r="D1123" t="inlineStr">
        <is>
          <t>Топ, ₽/сут</t>
        </is>
      </c>
      <c r="E1123" t="n">
        <v>123</v>
      </c>
    </row>
    <row r="1124">
      <c r="A1124" t="inlineStr">
        <is>
          <t>CIAN</t>
        </is>
      </c>
      <c r="B1124" t="inlineStr">
        <is>
          <t>Уфа</t>
        </is>
      </c>
      <c r="C1124" t="inlineStr">
        <is>
          <t>Продажа · Коммерческая · Склад</t>
        </is>
      </c>
      <c r="D1124" t="inlineStr">
        <is>
          <t>Премиум, ₽/сут</t>
        </is>
      </c>
      <c r="E1124" t="n">
        <v>55</v>
      </c>
    </row>
    <row r="1125">
      <c r="A1125" t="inlineStr">
        <is>
          <t>CIAN</t>
        </is>
      </c>
      <c r="B1125" t="inlineStr">
        <is>
          <t>Уфа</t>
        </is>
      </c>
      <c r="C1125" t="inlineStr">
        <is>
          <t>Продажа · Коммерческая · Склад</t>
        </is>
      </c>
      <c r="D1125" t="inlineStr">
        <is>
          <t>Стандарт, ₽/сут</t>
        </is>
      </c>
      <c r="E1125" t="n">
        <v>18</v>
      </c>
    </row>
    <row r="1126">
      <c r="A1126" t="inlineStr">
        <is>
          <t>CIAN</t>
        </is>
      </c>
      <c r="B1126" t="inlineStr">
        <is>
          <t>Краснодар</t>
        </is>
      </c>
      <c r="C1126" t="inlineStr">
        <is>
          <t>Продажа · Коммерческая · Склад</t>
        </is>
      </c>
      <c r="D1126" t="inlineStr">
        <is>
          <t>Публикация, ₽/30 дн</t>
        </is>
      </c>
      <c r="E1126" t="n">
        <v>132</v>
      </c>
    </row>
    <row r="1127">
      <c r="A1127" t="inlineStr">
        <is>
          <t>CIAN</t>
        </is>
      </c>
      <c r="B1127" t="inlineStr">
        <is>
          <t>Краснодар</t>
        </is>
      </c>
      <c r="C1127" t="inlineStr">
        <is>
          <t>Продажа · Коммерческая · Склад</t>
        </is>
      </c>
      <c r="D1127" t="inlineStr">
        <is>
          <t>Топ, ₽/сут</t>
        </is>
      </c>
      <c r="E1127" t="n">
        <v>129</v>
      </c>
    </row>
    <row r="1128">
      <c r="A1128" t="inlineStr">
        <is>
          <t>CIAN</t>
        </is>
      </c>
      <c r="B1128" t="inlineStr">
        <is>
          <t>Краснодар</t>
        </is>
      </c>
      <c r="C1128" t="inlineStr">
        <is>
          <t>Продажа · Коммерческая · Склад</t>
        </is>
      </c>
      <c r="D1128" t="inlineStr">
        <is>
          <t>Премиум, ₽/сут</t>
        </is>
      </c>
      <c r="E1128" t="n">
        <v>58</v>
      </c>
    </row>
    <row r="1129">
      <c r="A1129" t="inlineStr">
        <is>
          <t>CIAN</t>
        </is>
      </c>
      <c r="B1129" t="inlineStr">
        <is>
          <t>Краснодар</t>
        </is>
      </c>
      <c r="C1129" t="inlineStr">
        <is>
          <t>Продажа · Коммерческая · Склад</t>
        </is>
      </c>
      <c r="D1129" t="inlineStr">
        <is>
          <t>Стандарт, ₽/сут</t>
        </is>
      </c>
      <c r="E1129" t="n">
        <v>18</v>
      </c>
    </row>
    <row r="1130">
      <c r="A1130" t="inlineStr">
        <is>
          <t>CIAN</t>
        </is>
      </c>
      <c r="B1130" t="inlineStr">
        <is>
          <t>Самара</t>
        </is>
      </c>
      <c r="C1130" t="inlineStr">
        <is>
          <t>Продажа · Коммерческая · Склад</t>
        </is>
      </c>
      <c r="D1130" t="inlineStr">
        <is>
          <t>Публикация, ₽/30 дн</t>
        </is>
      </c>
      <c r="E1130" t="n">
        <v>81</v>
      </c>
    </row>
    <row r="1131">
      <c r="A1131" t="inlineStr">
        <is>
          <t>CIAN</t>
        </is>
      </c>
      <c r="B1131" t="inlineStr">
        <is>
          <t>Самара</t>
        </is>
      </c>
      <c r="C1131" t="inlineStr">
        <is>
          <t>Продажа · Коммерческая · Склад</t>
        </is>
      </c>
      <c r="D1131" t="inlineStr">
        <is>
          <t>Топ, ₽/сут</t>
        </is>
      </c>
      <c r="E1131" t="inlineStr">
        <is>
          <t>—</t>
        </is>
      </c>
    </row>
    <row r="1132">
      <c r="A1132" t="inlineStr">
        <is>
          <t>CIAN</t>
        </is>
      </c>
      <c r="B1132" t="inlineStr">
        <is>
          <t>Самара</t>
        </is>
      </c>
      <c r="C1132" t="inlineStr">
        <is>
          <t>Продажа · Коммерческая · Склад</t>
        </is>
      </c>
      <c r="D1132" t="inlineStr">
        <is>
          <t>Премиум, ₽/сут</t>
        </is>
      </c>
      <c r="E1132" t="inlineStr">
        <is>
          <t>—</t>
        </is>
      </c>
    </row>
    <row r="1133">
      <c r="A1133" t="inlineStr">
        <is>
          <t>CIAN</t>
        </is>
      </c>
      <c r="B1133" t="inlineStr">
        <is>
          <t>Самара</t>
        </is>
      </c>
      <c r="C1133" t="inlineStr">
        <is>
          <t>Продажа · Коммерческая · Склад</t>
        </is>
      </c>
      <c r="D1133" t="inlineStr">
        <is>
          <t>Стандарт, ₽/сут</t>
        </is>
      </c>
      <c r="E1133" t="inlineStr">
        <is>
          <t>—</t>
        </is>
      </c>
    </row>
    <row r="1134">
      <c r="A1134" t="inlineStr">
        <is>
          <t>CIAN</t>
        </is>
      </c>
      <c r="B1134" t="inlineStr">
        <is>
          <t>Ростов-на-Дону</t>
        </is>
      </c>
      <c r="C1134" t="inlineStr">
        <is>
          <t>Продажа · Коммерческая · Склад</t>
        </is>
      </c>
      <c r="D1134" t="inlineStr">
        <is>
          <t>Публикация, ₽/30 дн</t>
        </is>
      </c>
      <c r="E1134" t="n">
        <v>342</v>
      </c>
    </row>
    <row r="1135">
      <c r="A1135" t="inlineStr">
        <is>
          <t>CIAN</t>
        </is>
      </c>
      <c r="B1135" t="inlineStr">
        <is>
          <t>Ростов-на-Дону</t>
        </is>
      </c>
      <c r="C1135" t="inlineStr">
        <is>
          <t>Продажа · Коммерческая · Склад</t>
        </is>
      </c>
      <c r="D1135" t="inlineStr">
        <is>
          <t>Топ, ₽/сут</t>
        </is>
      </c>
      <c r="E1135" t="n">
        <v>120</v>
      </c>
    </row>
    <row r="1136">
      <c r="A1136" t="inlineStr">
        <is>
          <t>CIAN</t>
        </is>
      </c>
      <c r="B1136" t="inlineStr">
        <is>
          <t>Ростов-на-Дону</t>
        </is>
      </c>
      <c r="C1136" t="inlineStr">
        <is>
          <t>Продажа · Коммерческая · Склад</t>
        </is>
      </c>
      <c r="D1136" t="inlineStr">
        <is>
          <t>Премиум, ₽/сут</t>
        </is>
      </c>
      <c r="E1136" t="n">
        <v>51</v>
      </c>
    </row>
    <row r="1137">
      <c r="A1137" t="inlineStr">
        <is>
          <t>CIAN</t>
        </is>
      </c>
      <c r="B1137" t="inlineStr">
        <is>
          <t>Ростов-на-Дону</t>
        </is>
      </c>
      <c r="C1137" t="inlineStr">
        <is>
          <t>Продажа · Коммерческая · Склад</t>
        </is>
      </c>
      <c r="D1137" t="inlineStr">
        <is>
          <t>Стандарт, ₽/сут</t>
        </is>
      </c>
      <c r="E1137" t="n">
        <v>15</v>
      </c>
    </row>
    <row r="1138">
      <c r="A1138" t="inlineStr">
        <is>
          <t>CIAN</t>
        </is>
      </c>
      <c r="B1138" t="inlineStr">
        <is>
          <t>Омск</t>
        </is>
      </c>
      <c r="C1138" t="inlineStr">
        <is>
          <t>Продажа · Коммерческая · Склад</t>
        </is>
      </c>
      <c r="D1138" t="inlineStr">
        <is>
          <t>Публикация, ₽/30 дн</t>
        </is>
      </c>
      <c r="E1138" t="n">
        <v>918</v>
      </c>
    </row>
    <row r="1139">
      <c r="A1139" t="inlineStr">
        <is>
          <t>CIAN</t>
        </is>
      </c>
      <c r="B1139" t="inlineStr">
        <is>
          <t>Омск</t>
        </is>
      </c>
      <c r="C1139" t="inlineStr">
        <is>
          <t>Продажа · Коммерческая · Склад</t>
        </is>
      </c>
      <c r="D1139" t="inlineStr">
        <is>
          <t>Топ, ₽/сут</t>
        </is>
      </c>
      <c r="E1139" t="n">
        <v>371</v>
      </c>
    </row>
    <row r="1140">
      <c r="A1140" t="inlineStr">
        <is>
          <t>CIAN</t>
        </is>
      </c>
      <c r="B1140" t="inlineStr">
        <is>
          <t>Омск</t>
        </is>
      </c>
      <c r="C1140" t="inlineStr">
        <is>
          <t>Продажа · Коммерческая · Склад</t>
        </is>
      </c>
      <c r="D1140" t="inlineStr">
        <is>
          <t>Премиум, ₽/сут</t>
        </is>
      </c>
      <c r="E1140" t="n">
        <v>193</v>
      </c>
    </row>
    <row r="1141">
      <c r="A1141" t="inlineStr">
        <is>
          <t>CIAN</t>
        </is>
      </c>
      <c r="B1141" t="inlineStr">
        <is>
          <t>Омск</t>
        </is>
      </c>
      <c r="C1141" t="inlineStr">
        <is>
          <t>Продажа · Коммерческая · Склад</t>
        </is>
      </c>
      <c r="D1141" t="inlineStr">
        <is>
          <t>Стандарт, ₽/сут</t>
        </is>
      </c>
      <c r="E1141" t="n">
        <v>64</v>
      </c>
    </row>
    <row r="1142">
      <c r="A1142" t="inlineStr">
        <is>
          <t>CIAN</t>
        </is>
      </c>
      <c r="B1142" t="inlineStr">
        <is>
          <t>Воронеж</t>
        </is>
      </c>
      <c r="C1142" t="inlineStr">
        <is>
          <t>Продажа · Коммерческая · Склад</t>
        </is>
      </c>
      <c r="D1142" t="inlineStr">
        <is>
          <t>Публикация, ₽/30 дн</t>
        </is>
      </c>
      <c r="E1142" t="n">
        <v>159</v>
      </c>
    </row>
    <row r="1143">
      <c r="A1143" t="inlineStr">
        <is>
          <t>CIAN</t>
        </is>
      </c>
      <c r="B1143" t="inlineStr">
        <is>
          <t>Воронеж</t>
        </is>
      </c>
      <c r="C1143" t="inlineStr">
        <is>
          <t>Продажа · Коммерческая · Склад</t>
        </is>
      </c>
      <c r="D1143" t="inlineStr">
        <is>
          <t>Топ, ₽/сут</t>
        </is>
      </c>
      <c r="E1143" t="inlineStr">
        <is>
          <t>—</t>
        </is>
      </c>
    </row>
    <row r="1144">
      <c r="A1144" t="inlineStr">
        <is>
          <t>CIAN</t>
        </is>
      </c>
      <c r="B1144" t="inlineStr">
        <is>
          <t>Воронеж</t>
        </is>
      </c>
      <c r="C1144" t="inlineStr">
        <is>
          <t>Продажа · Коммерческая · Склад</t>
        </is>
      </c>
      <c r="D1144" t="inlineStr">
        <is>
          <t>Премиум, ₽/сут</t>
        </is>
      </c>
      <c r="E1144" t="inlineStr">
        <is>
          <t>—</t>
        </is>
      </c>
    </row>
    <row r="1145">
      <c r="A1145" t="inlineStr">
        <is>
          <t>CIAN</t>
        </is>
      </c>
      <c r="B1145" t="inlineStr">
        <is>
          <t>Воронеж</t>
        </is>
      </c>
      <c r="C1145" t="inlineStr">
        <is>
          <t>Продажа · Коммерческая · Склад</t>
        </is>
      </c>
      <c r="D1145" t="inlineStr">
        <is>
          <t>Стандарт, ₽/сут</t>
        </is>
      </c>
      <c r="E1145" t="inlineStr">
        <is>
          <t>—</t>
        </is>
      </c>
    </row>
    <row r="1146">
      <c r="A1146" t="inlineStr">
        <is>
          <t>CIAN</t>
        </is>
      </c>
      <c r="B1146" t="inlineStr">
        <is>
          <t>Пермь</t>
        </is>
      </c>
      <c r="C1146" t="inlineStr">
        <is>
          <t>Продажа · Коммерческая · Склад</t>
        </is>
      </c>
      <c r="D1146" t="inlineStr">
        <is>
          <t>Публикация, ₽/30 дн</t>
        </is>
      </c>
      <c r="E1146" t="n">
        <v>84</v>
      </c>
    </row>
    <row r="1147">
      <c r="A1147" t="inlineStr">
        <is>
          <t>CIAN</t>
        </is>
      </c>
      <c r="B1147" t="inlineStr">
        <is>
          <t>Пермь</t>
        </is>
      </c>
      <c r="C1147" t="inlineStr">
        <is>
          <t>Продажа · Коммерческая · Склад</t>
        </is>
      </c>
      <c r="D1147" t="inlineStr">
        <is>
          <t>Топ, ₽/сут</t>
        </is>
      </c>
      <c r="E1147" t="inlineStr">
        <is>
          <t>—</t>
        </is>
      </c>
    </row>
    <row r="1148">
      <c r="A1148" t="inlineStr">
        <is>
          <t>CIAN</t>
        </is>
      </c>
      <c r="B1148" t="inlineStr">
        <is>
          <t>Пермь</t>
        </is>
      </c>
      <c r="C1148" t="inlineStr">
        <is>
          <t>Продажа · Коммерческая · Склад</t>
        </is>
      </c>
      <c r="D1148" t="inlineStr">
        <is>
          <t>Премиум, ₽/сут</t>
        </is>
      </c>
      <c r="E1148" t="inlineStr">
        <is>
          <t>—</t>
        </is>
      </c>
    </row>
    <row r="1149">
      <c r="A1149" t="inlineStr">
        <is>
          <t>CIAN</t>
        </is>
      </c>
      <c r="B1149" t="inlineStr">
        <is>
          <t>Пермь</t>
        </is>
      </c>
      <c r="C1149" t="inlineStr">
        <is>
          <t>Продажа · Коммерческая · Склад</t>
        </is>
      </c>
      <c r="D1149" t="inlineStr">
        <is>
          <t>Стандарт, ₽/сут</t>
        </is>
      </c>
      <c r="E1149" t="inlineStr">
        <is>
          <t>—</t>
        </is>
      </c>
    </row>
    <row r="1150">
      <c r="A1150" t="inlineStr">
        <is>
          <t>CIAN</t>
        </is>
      </c>
      <c r="B1150" t="inlineStr">
        <is>
          <t>Волгоград</t>
        </is>
      </c>
      <c r="C1150" t="inlineStr">
        <is>
          <t>Продажа · Коммерческая · Склад</t>
        </is>
      </c>
      <c r="D1150" t="inlineStr">
        <is>
          <t>Публикация, ₽/30 дн</t>
        </is>
      </c>
      <c r="E1150" t="n">
        <v>720</v>
      </c>
    </row>
    <row r="1151">
      <c r="A1151" t="inlineStr">
        <is>
          <t>CIAN</t>
        </is>
      </c>
      <c r="B1151" t="inlineStr">
        <is>
          <t>Волгоград</t>
        </is>
      </c>
      <c r="C1151" t="inlineStr">
        <is>
          <t>Продажа · Коммерческая · Склад</t>
        </is>
      </c>
      <c r="D1151" t="inlineStr">
        <is>
          <t>Топ, ₽/сут</t>
        </is>
      </c>
      <c r="E1151" t="inlineStr">
        <is>
          <t>—</t>
        </is>
      </c>
    </row>
    <row r="1152">
      <c r="A1152" t="inlineStr">
        <is>
          <t>CIAN</t>
        </is>
      </c>
      <c r="B1152" t="inlineStr">
        <is>
          <t>Волгоград</t>
        </is>
      </c>
      <c r="C1152" t="inlineStr">
        <is>
          <t>Продажа · Коммерческая · Склад</t>
        </is>
      </c>
      <c r="D1152" t="inlineStr">
        <is>
          <t>Премиум, ₽/сут</t>
        </is>
      </c>
      <c r="E1152" t="inlineStr">
        <is>
          <t>—</t>
        </is>
      </c>
    </row>
    <row r="1153">
      <c r="A1153" t="inlineStr">
        <is>
          <t>CIAN</t>
        </is>
      </c>
      <c r="B1153" t="inlineStr">
        <is>
          <t>Волгоград</t>
        </is>
      </c>
      <c r="C1153" t="inlineStr">
        <is>
          <t>Продажа · Коммерческая · Склад</t>
        </is>
      </c>
      <c r="D1153" t="inlineStr">
        <is>
          <t>Стандарт, ₽/сут</t>
        </is>
      </c>
      <c r="E1153" t="inlineStr">
        <is>
          <t>—</t>
        </is>
      </c>
    </row>
    <row r="1154">
      <c r="A1154" t="inlineStr">
        <is>
          <t>CIAN</t>
        </is>
      </c>
      <c r="B1154" t="inlineStr">
        <is>
          <t>Москва</t>
        </is>
      </c>
      <c r="C1154" t="inlineStr">
        <is>
          <t>Продажа · Коммерческая · Гараж</t>
        </is>
      </c>
      <c r="D1154" t="inlineStr">
        <is>
          <t>Публикация, ₽/30 дн</t>
        </is>
      </c>
      <c r="E1154" t="n">
        <v>315</v>
      </c>
    </row>
    <row r="1155">
      <c r="A1155" t="inlineStr">
        <is>
          <t>CIAN</t>
        </is>
      </c>
      <c r="B1155" t="inlineStr">
        <is>
          <t>Москва</t>
        </is>
      </c>
      <c r="C1155" t="inlineStr">
        <is>
          <t>Продажа · Коммерческая · Гараж</t>
        </is>
      </c>
      <c r="D1155" t="inlineStr">
        <is>
          <t>Топ, ₽/сут</t>
        </is>
      </c>
      <c r="E1155" t="n">
        <v>326</v>
      </c>
    </row>
    <row r="1156">
      <c r="A1156" t="inlineStr">
        <is>
          <t>CIAN</t>
        </is>
      </c>
      <c r="B1156" t="inlineStr">
        <is>
          <t>Москва</t>
        </is>
      </c>
      <c r="C1156" t="inlineStr">
        <is>
          <t>Продажа · Коммерческая · Гараж</t>
        </is>
      </c>
      <c r="D1156" t="inlineStr">
        <is>
          <t>Премиум, ₽/сут</t>
        </is>
      </c>
      <c r="E1156" t="n">
        <v>143</v>
      </c>
    </row>
    <row r="1157">
      <c r="A1157" t="inlineStr">
        <is>
          <t>CIAN</t>
        </is>
      </c>
      <c r="B1157" t="inlineStr">
        <is>
          <t>Москва</t>
        </is>
      </c>
      <c r="C1157" t="inlineStr">
        <is>
          <t>Продажа · Коммерческая · Гараж</t>
        </is>
      </c>
      <c r="D1157" t="inlineStr">
        <is>
          <t>Стандарт, ₽/сут</t>
        </is>
      </c>
      <c r="E1157" t="n">
        <v>43</v>
      </c>
    </row>
    <row r="1158">
      <c r="A1158" t="inlineStr">
        <is>
          <t>CIAN</t>
        </is>
      </c>
      <c r="B1158" t="inlineStr">
        <is>
          <t>Санкт-Петербург</t>
        </is>
      </c>
      <c r="C1158" t="inlineStr">
        <is>
          <t>Продажа · Коммерческая · Гараж</t>
        </is>
      </c>
      <c r="D1158" t="inlineStr">
        <is>
          <t>Публикация, ₽/30 дн</t>
        </is>
      </c>
      <c r="E1158" t="n">
        <v>144</v>
      </c>
    </row>
    <row r="1159">
      <c r="A1159" t="inlineStr">
        <is>
          <t>CIAN</t>
        </is>
      </c>
      <c r="B1159" t="inlineStr">
        <is>
          <t>Санкт-Петербург</t>
        </is>
      </c>
      <c r="C1159" t="inlineStr">
        <is>
          <t>Продажа · Коммерческая · Гараж</t>
        </is>
      </c>
      <c r="D1159" t="inlineStr">
        <is>
          <t>Топ, ₽/сут</t>
        </is>
      </c>
      <c r="E1159" t="n">
        <v>143</v>
      </c>
    </row>
    <row r="1160">
      <c r="A1160" t="inlineStr">
        <is>
          <t>CIAN</t>
        </is>
      </c>
      <c r="B1160" t="inlineStr">
        <is>
          <t>Санкт-Петербург</t>
        </is>
      </c>
      <c r="C1160" t="inlineStr">
        <is>
          <t>Продажа · Коммерческая · Гараж</t>
        </is>
      </c>
      <c r="D1160" t="inlineStr">
        <is>
          <t>Премиум, ₽/сут</t>
        </is>
      </c>
      <c r="E1160" t="n">
        <v>63</v>
      </c>
    </row>
    <row r="1161">
      <c r="A1161" t="inlineStr">
        <is>
          <t>CIAN</t>
        </is>
      </c>
      <c r="B1161" t="inlineStr">
        <is>
          <t>Санкт-Петербург</t>
        </is>
      </c>
      <c r="C1161" t="inlineStr">
        <is>
          <t>Продажа · Коммерческая · Гараж</t>
        </is>
      </c>
      <c r="D1161" t="inlineStr">
        <is>
          <t>Стандарт, ₽/сут</t>
        </is>
      </c>
      <c r="E1161" t="n">
        <v>22</v>
      </c>
    </row>
    <row r="1162">
      <c r="A1162" t="inlineStr">
        <is>
          <t>CIAN</t>
        </is>
      </c>
      <c r="B1162" t="inlineStr">
        <is>
          <t>Новосибирск</t>
        </is>
      </c>
      <c r="C1162" t="inlineStr">
        <is>
          <t>Продажа · Коммерческая · Гараж</t>
        </is>
      </c>
      <c r="D1162" t="inlineStr">
        <is>
          <t>Публикация, ₽/30 дн</t>
        </is>
      </c>
      <c r="E1162" t="n">
        <v>102</v>
      </c>
    </row>
    <row r="1163">
      <c r="A1163" t="inlineStr">
        <is>
          <t>CIAN</t>
        </is>
      </c>
      <c r="B1163" t="inlineStr">
        <is>
          <t>Новосибирск</t>
        </is>
      </c>
      <c r="C1163" t="inlineStr">
        <is>
          <t>Продажа · Коммерческая · Гараж</t>
        </is>
      </c>
      <c r="D1163" t="inlineStr">
        <is>
          <t>Топ, ₽/сут</t>
        </is>
      </c>
      <c r="E1163" t="n">
        <v>323</v>
      </c>
    </row>
    <row r="1164">
      <c r="A1164" t="inlineStr">
        <is>
          <t>CIAN</t>
        </is>
      </c>
      <c r="B1164" t="inlineStr">
        <is>
          <t>Новосибирск</t>
        </is>
      </c>
      <c r="C1164" t="inlineStr">
        <is>
          <t>Продажа · Коммерческая · Гараж</t>
        </is>
      </c>
      <c r="D1164" t="inlineStr">
        <is>
          <t>Премиум, ₽/сут</t>
        </is>
      </c>
      <c r="E1164" t="n">
        <v>150</v>
      </c>
    </row>
    <row r="1165">
      <c r="A1165" t="inlineStr">
        <is>
          <t>CIAN</t>
        </is>
      </c>
      <c r="B1165" t="inlineStr">
        <is>
          <t>Новосибирск</t>
        </is>
      </c>
      <c r="C1165" t="inlineStr">
        <is>
          <t>Продажа · Коммерческая · Гараж</t>
        </is>
      </c>
      <c r="D1165" t="inlineStr">
        <is>
          <t>Стандарт, ₽/сут</t>
        </is>
      </c>
      <c r="E1165" t="n">
        <v>45</v>
      </c>
    </row>
    <row r="1166">
      <c r="A1166" t="inlineStr">
        <is>
          <t>CIAN</t>
        </is>
      </c>
      <c r="B1166" t="inlineStr">
        <is>
          <t>Екатеринбург</t>
        </is>
      </c>
      <c r="C1166" t="inlineStr">
        <is>
          <t>Продажа · Коммерческая · Гараж</t>
        </is>
      </c>
      <c r="D1166" t="inlineStr">
        <is>
          <t>Публикация, ₽/30 дн</t>
        </is>
      </c>
      <c r="E1166" t="n">
        <v>102</v>
      </c>
    </row>
    <row r="1167">
      <c r="A1167" t="inlineStr">
        <is>
          <t>CIAN</t>
        </is>
      </c>
      <c r="B1167" t="inlineStr">
        <is>
          <t>Екатеринбург</t>
        </is>
      </c>
      <c r="C1167" t="inlineStr">
        <is>
          <t>Продажа · Коммерческая · Гараж</t>
        </is>
      </c>
      <c r="D1167" t="inlineStr">
        <is>
          <t>Топ, ₽/сут</t>
        </is>
      </c>
      <c r="E1167" t="n">
        <v>279</v>
      </c>
    </row>
    <row r="1168">
      <c r="A1168" t="inlineStr">
        <is>
          <t>CIAN</t>
        </is>
      </c>
      <c r="B1168" t="inlineStr">
        <is>
          <t>Екатеринбург</t>
        </is>
      </c>
      <c r="C1168" t="inlineStr">
        <is>
          <t>Продажа · Коммерческая · Гараж</t>
        </is>
      </c>
      <c r="D1168" t="inlineStr">
        <is>
          <t>Премиум, ₽/сут</t>
        </is>
      </c>
      <c r="E1168" t="n">
        <v>150</v>
      </c>
    </row>
    <row r="1169">
      <c r="A1169" t="inlineStr">
        <is>
          <t>CIAN</t>
        </is>
      </c>
      <c r="B1169" t="inlineStr">
        <is>
          <t>Екатеринбург</t>
        </is>
      </c>
      <c r="C1169" t="inlineStr">
        <is>
          <t>Продажа · Коммерческая · Гараж</t>
        </is>
      </c>
      <c r="D1169" t="inlineStr">
        <is>
          <t>Стандарт, ₽/сут</t>
        </is>
      </c>
      <c r="E1169" t="n">
        <v>45</v>
      </c>
    </row>
    <row r="1170">
      <c r="A1170" t="inlineStr">
        <is>
          <t>CIAN</t>
        </is>
      </c>
      <c r="B1170" t="inlineStr">
        <is>
          <t>Казань</t>
        </is>
      </c>
      <c r="C1170" t="inlineStr">
        <is>
          <t>Продажа · Коммерческая · Гараж</t>
        </is>
      </c>
      <c r="D1170" t="inlineStr">
        <is>
          <t>Публикация, ₽/30 дн</t>
        </is>
      </c>
      <c r="E1170" t="n">
        <v>108</v>
      </c>
    </row>
    <row r="1171">
      <c r="A1171" t="inlineStr">
        <is>
          <t>CIAN</t>
        </is>
      </c>
      <c r="B1171" t="inlineStr">
        <is>
          <t>Казань</t>
        </is>
      </c>
      <c r="C1171" t="inlineStr">
        <is>
          <t>Продажа · Коммерческая · Гараж</t>
        </is>
      </c>
      <c r="D1171" t="inlineStr">
        <is>
          <t>Топ, ₽/сут</t>
        </is>
      </c>
      <c r="E1171" t="n">
        <v>92</v>
      </c>
    </row>
    <row r="1172">
      <c r="A1172" t="inlineStr">
        <is>
          <t>CIAN</t>
        </is>
      </c>
      <c r="B1172" t="inlineStr">
        <is>
          <t>Казань</t>
        </is>
      </c>
      <c r="C1172" t="inlineStr">
        <is>
          <t>Продажа · Коммерческая · Гараж</t>
        </is>
      </c>
      <c r="D1172" t="inlineStr">
        <is>
          <t>Премиум, ₽/сут</t>
        </is>
      </c>
      <c r="E1172" t="n">
        <v>41</v>
      </c>
    </row>
    <row r="1173">
      <c r="A1173" t="inlineStr">
        <is>
          <t>CIAN</t>
        </is>
      </c>
      <c r="B1173" t="inlineStr">
        <is>
          <t>Казань</t>
        </is>
      </c>
      <c r="C1173" t="inlineStr">
        <is>
          <t>Продажа · Коммерческая · Гараж</t>
        </is>
      </c>
      <c r="D1173" t="inlineStr">
        <is>
          <t>Стандарт, ₽/сут</t>
        </is>
      </c>
      <c r="E1173" t="n">
        <v>14</v>
      </c>
    </row>
    <row r="1174">
      <c r="A1174" t="inlineStr">
        <is>
          <t>CIAN</t>
        </is>
      </c>
      <c r="B1174" t="inlineStr">
        <is>
          <t>Красноярск</t>
        </is>
      </c>
      <c r="C1174" t="inlineStr">
        <is>
          <t>Продажа · Коммерческая · Гараж</t>
        </is>
      </c>
      <c r="D1174" t="inlineStr">
        <is>
          <t>Публикация, ₽/30 дн</t>
        </is>
      </c>
      <c r="E1174" t="n">
        <v>102</v>
      </c>
    </row>
    <row r="1175">
      <c r="A1175" t="inlineStr">
        <is>
          <t>CIAN</t>
        </is>
      </c>
      <c r="B1175" t="inlineStr">
        <is>
          <t>Красноярск</t>
        </is>
      </c>
      <c r="C1175" t="inlineStr">
        <is>
          <t>Продажа · Коммерческая · Гараж</t>
        </is>
      </c>
      <c r="D1175" t="inlineStr">
        <is>
          <t>Топ, ₽/сут</t>
        </is>
      </c>
      <c r="E1175" t="inlineStr">
        <is>
          <t>—</t>
        </is>
      </c>
    </row>
    <row r="1176">
      <c r="A1176" t="inlineStr">
        <is>
          <t>CIAN</t>
        </is>
      </c>
      <c r="B1176" t="inlineStr">
        <is>
          <t>Красноярск</t>
        </is>
      </c>
      <c r="C1176" t="inlineStr">
        <is>
          <t>Продажа · Коммерческая · Гараж</t>
        </is>
      </c>
      <c r="D1176" t="inlineStr">
        <is>
          <t>Премиум, ₽/сут</t>
        </is>
      </c>
      <c r="E1176" t="inlineStr">
        <is>
          <t>—</t>
        </is>
      </c>
    </row>
    <row r="1177">
      <c r="A1177" t="inlineStr">
        <is>
          <t>CIAN</t>
        </is>
      </c>
      <c r="B1177" t="inlineStr">
        <is>
          <t>Красноярск</t>
        </is>
      </c>
      <c r="C1177" t="inlineStr">
        <is>
          <t>Продажа · Коммерческая · Гараж</t>
        </is>
      </c>
      <c r="D1177" t="inlineStr">
        <is>
          <t>Стандарт, ₽/сут</t>
        </is>
      </c>
      <c r="E1177" t="inlineStr">
        <is>
          <t>—</t>
        </is>
      </c>
    </row>
    <row r="1178">
      <c r="A1178" t="inlineStr">
        <is>
          <t>CIAN</t>
        </is>
      </c>
      <c r="B1178" t="inlineStr">
        <is>
          <t>Нижний Новгород</t>
        </is>
      </c>
      <c r="C1178" t="inlineStr">
        <is>
          <t>Продажа · Коммерческая · Гараж</t>
        </is>
      </c>
      <c r="D1178" t="inlineStr">
        <is>
          <t>Публикация, ₽/30 дн</t>
        </is>
      </c>
      <c r="E1178" t="n">
        <v>108</v>
      </c>
    </row>
    <row r="1179">
      <c r="A1179" t="inlineStr">
        <is>
          <t>CIAN</t>
        </is>
      </c>
      <c r="B1179" t="inlineStr">
        <is>
          <t>Нижний Новгород</t>
        </is>
      </c>
      <c r="C1179" t="inlineStr">
        <is>
          <t>Продажа · Коммерческая · Гараж</t>
        </is>
      </c>
      <c r="D1179" t="inlineStr">
        <is>
          <t>Топ, ₽/сут</t>
        </is>
      </c>
      <c r="E1179" t="n">
        <v>107</v>
      </c>
    </row>
    <row r="1180">
      <c r="A1180" t="inlineStr">
        <is>
          <t>CIAN</t>
        </is>
      </c>
      <c r="B1180" t="inlineStr">
        <is>
          <t>Нижний Новгород</t>
        </is>
      </c>
      <c r="C1180" t="inlineStr">
        <is>
          <t>Продажа · Коммерческая · Гараж</t>
        </is>
      </c>
      <c r="D1180" t="inlineStr">
        <is>
          <t>Премиум, ₽/сут</t>
        </is>
      </c>
      <c r="E1180" t="n">
        <v>44</v>
      </c>
    </row>
    <row r="1181">
      <c r="A1181" t="inlineStr">
        <is>
          <t>CIAN</t>
        </is>
      </c>
      <c r="B1181" t="inlineStr">
        <is>
          <t>Нижний Новгород</t>
        </is>
      </c>
      <c r="C1181" t="inlineStr">
        <is>
          <t>Продажа · Коммерческая · Гараж</t>
        </is>
      </c>
      <c r="D1181" t="inlineStr">
        <is>
          <t>Стандарт, ₽/сут</t>
        </is>
      </c>
      <c r="E1181" t="n">
        <v>15</v>
      </c>
    </row>
    <row r="1182">
      <c r="A1182" t="inlineStr">
        <is>
          <t>CIAN</t>
        </is>
      </c>
      <c r="B1182" t="inlineStr">
        <is>
          <t>Челябинск</t>
        </is>
      </c>
      <c r="C1182" t="inlineStr">
        <is>
          <t>Продажа · Коммерческая · Гараж</t>
        </is>
      </c>
      <c r="D1182" t="inlineStr">
        <is>
          <t>Публикация, ₽/30 дн</t>
        </is>
      </c>
      <c r="E1182" t="n">
        <v>102</v>
      </c>
    </row>
    <row r="1183">
      <c r="A1183" t="inlineStr">
        <is>
          <t>CIAN</t>
        </is>
      </c>
      <c r="B1183" t="inlineStr">
        <is>
          <t>Челябинск</t>
        </is>
      </c>
      <c r="C1183" t="inlineStr">
        <is>
          <t>Продажа · Коммерческая · Гараж</t>
        </is>
      </c>
      <c r="D1183" t="inlineStr">
        <is>
          <t>Топ, ₽/сут</t>
        </is>
      </c>
      <c r="E1183" t="n">
        <v>211</v>
      </c>
    </row>
    <row r="1184">
      <c r="A1184" t="inlineStr">
        <is>
          <t>CIAN</t>
        </is>
      </c>
      <c r="B1184" t="inlineStr">
        <is>
          <t>Челябинск</t>
        </is>
      </c>
      <c r="C1184" t="inlineStr">
        <is>
          <t>Продажа · Коммерческая · Гараж</t>
        </is>
      </c>
      <c r="D1184" t="inlineStr">
        <is>
          <t>Премиум, ₽/сут</t>
        </is>
      </c>
      <c r="E1184" t="n">
        <v>98</v>
      </c>
    </row>
    <row r="1185">
      <c r="A1185" t="inlineStr">
        <is>
          <t>CIAN</t>
        </is>
      </c>
      <c r="B1185" t="inlineStr">
        <is>
          <t>Челябинск</t>
        </is>
      </c>
      <c r="C1185" t="inlineStr">
        <is>
          <t>Продажа · Коммерческая · Гараж</t>
        </is>
      </c>
      <c r="D1185" t="inlineStr">
        <is>
          <t>Стандарт, ₽/сут</t>
        </is>
      </c>
      <c r="E1185" t="n">
        <v>29</v>
      </c>
    </row>
    <row r="1186">
      <c r="A1186" t="inlineStr">
        <is>
          <t>CIAN</t>
        </is>
      </c>
      <c r="B1186" t="inlineStr">
        <is>
          <t>Уфа</t>
        </is>
      </c>
      <c r="C1186" t="inlineStr">
        <is>
          <t>Продажа · Коммерческая · Гараж</t>
        </is>
      </c>
      <c r="D1186" t="inlineStr">
        <is>
          <t>Публикация, ₽/30 дн</t>
        </is>
      </c>
      <c r="E1186" t="n">
        <v>108</v>
      </c>
    </row>
    <row r="1187">
      <c r="A1187" t="inlineStr">
        <is>
          <t>CIAN</t>
        </is>
      </c>
      <c r="B1187" t="inlineStr">
        <is>
          <t>Уфа</t>
        </is>
      </c>
      <c r="C1187" t="inlineStr">
        <is>
          <t>Продажа · Коммерческая · Гараж</t>
        </is>
      </c>
      <c r="D1187" t="inlineStr">
        <is>
          <t>Топ, ₽/сут</t>
        </is>
      </c>
      <c r="E1187" t="n">
        <v>98</v>
      </c>
    </row>
    <row r="1188">
      <c r="A1188" t="inlineStr">
        <is>
          <t>CIAN</t>
        </is>
      </c>
      <c r="B1188" t="inlineStr">
        <is>
          <t>Уфа</t>
        </is>
      </c>
      <c r="C1188" t="inlineStr">
        <is>
          <t>Продажа · Коммерческая · Гараж</t>
        </is>
      </c>
      <c r="D1188" t="inlineStr">
        <is>
          <t>Премиум, ₽/сут</t>
        </is>
      </c>
      <c r="E1188" t="n">
        <v>44</v>
      </c>
    </row>
    <row r="1189">
      <c r="A1189" t="inlineStr">
        <is>
          <t>CIAN</t>
        </is>
      </c>
      <c r="B1189" t="inlineStr">
        <is>
          <t>Уфа</t>
        </is>
      </c>
      <c r="C1189" t="inlineStr">
        <is>
          <t>Продажа · Коммерческая · Гараж</t>
        </is>
      </c>
      <c r="D1189" t="inlineStr">
        <is>
          <t>Стандарт, ₽/сут</t>
        </is>
      </c>
      <c r="E1189" t="n">
        <v>15</v>
      </c>
    </row>
    <row r="1190">
      <c r="A1190" t="inlineStr">
        <is>
          <t>CIAN</t>
        </is>
      </c>
      <c r="B1190" t="inlineStr">
        <is>
          <t>Краснодар</t>
        </is>
      </c>
      <c r="C1190" t="inlineStr">
        <is>
          <t>Продажа · Коммерческая · Гараж</t>
        </is>
      </c>
      <c r="D1190" t="inlineStr">
        <is>
          <t>Публикация, ₽/30 дн</t>
        </is>
      </c>
      <c r="E1190" t="n">
        <v>24</v>
      </c>
    </row>
    <row r="1191">
      <c r="A1191" t="inlineStr">
        <is>
          <t>CIAN</t>
        </is>
      </c>
      <c r="B1191" t="inlineStr">
        <is>
          <t>Краснодар</t>
        </is>
      </c>
      <c r="C1191" t="inlineStr">
        <is>
          <t>Продажа · Коммерческая · Гараж</t>
        </is>
      </c>
      <c r="D1191" t="inlineStr">
        <is>
          <t>Топ, ₽/сут</t>
        </is>
      </c>
      <c r="E1191" t="n">
        <v>106</v>
      </c>
    </row>
    <row r="1192">
      <c r="A1192" t="inlineStr">
        <is>
          <t>CIAN</t>
        </is>
      </c>
      <c r="B1192" t="inlineStr">
        <is>
          <t>Краснодар</t>
        </is>
      </c>
      <c r="C1192" t="inlineStr">
        <is>
          <t>Продажа · Коммерческая · Гараж</t>
        </is>
      </c>
      <c r="D1192" t="inlineStr">
        <is>
          <t>Премиум, ₽/сут</t>
        </is>
      </c>
      <c r="E1192" t="n">
        <v>48</v>
      </c>
    </row>
    <row r="1193">
      <c r="A1193" t="inlineStr">
        <is>
          <t>CIAN</t>
        </is>
      </c>
      <c r="B1193" t="inlineStr">
        <is>
          <t>Краснодар</t>
        </is>
      </c>
      <c r="C1193" t="inlineStr">
        <is>
          <t>Продажа · Коммерческая · Гараж</t>
        </is>
      </c>
      <c r="D1193" t="inlineStr">
        <is>
          <t>Стандарт, ₽/сут</t>
        </is>
      </c>
      <c r="E1193" t="n">
        <v>17</v>
      </c>
    </row>
    <row r="1194">
      <c r="A1194" t="inlineStr">
        <is>
          <t>CIAN</t>
        </is>
      </c>
      <c r="B1194" t="inlineStr">
        <is>
          <t>Самара</t>
        </is>
      </c>
      <c r="C1194" t="inlineStr">
        <is>
          <t>Продажа · Коммерческая · Гараж</t>
        </is>
      </c>
      <c r="D1194" t="inlineStr">
        <is>
          <t>Публикация, ₽/30 дн</t>
        </is>
      </c>
      <c r="E1194" t="n">
        <v>108</v>
      </c>
    </row>
    <row r="1195">
      <c r="A1195" t="inlineStr">
        <is>
          <t>CIAN</t>
        </is>
      </c>
      <c r="B1195" t="inlineStr">
        <is>
          <t>Самара</t>
        </is>
      </c>
      <c r="C1195" t="inlineStr">
        <is>
          <t>Продажа · Коммерческая · Гараж</t>
        </is>
      </c>
      <c r="D1195" t="inlineStr">
        <is>
          <t>Топ, ₽/сут</t>
        </is>
      </c>
      <c r="E1195" t="inlineStr">
        <is>
          <t>—</t>
        </is>
      </c>
    </row>
    <row r="1196">
      <c r="A1196" t="inlineStr">
        <is>
          <t>CIAN</t>
        </is>
      </c>
      <c r="B1196" t="inlineStr">
        <is>
          <t>Самара</t>
        </is>
      </c>
      <c r="C1196" t="inlineStr">
        <is>
          <t>Продажа · Коммерческая · Гараж</t>
        </is>
      </c>
      <c r="D1196" t="inlineStr">
        <is>
          <t>Премиум, ₽/сут</t>
        </is>
      </c>
      <c r="E1196" t="inlineStr">
        <is>
          <t>—</t>
        </is>
      </c>
    </row>
    <row r="1197">
      <c r="A1197" t="inlineStr">
        <is>
          <t>CIAN</t>
        </is>
      </c>
      <c r="B1197" t="inlineStr">
        <is>
          <t>Самара</t>
        </is>
      </c>
      <c r="C1197" t="inlineStr">
        <is>
          <t>Продажа · Коммерческая · Гараж</t>
        </is>
      </c>
      <c r="D1197" t="inlineStr">
        <is>
          <t>Стандарт, ₽/сут</t>
        </is>
      </c>
      <c r="E1197" t="inlineStr">
        <is>
          <t>—</t>
        </is>
      </c>
    </row>
    <row r="1198">
      <c r="A1198" t="inlineStr">
        <is>
          <t>CIAN</t>
        </is>
      </c>
      <c r="B1198" t="inlineStr">
        <is>
          <t>Ростов-на-Дону</t>
        </is>
      </c>
      <c r="C1198" t="inlineStr">
        <is>
          <t>Продажа · Коммерческая · Гараж</t>
        </is>
      </c>
      <c r="D1198" t="inlineStr">
        <is>
          <t>Публикация, ₽/30 дн</t>
        </is>
      </c>
      <c r="E1198" t="n">
        <v>48</v>
      </c>
    </row>
    <row r="1199">
      <c r="A1199" t="inlineStr">
        <is>
          <t>CIAN</t>
        </is>
      </c>
      <c r="B1199" t="inlineStr">
        <is>
          <t>Ростов-на-Дону</t>
        </is>
      </c>
      <c r="C1199" t="inlineStr">
        <is>
          <t>Продажа · Коммерческая · Гараж</t>
        </is>
      </c>
      <c r="D1199" t="inlineStr">
        <is>
          <t>Топ, ₽/сут</t>
        </is>
      </c>
      <c r="E1199" t="n">
        <v>96</v>
      </c>
    </row>
    <row r="1200">
      <c r="A1200" t="inlineStr">
        <is>
          <t>CIAN</t>
        </is>
      </c>
      <c r="B1200" t="inlineStr">
        <is>
          <t>Ростов-на-Дону</t>
        </is>
      </c>
      <c r="C1200" t="inlineStr">
        <is>
          <t>Продажа · Коммерческая · Гараж</t>
        </is>
      </c>
      <c r="D1200" t="inlineStr">
        <is>
          <t>Премиум, ₽/сут</t>
        </is>
      </c>
      <c r="E1200" t="n">
        <v>44</v>
      </c>
    </row>
    <row r="1201">
      <c r="A1201" t="inlineStr">
        <is>
          <t>CIAN</t>
        </is>
      </c>
      <c r="B1201" t="inlineStr">
        <is>
          <t>Ростов-на-Дону</t>
        </is>
      </c>
      <c r="C1201" t="inlineStr">
        <is>
          <t>Продажа · Коммерческая · Гараж</t>
        </is>
      </c>
      <c r="D1201" t="inlineStr">
        <is>
          <t>Стандарт, ₽/сут</t>
        </is>
      </c>
      <c r="E1201" t="n">
        <v>15</v>
      </c>
    </row>
    <row r="1202">
      <c r="A1202" t="inlineStr">
        <is>
          <t>CIAN</t>
        </is>
      </c>
      <c r="B1202" t="inlineStr">
        <is>
          <t>Омск</t>
        </is>
      </c>
      <c r="C1202" t="inlineStr">
        <is>
          <t>Продажа · Коммерческая · Гараж</t>
        </is>
      </c>
      <c r="D1202" t="inlineStr">
        <is>
          <t>Публикация, ₽/30 дн</t>
        </is>
      </c>
      <c r="E1202" t="n">
        <v>102</v>
      </c>
    </row>
    <row r="1203">
      <c r="A1203" t="inlineStr">
        <is>
          <t>CIAN</t>
        </is>
      </c>
      <c r="B1203" t="inlineStr">
        <is>
          <t>Омск</t>
        </is>
      </c>
      <c r="C1203" t="inlineStr">
        <is>
          <t>Продажа · Коммерческая · Гараж</t>
        </is>
      </c>
      <c r="D1203" t="inlineStr">
        <is>
          <t>Топ, ₽/сут</t>
        </is>
      </c>
      <c r="E1203" t="n">
        <v>144</v>
      </c>
    </row>
    <row r="1204">
      <c r="A1204" t="inlineStr">
        <is>
          <t>CIAN</t>
        </is>
      </c>
      <c r="B1204" t="inlineStr">
        <is>
          <t>Омск</t>
        </is>
      </c>
      <c r="C1204" t="inlineStr">
        <is>
          <t>Продажа · Коммерческая · Гараж</t>
        </is>
      </c>
      <c r="D1204" t="inlineStr">
        <is>
          <t>Премиум, ₽/сут</t>
        </is>
      </c>
      <c r="E1204" t="n">
        <v>86</v>
      </c>
    </row>
    <row r="1205">
      <c r="A1205" t="inlineStr">
        <is>
          <t>CIAN</t>
        </is>
      </c>
      <c r="B1205" t="inlineStr">
        <is>
          <t>Омск</t>
        </is>
      </c>
      <c r="C1205" t="inlineStr">
        <is>
          <t>Продажа · Коммерческая · Гараж</t>
        </is>
      </c>
      <c r="D1205" t="inlineStr">
        <is>
          <t>Стандарт, ₽/сут</t>
        </is>
      </c>
      <c r="E1205" t="n">
        <v>25</v>
      </c>
    </row>
    <row r="1206">
      <c r="A1206" t="inlineStr">
        <is>
          <t>CIAN</t>
        </is>
      </c>
      <c r="B1206" t="inlineStr">
        <is>
          <t>Воронеж</t>
        </is>
      </c>
      <c r="C1206" t="inlineStr">
        <is>
          <t>Продажа · Коммерческая · Гараж</t>
        </is>
      </c>
      <c r="D1206" t="inlineStr">
        <is>
          <t>Публикация, ₽/30 дн</t>
        </is>
      </c>
      <c r="E1206" t="n">
        <v>108</v>
      </c>
    </row>
    <row r="1207">
      <c r="A1207" t="inlineStr">
        <is>
          <t>CIAN</t>
        </is>
      </c>
      <c r="B1207" t="inlineStr">
        <is>
          <t>Воронеж</t>
        </is>
      </c>
      <c r="C1207" t="inlineStr">
        <is>
          <t>Продажа · Коммерческая · Гараж</t>
        </is>
      </c>
      <c r="D1207" t="inlineStr">
        <is>
          <t>Топ, ₽/сут</t>
        </is>
      </c>
      <c r="E1207" t="inlineStr">
        <is>
          <t>—</t>
        </is>
      </c>
    </row>
    <row r="1208">
      <c r="A1208" t="inlineStr">
        <is>
          <t>CIAN</t>
        </is>
      </c>
      <c r="B1208" t="inlineStr">
        <is>
          <t>Воронеж</t>
        </is>
      </c>
      <c r="C1208" t="inlineStr">
        <is>
          <t>Продажа · Коммерческая · Гараж</t>
        </is>
      </c>
      <c r="D1208" t="inlineStr">
        <is>
          <t>Премиум, ₽/сут</t>
        </is>
      </c>
      <c r="E1208" t="inlineStr">
        <is>
          <t>—</t>
        </is>
      </c>
    </row>
    <row r="1209">
      <c r="A1209" t="inlineStr">
        <is>
          <t>CIAN</t>
        </is>
      </c>
      <c r="B1209" t="inlineStr">
        <is>
          <t>Воронеж</t>
        </is>
      </c>
      <c r="C1209" t="inlineStr">
        <is>
          <t>Продажа · Коммерческая · Гараж</t>
        </is>
      </c>
      <c r="D1209" t="inlineStr">
        <is>
          <t>Стандарт, ₽/сут</t>
        </is>
      </c>
      <c r="E1209" t="inlineStr">
        <is>
          <t>—</t>
        </is>
      </c>
    </row>
    <row r="1210">
      <c r="A1210" t="inlineStr">
        <is>
          <t>CIAN</t>
        </is>
      </c>
      <c r="B1210" t="inlineStr">
        <is>
          <t>Пермь</t>
        </is>
      </c>
      <c r="C1210" t="inlineStr">
        <is>
          <t>Продажа · Коммерческая · Гараж</t>
        </is>
      </c>
      <c r="D1210" t="inlineStr">
        <is>
          <t>Публикация, ₽/30 дн</t>
        </is>
      </c>
      <c r="E1210" t="n">
        <v>9</v>
      </c>
    </row>
    <row r="1211">
      <c r="A1211" t="inlineStr">
        <is>
          <t>CIAN</t>
        </is>
      </c>
      <c r="B1211" t="inlineStr">
        <is>
          <t>Пермь</t>
        </is>
      </c>
      <c r="C1211" t="inlineStr">
        <is>
          <t>Продажа · Коммерческая · Гараж</t>
        </is>
      </c>
      <c r="D1211" t="inlineStr">
        <is>
          <t>Топ, ₽/сут</t>
        </is>
      </c>
      <c r="E1211" t="inlineStr">
        <is>
          <t>—</t>
        </is>
      </c>
    </row>
    <row r="1212">
      <c r="A1212" t="inlineStr">
        <is>
          <t>CIAN</t>
        </is>
      </c>
      <c r="B1212" t="inlineStr">
        <is>
          <t>Пермь</t>
        </is>
      </c>
      <c r="C1212" t="inlineStr">
        <is>
          <t>Продажа · Коммерческая · Гараж</t>
        </is>
      </c>
      <c r="D1212" t="inlineStr">
        <is>
          <t>Премиум, ₽/сут</t>
        </is>
      </c>
      <c r="E1212" t="inlineStr">
        <is>
          <t>—</t>
        </is>
      </c>
    </row>
    <row r="1213">
      <c r="A1213" t="inlineStr">
        <is>
          <t>CIAN</t>
        </is>
      </c>
      <c r="B1213" t="inlineStr">
        <is>
          <t>Пермь</t>
        </is>
      </c>
      <c r="C1213" t="inlineStr">
        <is>
          <t>Продажа · Коммерческая · Гараж</t>
        </is>
      </c>
      <c r="D1213" t="inlineStr">
        <is>
          <t>Стандарт, ₽/сут</t>
        </is>
      </c>
      <c r="E1213" t="inlineStr">
        <is>
          <t>—</t>
        </is>
      </c>
    </row>
    <row r="1214">
      <c r="A1214" t="inlineStr">
        <is>
          <t>CIAN</t>
        </is>
      </c>
      <c r="B1214" t="inlineStr">
        <is>
          <t>Волгоград</t>
        </is>
      </c>
      <c r="C1214" t="inlineStr">
        <is>
          <t>Продажа · Коммерческая · Гараж</t>
        </is>
      </c>
      <c r="D1214" t="inlineStr">
        <is>
          <t>Публикация, ₽/30 дн</t>
        </is>
      </c>
      <c r="E1214" t="n">
        <v>108</v>
      </c>
    </row>
    <row r="1215">
      <c r="A1215" t="inlineStr">
        <is>
          <t>CIAN</t>
        </is>
      </c>
      <c r="B1215" t="inlineStr">
        <is>
          <t>Волгоград</t>
        </is>
      </c>
      <c r="C1215" t="inlineStr">
        <is>
          <t>Продажа · Коммерческая · Гараж</t>
        </is>
      </c>
      <c r="D1215" t="inlineStr">
        <is>
          <t>Топ, ₽/сут</t>
        </is>
      </c>
      <c r="E1215" t="inlineStr">
        <is>
          <t>—</t>
        </is>
      </c>
    </row>
    <row r="1216">
      <c r="A1216" t="inlineStr">
        <is>
          <t>CIAN</t>
        </is>
      </c>
      <c r="B1216" t="inlineStr">
        <is>
          <t>Волгоград</t>
        </is>
      </c>
      <c r="C1216" t="inlineStr">
        <is>
          <t>Продажа · Коммерческая · Гараж</t>
        </is>
      </c>
      <c r="D1216" t="inlineStr">
        <is>
          <t>Премиум, ₽/сут</t>
        </is>
      </c>
      <c r="E1216" t="inlineStr">
        <is>
          <t>—</t>
        </is>
      </c>
    </row>
    <row r="1217">
      <c r="A1217" t="inlineStr">
        <is>
          <t>CIAN</t>
        </is>
      </c>
      <c r="B1217" t="inlineStr">
        <is>
          <t>Волгоград</t>
        </is>
      </c>
      <c r="C1217" t="inlineStr">
        <is>
          <t>Продажа · Коммерческая · Гараж</t>
        </is>
      </c>
      <c r="D1217" t="inlineStr">
        <is>
          <t>Стандарт, ₽/сут</t>
        </is>
      </c>
      <c r="E1217" t="inlineStr">
        <is>
          <t>—</t>
        </is>
      </c>
    </row>
    <row r="1218">
      <c r="A1218" t="inlineStr">
        <is>
          <t>CIAN</t>
        </is>
      </c>
      <c r="B1218" t="inlineStr">
        <is>
          <t>Москва</t>
        </is>
      </c>
      <c r="C1218" t="inlineStr">
        <is>
          <t>Продажа · Коммерческая · Бизнес</t>
        </is>
      </c>
      <c r="D1218" t="inlineStr">
        <is>
          <t>Публикация, ₽/30 дн</t>
        </is>
      </c>
      <c r="E1218" t="n">
        <v>2700</v>
      </c>
    </row>
    <row r="1219">
      <c r="A1219" t="inlineStr">
        <is>
          <t>CIAN</t>
        </is>
      </c>
      <c r="B1219" t="inlineStr">
        <is>
          <t>Москва</t>
        </is>
      </c>
      <c r="C1219" t="inlineStr">
        <is>
          <t>Продажа · Коммерческая · Бизнес</t>
        </is>
      </c>
      <c r="D1219" t="inlineStr">
        <is>
          <t>Топ, ₽/сут</t>
        </is>
      </c>
      <c r="E1219" t="n">
        <v>959</v>
      </c>
    </row>
    <row r="1220">
      <c r="A1220" t="inlineStr">
        <is>
          <t>CIAN</t>
        </is>
      </c>
      <c r="B1220" t="inlineStr">
        <is>
          <t>Москва</t>
        </is>
      </c>
      <c r="C1220" t="inlineStr">
        <is>
          <t>Продажа · Коммерческая · Бизнес</t>
        </is>
      </c>
      <c r="D1220" t="inlineStr">
        <is>
          <t>Премиум, ₽/сут</t>
        </is>
      </c>
      <c r="E1220" t="n">
        <v>395</v>
      </c>
    </row>
    <row r="1221">
      <c r="A1221" t="inlineStr">
        <is>
          <t>CIAN</t>
        </is>
      </c>
      <c r="B1221" t="inlineStr">
        <is>
          <t>Москва</t>
        </is>
      </c>
      <c r="C1221" t="inlineStr">
        <is>
          <t>Продажа · Коммерческая · Бизнес</t>
        </is>
      </c>
      <c r="D1221" t="inlineStr">
        <is>
          <t>Стандарт, ₽/сут</t>
        </is>
      </c>
      <c r="E1221" t="n">
        <v>155</v>
      </c>
    </row>
    <row r="1222">
      <c r="A1222" t="inlineStr">
        <is>
          <t>CIAN</t>
        </is>
      </c>
      <c r="B1222" t="inlineStr">
        <is>
          <t>Санкт-Петербург</t>
        </is>
      </c>
      <c r="C1222" t="inlineStr">
        <is>
          <t>Продажа · Коммерческая · Бизнес</t>
        </is>
      </c>
      <c r="D1222" t="inlineStr">
        <is>
          <t>Публикация, ₽/30 дн</t>
        </is>
      </c>
      <c r="E1222" t="n">
        <v>1590</v>
      </c>
    </row>
    <row r="1223">
      <c r="A1223" t="inlineStr">
        <is>
          <t>CIAN</t>
        </is>
      </c>
      <c r="B1223" t="inlineStr">
        <is>
          <t>Санкт-Петербург</t>
        </is>
      </c>
      <c r="C1223" t="inlineStr">
        <is>
          <t>Продажа · Коммерческая · Бизнес</t>
        </is>
      </c>
      <c r="D1223" t="inlineStr">
        <is>
          <t>Топ, ₽/сут</t>
        </is>
      </c>
      <c r="E1223" t="n">
        <v>535</v>
      </c>
    </row>
    <row r="1224">
      <c r="A1224" t="inlineStr">
        <is>
          <t>CIAN</t>
        </is>
      </c>
      <c r="B1224" t="inlineStr">
        <is>
          <t>Санкт-Петербург</t>
        </is>
      </c>
      <c r="C1224" t="inlineStr">
        <is>
          <t>Продажа · Коммерческая · Бизнес</t>
        </is>
      </c>
      <c r="D1224" t="inlineStr">
        <is>
          <t>Премиум, ₽/сут</t>
        </is>
      </c>
      <c r="E1224" t="n">
        <v>235</v>
      </c>
    </row>
    <row r="1225">
      <c r="A1225" t="inlineStr">
        <is>
          <t>CIAN</t>
        </is>
      </c>
      <c r="B1225" t="inlineStr">
        <is>
          <t>Санкт-Петербург</t>
        </is>
      </c>
      <c r="C1225" t="inlineStr">
        <is>
          <t>Продажа · Коммерческая · Бизнес</t>
        </is>
      </c>
      <c r="D1225" t="inlineStr">
        <is>
          <t>Стандарт, ₽/сут</t>
        </is>
      </c>
      <c r="E1225" t="n">
        <v>73</v>
      </c>
    </row>
    <row r="1226">
      <c r="A1226" t="inlineStr">
        <is>
          <t>CIAN</t>
        </is>
      </c>
      <c r="B1226" t="inlineStr">
        <is>
          <t>Новосибирск</t>
        </is>
      </c>
      <c r="C1226" t="inlineStr">
        <is>
          <t>Продажа · Коммерческая · Бизнес</t>
        </is>
      </c>
      <c r="D1226" t="inlineStr">
        <is>
          <t>Публикация, ₽/30 дн</t>
        </is>
      </c>
      <c r="E1226" t="n">
        <v>1380</v>
      </c>
    </row>
    <row r="1227">
      <c r="A1227" t="inlineStr">
        <is>
          <t>CIAN</t>
        </is>
      </c>
      <c r="B1227" t="inlineStr">
        <is>
          <t>Новосибирск</t>
        </is>
      </c>
      <c r="C1227" t="inlineStr">
        <is>
          <t>Продажа · Коммерческая · Бизнес</t>
        </is>
      </c>
      <c r="D1227" t="inlineStr">
        <is>
          <t>Топ, ₽/сут</t>
        </is>
      </c>
      <c r="E1227" t="n">
        <v>326</v>
      </c>
    </row>
    <row r="1228">
      <c r="A1228" t="inlineStr">
        <is>
          <t>CIAN</t>
        </is>
      </c>
      <c r="B1228" t="inlineStr">
        <is>
          <t>Новосибирск</t>
        </is>
      </c>
      <c r="C1228" t="inlineStr">
        <is>
          <t>Продажа · Коммерческая · Бизнес</t>
        </is>
      </c>
      <c r="D1228" t="inlineStr">
        <is>
          <t>Премиум, ₽/сут</t>
        </is>
      </c>
      <c r="E1228" t="n">
        <v>153</v>
      </c>
    </row>
    <row r="1229">
      <c r="A1229" t="inlineStr">
        <is>
          <t>CIAN</t>
        </is>
      </c>
      <c r="B1229" t="inlineStr">
        <is>
          <t>Новосибирск</t>
        </is>
      </c>
      <c r="C1229" t="inlineStr">
        <is>
          <t>Продажа · Коммерческая · Бизнес</t>
        </is>
      </c>
      <c r="D1229" t="inlineStr">
        <is>
          <t>Стандарт, ₽/сут</t>
        </is>
      </c>
      <c r="E1229" t="n">
        <v>45</v>
      </c>
    </row>
    <row r="1230">
      <c r="A1230" t="inlineStr">
        <is>
          <t>CIAN</t>
        </is>
      </c>
      <c r="B1230" t="inlineStr">
        <is>
          <t>Екатеринбург</t>
        </is>
      </c>
      <c r="C1230" t="inlineStr">
        <is>
          <t>Продажа · Коммерческая · Бизнес</t>
        </is>
      </c>
      <c r="D1230" t="inlineStr">
        <is>
          <t>Публикация, ₽/30 дн</t>
        </is>
      </c>
      <c r="E1230" t="n">
        <v>1230</v>
      </c>
    </row>
    <row r="1231">
      <c r="A1231" t="inlineStr">
        <is>
          <t>CIAN</t>
        </is>
      </c>
      <c r="B1231" t="inlineStr">
        <is>
          <t>Екатеринбург</t>
        </is>
      </c>
      <c r="C1231" t="inlineStr">
        <is>
          <t>Продажа · Коммерческая · Бизнес</t>
        </is>
      </c>
      <c r="D1231" t="inlineStr">
        <is>
          <t>Топ, ₽/сут</t>
        </is>
      </c>
      <c r="E1231" t="n">
        <v>388</v>
      </c>
    </row>
    <row r="1232">
      <c r="A1232" t="inlineStr">
        <is>
          <t>CIAN</t>
        </is>
      </c>
      <c r="B1232" t="inlineStr">
        <is>
          <t>Екатеринбург</t>
        </is>
      </c>
      <c r="C1232" t="inlineStr">
        <is>
          <t>Продажа · Коммерческая · Бизнес</t>
        </is>
      </c>
      <c r="D1232" t="inlineStr">
        <is>
          <t>Премиум, ₽/сут</t>
        </is>
      </c>
      <c r="E1232" t="n">
        <v>196</v>
      </c>
    </row>
    <row r="1233">
      <c r="A1233" t="inlineStr">
        <is>
          <t>CIAN</t>
        </is>
      </c>
      <c r="B1233" t="inlineStr">
        <is>
          <t>Екатеринбург</t>
        </is>
      </c>
      <c r="C1233" t="inlineStr">
        <is>
          <t>Продажа · Коммерческая · Бизнес</t>
        </is>
      </c>
      <c r="D1233" t="inlineStr">
        <is>
          <t>Стандарт, ₽/сут</t>
        </is>
      </c>
      <c r="E1233" t="n">
        <v>60</v>
      </c>
    </row>
    <row r="1234">
      <c r="A1234" t="inlineStr">
        <is>
          <t>CIAN</t>
        </is>
      </c>
      <c r="B1234" t="inlineStr">
        <is>
          <t>Казань</t>
        </is>
      </c>
      <c r="C1234" t="inlineStr">
        <is>
          <t>Продажа · Коммерческая · Бизнес</t>
        </is>
      </c>
      <c r="D1234" t="inlineStr">
        <is>
          <t>Публикация, ₽/30 дн</t>
        </is>
      </c>
      <c r="E1234" t="n">
        <v>576</v>
      </c>
    </row>
    <row r="1235">
      <c r="A1235" t="inlineStr">
        <is>
          <t>CIAN</t>
        </is>
      </c>
      <c r="B1235" t="inlineStr">
        <is>
          <t>Казань</t>
        </is>
      </c>
      <c r="C1235" t="inlineStr">
        <is>
          <t>Продажа · Коммерческая · Бизнес</t>
        </is>
      </c>
      <c r="D1235" t="inlineStr">
        <is>
          <t>Топ, ₽/сут</t>
        </is>
      </c>
      <c r="E1235" t="n">
        <v>148</v>
      </c>
    </row>
    <row r="1236">
      <c r="A1236" t="inlineStr">
        <is>
          <t>CIAN</t>
        </is>
      </c>
      <c r="B1236" t="inlineStr">
        <is>
          <t>Казань</t>
        </is>
      </c>
      <c r="C1236" t="inlineStr">
        <is>
          <t>Продажа · Коммерческая · Бизнес</t>
        </is>
      </c>
      <c r="D1236" t="inlineStr">
        <is>
          <t>Премиум, ₽/сут</t>
        </is>
      </c>
      <c r="E1236" t="n">
        <v>66</v>
      </c>
    </row>
    <row r="1237">
      <c r="A1237" t="inlineStr">
        <is>
          <t>CIAN</t>
        </is>
      </c>
      <c r="B1237" t="inlineStr">
        <is>
          <t>Казань</t>
        </is>
      </c>
      <c r="C1237" t="inlineStr">
        <is>
          <t>Продажа · Коммерческая · Бизнес</t>
        </is>
      </c>
      <c r="D1237" t="inlineStr">
        <is>
          <t>Стандарт, ₽/сут</t>
        </is>
      </c>
      <c r="E1237" t="n">
        <v>21</v>
      </c>
    </row>
    <row r="1238">
      <c r="A1238" t="inlineStr">
        <is>
          <t>CIAN</t>
        </is>
      </c>
      <c r="B1238" t="inlineStr">
        <is>
          <t>Красноярск</t>
        </is>
      </c>
      <c r="C1238" t="inlineStr">
        <is>
          <t>Продажа · Коммерческая · Бизнес</t>
        </is>
      </c>
      <c r="D1238" t="inlineStr">
        <is>
          <t>Публикация, ₽/30 дн</t>
        </is>
      </c>
      <c r="E1238" t="n">
        <v>771</v>
      </c>
    </row>
    <row r="1239">
      <c r="A1239" t="inlineStr">
        <is>
          <t>CIAN</t>
        </is>
      </c>
      <c r="B1239" t="inlineStr">
        <is>
          <t>Красноярск</t>
        </is>
      </c>
      <c r="C1239" t="inlineStr">
        <is>
          <t>Продажа · Коммерческая · Бизнес</t>
        </is>
      </c>
      <c r="D1239" t="inlineStr">
        <is>
          <t>Топ, ₽/сут</t>
        </is>
      </c>
      <c r="E1239" t="inlineStr">
        <is>
          <t>—</t>
        </is>
      </c>
    </row>
    <row r="1240">
      <c r="A1240" t="inlineStr">
        <is>
          <t>CIAN</t>
        </is>
      </c>
      <c r="B1240" t="inlineStr">
        <is>
          <t>Красноярск</t>
        </is>
      </c>
      <c r="C1240" t="inlineStr">
        <is>
          <t>Продажа · Коммерческая · Бизнес</t>
        </is>
      </c>
      <c r="D1240" t="inlineStr">
        <is>
          <t>Премиум, ₽/сут</t>
        </is>
      </c>
      <c r="E1240" t="inlineStr">
        <is>
          <t>—</t>
        </is>
      </c>
    </row>
    <row r="1241">
      <c r="A1241" t="inlineStr">
        <is>
          <t>CIAN</t>
        </is>
      </c>
      <c r="B1241" t="inlineStr">
        <is>
          <t>Красноярск</t>
        </is>
      </c>
      <c r="C1241" t="inlineStr">
        <is>
          <t>Продажа · Коммерческая · Бизнес</t>
        </is>
      </c>
      <c r="D1241" t="inlineStr">
        <is>
          <t>Стандарт, ₽/сут</t>
        </is>
      </c>
      <c r="E1241" t="inlineStr">
        <is>
          <t>—</t>
        </is>
      </c>
    </row>
    <row r="1242">
      <c r="A1242" t="inlineStr">
        <is>
          <t>CIAN</t>
        </is>
      </c>
      <c r="B1242" t="inlineStr">
        <is>
          <t>Нижний Новгород</t>
        </is>
      </c>
      <c r="C1242" t="inlineStr">
        <is>
          <t>Продажа · Коммерческая · Бизнес</t>
        </is>
      </c>
      <c r="D1242" t="inlineStr">
        <is>
          <t>Публикация, ₽/30 дн</t>
        </is>
      </c>
      <c r="E1242" t="n">
        <v>270</v>
      </c>
    </row>
    <row r="1243">
      <c r="A1243" t="inlineStr">
        <is>
          <t>CIAN</t>
        </is>
      </c>
      <c r="B1243" t="inlineStr">
        <is>
          <t>Нижний Новгород</t>
        </is>
      </c>
      <c r="C1243" t="inlineStr">
        <is>
          <t>Продажа · Коммерческая · Бизнес</t>
        </is>
      </c>
      <c r="D1243" t="inlineStr">
        <is>
          <t>Топ, ₽/сут</t>
        </is>
      </c>
      <c r="E1243" t="n">
        <v>162</v>
      </c>
    </row>
    <row r="1244">
      <c r="A1244" t="inlineStr">
        <is>
          <t>CIAN</t>
        </is>
      </c>
      <c r="B1244" t="inlineStr">
        <is>
          <t>Нижний Новгород</t>
        </is>
      </c>
      <c r="C1244" t="inlineStr">
        <is>
          <t>Продажа · Коммерческая · Бизнес</t>
        </is>
      </c>
      <c r="D1244" t="inlineStr">
        <is>
          <t>Премиум, ₽/сут</t>
        </is>
      </c>
      <c r="E1244" t="n">
        <v>68</v>
      </c>
    </row>
    <row r="1245">
      <c r="A1245" t="inlineStr">
        <is>
          <t>CIAN</t>
        </is>
      </c>
      <c r="B1245" t="inlineStr">
        <is>
          <t>Нижний Новгород</t>
        </is>
      </c>
      <c r="C1245" t="inlineStr">
        <is>
          <t>Продажа · Коммерческая · Бизнес</t>
        </is>
      </c>
      <c r="D1245" t="inlineStr">
        <is>
          <t>Стандарт, ₽/сут</t>
        </is>
      </c>
      <c r="E1245" t="n">
        <v>21</v>
      </c>
    </row>
    <row r="1246">
      <c r="A1246" t="inlineStr">
        <is>
          <t>CIAN</t>
        </is>
      </c>
      <c r="B1246" t="inlineStr">
        <is>
          <t>Челябинск</t>
        </is>
      </c>
      <c r="C1246" t="inlineStr">
        <is>
          <t>Продажа · Коммерческая · Бизнес</t>
        </is>
      </c>
      <c r="D1246" t="inlineStr">
        <is>
          <t>Публикация, ₽/30 дн</t>
        </is>
      </c>
      <c r="E1246" t="n">
        <v>585</v>
      </c>
    </row>
    <row r="1247">
      <c r="A1247" t="inlineStr">
        <is>
          <t>CIAN</t>
        </is>
      </c>
      <c r="B1247" t="inlineStr">
        <is>
          <t>Челябинск</t>
        </is>
      </c>
      <c r="C1247" t="inlineStr">
        <is>
          <t>Продажа · Коммерческая · Бизнес</t>
        </is>
      </c>
      <c r="D1247" t="inlineStr">
        <is>
          <t>Топ, ₽/сут</t>
        </is>
      </c>
      <c r="E1247" t="n">
        <v>302</v>
      </c>
    </row>
    <row r="1248">
      <c r="A1248" t="inlineStr">
        <is>
          <t>CIAN</t>
        </is>
      </c>
      <c r="B1248" t="inlineStr">
        <is>
          <t>Челябинск</t>
        </is>
      </c>
      <c r="C1248" t="inlineStr">
        <is>
          <t>Продажа · Коммерческая · Бизнес</t>
        </is>
      </c>
      <c r="D1248" t="inlineStr">
        <is>
          <t>Премиум, ₽/сут</t>
        </is>
      </c>
      <c r="E1248" t="n">
        <v>136</v>
      </c>
    </row>
    <row r="1249">
      <c r="A1249" t="inlineStr">
        <is>
          <t>CIAN</t>
        </is>
      </c>
      <c r="B1249" t="inlineStr">
        <is>
          <t>Челябинск</t>
        </is>
      </c>
      <c r="C1249" t="inlineStr">
        <is>
          <t>Продажа · Коммерческая · Бизнес</t>
        </is>
      </c>
      <c r="D1249" t="inlineStr">
        <is>
          <t>Стандарт, ₽/сут</t>
        </is>
      </c>
      <c r="E1249" t="n">
        <v>43</v>
      </c>
    </row>
    <row r="1250">
      <c r="A1250" t="inlineStr">
        <is>
          <t>CIAN</t>
        </is>
      </c>
      <c r="B1250" t="inlineStr">
        <is>
          <t>Уфа</t>
        </is>
      </c>
      <c r="C1250" t="inlineStr">
        <is>
          <t>Продажа · Коммерческая · Бизнес</t>
        </is>
      </c>
      <c r="D1250" t="inlineStr">
        <is>
          <t>Публикация, ₽/30 дн</t>
        </is>
      </c>
      <c r="E1250" t="n">
        <v>645</v>
      </c>
    </row>
    <row r="1251">
      <c r="A1251" t="inlineStr">
        <is>
          <t>CIAN</t>
        </is>
      </c>
      <c r="B1251" t="inlineStr">
        <is>
          <t>Уфа</t>
        </is>
      </c>
      <c r="C1251" t="inlineStr">
        <is>
          <t>Продажа · Коммерческая · Бизнес</t>
        </is>
      </c>
      <c r="D1251" t="inlineStr">
        <is>
          <t>Топ, ₽/сут</t>
        </is>
      </c>
      <c r="E1251" t="n">
        <v>140</v>
      </c>
    </row>
    <row r="1252">
      <c r="A1252" t="inlineStr">
        <is>
          <t>CIAN</t>
        </is>
      </c>
      <c r="B1252" t="inlineStr">
        <is>
          <t>Уфа</t>
        </is>
      </c>
      <c r="C1252" t="inlineStr">
        <is>
          <t>Продажа · Коммерческая · Бизнес</t>
        </is>
      </c>
      <c r="D1252" t="inlineStr">
        <is>
          <t>Премиум, ₽/сут</t>
        </is>
      </c>
      <c r="E1252" t="n">
        <v>60</v>
      </c>
    </row>
    <row r="1253">
      <c r="A1253" t="inlineStr">
        <is>
          <t>CIAN</t>
        </is>
      </c>
      <c r="B1253" t="inlineStr">
        <is>
          <t>Уфа</t>
        </is>
      </c>
      <c r="C1253" t="inlineStr">
        <is>
          <t>Продажа · Коммерческая · Бизнес</t>
        </is>
      </c>
      <c r="D1253" t="inlineStr">
        <is>
          <t>Стандарт, ₽/сут</t>
        </is>
      </c>
      <c r="E1253" t="n">
        <v>19</v>
      </c>
    </row>
    <row r="1254">
      <c r="A1254" t="inlineStr">
        <is>
          <t>CIAN</t>
        </is>
      </c>
      <c r="B1254" t="inlineStr">
        <is>
          <t>Краснодар</t>
        </is>
      </c>
      <c r="C1254" t="inlineStr">
        <is>
          <t>Продажа · Коммерческая · Бизнес</t>
        </is>
      </c>
      <c r="D1254" t="inlineStr">
        <is>
          <t>Публикация, ₽/30 дн</t>
        </is>
      </c>
      <c r="E1254" t="n">
        <v>489</v>
      </c>
    </row>
    <row r="1255">
      <c r="A1255" t="inlineStr">
        <is>
          <t>CIAN</t>
        </is>
      </c>
      <c r="B1255" t="inlineStr">
        <is>
          <t>Краснодар</t>
        </is>
      </c>
      <c r="C1255" t="inlineStr">
        <is>
          <t>Продажа · Коммерческая · Бизнес</t>
        </is>
      </c>
      <c r="D1255" t="inlineStr">
        <is>
          <t>Топ, ₽/сут</t>
        </is>
      </c>
      <c r="E1255" t="n">
        <v>144</v>
      </c>
    </row>
    <row r="1256">
      <c r="A1256" t="inlineStr">
        <is>
          <t>CIAN</t>
        </is>
      </c>
      <c r="B1256" t="inlineStr">
        <is>
          <t>Краснодар</t>
        </is>
      </c>
      <c r="C1256" t="inlineStr">
        <is>
          <t>Продажа · Коммерческая · Бизнес</t>
        </is>
      </c>
      <c r="D1256" t="inlineStr">
        <is>
          <t>Премиум, ₽/сут</t>
        </is>
      </c>
      <c r="E1256" t="n">
        <v>60</v>
      </c>
    </row>
    <row r="1257">
      <c r="A1257" t="inlineStr">
        <is>
          <t>CIAN</t>
        </is>
      </c>
      <c r="B1257" t="inlineStr">
        <is>
          <t>Краснодар</t>
        </is>
      </c>
      <c r="C1257" t="inlineStr">
        <is>
          <t>Продажа · Коммерческая · Бизнес</t>
        </is>
      </c>
      <c r="D1257" t="inlineStr">
        <is>
          <t>Стандарт, ₽/сут</t>
        </is>
      </c>
      <c r="E1257" t="n">
        <v>20</v>
      </c>
    </row>
    <row r="1258">
      <c r="A1258" t="inlineStr">
        <is>
          <t>CIAN</t>
        </is>
      </c>
      <c r="B1258" t="inlineStr">
        <is>
          <t>Самара</t>
        </is>
      </c>
      <c r="C1258" t="inlineStr">
        <is>
          <t>Продажа · Коммерческая · Бизнес</t>
        </is>
      </c>
      <c r="D1258" t="inlineStr">
        <is>
          <t>Публикация, ₽/30 дн</t>
        </is>
      </c>
      <c r="E1258" t="n">
        <v>390</v>
      </c>
    </row>
    <row r="1259">
      <c r="A1259" t="inlineStr">
        <is>
          <t>CIAN</t>
        </is>
      </c>
      <c r="B1259" t="inlineStr">
        <is>
          <t>Самара</t>
        </is>
      </c>
      <c r="C1259" t="inlineStr">
        <is>
          <t>Продажа · Коммерческая · Бизнес</t>
        </is>
      </c>
      <c r="D1259" t="inlineStr">
        <is>
          <t>Топ, ₽/сут</t>
        </is>
      </c>
      <c r="E1259" t="inlineStr">
        <is>
          <t>—</t>
        </is>
      </c>
    </row>
    <row r="1260">
      <c r="A1260" t="inlineStr">
        <is>
          <t>CIAN</t>
        </is>
      </c>
      <c r="B1260" t="inlineStr">
        <is>
          <t>Самара</t>
        </is>
      </c>
      <c r="C1260" t="inlineStr">
        <is>
          <t>Продажа · Коммерческая · Бизнес</t>
        </is>
      </c>
      <c r="D1260" t="inlineStr">
        <is>
          <t>Премиум, ₽/сут</t>
        </is>
      </c>
      <c r="E1260" t="inlineStr">
        <is>
          <t>—</t>
        </is>
      </c>
    </row>
    <row r="1261">
      <c r="A1261" t="inlineStr">
        <is>
          <t>CIAN</t>
        </is>
      </c>
      <c r="B1261" t="inlineStr">
        <is>
          <t>Самара</t>
        </is>
      </c>
      <c r="C1261" t="inlineStr">
        <is>
          <t>Продажа · Коммерческая · Бизнес</t>
        </is>
      </c>
      <c r="D1261" t="inlineStr">
        <is>
          <t>Стандарт, ₽/сут</t>
        </is>
      </c>
      <c r="E1261" t="inlineStr">
        <is>
          <t>—</t>
        </is>
      </c>
    </row>
    <row r="1262">
      <c r="A1262" t="inlineStr">
        <is>
          <t>CIAN</t>
        </is>
      </c>
      <c r="B1262" t="inlineStr">
        <is>
          <t>Ростов-на-Дону</t>
        </is>
      </c>
      <c r="C1262" t="inlineStr">
        <is>
          <t>Продажа · Коммерческая · Бизнес</t>
        </is>
      </c>
      <c r="D1262" t="inlineStr">
        <is>
          <t>Публикация, ₽/30 дн</t>
        </is>
      </c>
      <c r="E1262" t="n">
        <v>390</v>
      </c>
    </row>
    <row r="1263">
      <c r="A1263" t="inlineStr">
        <is>
          <t>CIAN</t>
        </is>
      </c>
      <c r="B1263" t="inlineStr">
        <is>
          <t>Ростов-на-Дону</t>
        </is>
      </c>
      <c r="C1263" t="inlineStr">
        <is>
          <t>Продажа · Коммерческая · Бизнес</t>
        </is>
      </c>
      <c r="D1263" t="inlineStr">
        <is>
          <t>Топ, ₽/сут</t>
        </is>
      </c>
      <c r="E1263" t="n">
        <v>150</v>
      </c>
    </row>
    <row r="1264">
      <c r="A1264" t="inlineStr">
        <is>
          <t>CIAN</t>
        </is>
      </c>
      <c r="B1264" t="inlineStr">
        <is>
          <t>Ростов-на-Дону</t>
        </is>
      </c>
      <c r="C1264" t="inlineStr">
        <is>
          <t>Продажа · Коммерческая · Бизнес</t>
        </is>
      </c>
      <c r="D1264" t="inlineStr">
        <is>
          <t>Премиум, ₽/сут</t>
        </is>
      </c>
      <c r="E1264" t="n">
        <v>62</v>
      </c>
    </row>
    <row r="1265">
      <c r="A1265" t="inlineStr">
        <is>
          <t>CIAN</t>
        </is>
      </c>
      <c r="B1265" t="inlineStr">
        <is>
          <t>Ростов-на-Дону</t>
        </is>
      </c>
      <c r="C1265" t="inlineStr">
        <is>
          <t>Продажа · Коммерческая · Бизнес</t>
        </is>
      </c>
      <c r="D1265" t="inlineStr">
        <is>
          <t>Стандарт, ₽/сут</t>
        </is>
      </c>
      <c r="E1265" t="n">
        <v>20</v>
      </c>
    </row>
    <row r="1266">
      <c r="A1266" t="inlineStr">
        <is>
          <t>CIAN</t>
        </is>
      </c>
      <c r="B1266" t="inlineStr">
        <is>
          <t>Омск</t>
        </is>
      </c>
      <c r="C1266" t="inlineStr">
        <is>
          <t>Продажа · Коммерческая · Бизнес</t>
        </is>
      </c>
      <c r="D1266" t="inlineStr">
        <is>
          <t>Публикация, ₽/30 дн</t>
        </is>
      </c>
      <c r="E1266" t="n">
        <v>759</v>
      </c>
    </row>
    <row r="1267">
      <c r="A1267" t="inlineStr">
        <is>
          <t>CIAN</t>
        </is>
      </c>
      <c r="B1267" t="inlineStr">
        <is>
          <t>Омск</t>
        </is>
      </c>
      <c r="C1267" t="inlineStr">
        <is>
          <t>Продажа · Коммерческая · Бизнес</t>
        </is>
      </c>
      <c r="D1267" t="inlineStr">
        <is>
          <t>Топ, ₽/сут</t>
        </is>
      </c>
      <c r="E1267" t="n">
        <v>342</v>
      </c>
    </row>
    <row r="1268">
      <c r="A1268" t="inlineStr">
        <is>
          <t>CIAN</t>
        </is>
      </c>
      <c r="B1268" t="inlineStr">
        <is>
          <t>Омск</t>
        </is>
      </c>
      <c r="C1268" t="inlineStr">
        <is>
          <t>Продажа · Коммерческая · Бизнес</t>
        </is>
      </c>
      <c r="D1268" t="inlineStr">
        <is>
          <t>Премиум, ₽/сут</t>
        </is>
      </c>
      <c r="E1268" t="n">
        <v>186</v>
      </c>
    </row>
    <row r="1269">
      <c r="A1269" t="inlineStr">
        <is>
          <t>CIAN</t>
        </is>
      </c>
      <c r="B1269" t="inlineStr">
        <is>
          <t>Омск</t>
        </is>
      </c>
      <c r="C1269" t="inlineStr">
        <is>
          <t>Продажа · Коммерческая · Бизнес</t>
        </is>
      </c>
      <c r="D1269" t="inlineStr">
        <is>
          <t>Стандарт, ₽/сут</t>
        </is>
      </c>
      <c r="E1269" t="n">
        <v>63</v>
      </c>
    </row>
    <row r="1270">
      <c r="A1270" t="inlineStr">
        <is>
          <t>CIAN</t>
        </is>
      </c>
      <c r="B1270" t="inlineStr">
        <is>
          <t>Воронеж</t>
        </is>
      </c>
      <c r="C1270" t="inlineStr">
        <is>
          <t>Продажа · Коммерческая · Бизнес</t>
        </is>
      </c>
      <c r="D1270" t="inlineStr">
        <is>
          <t>Публикация, ₽/30 дн</t>
        </is>
      </c>
      <c r="E1270" t="n">
        <v>180</v>
      </c>
    </row>
    <row r="1271">
      <c r="A1271" t="inlineStr">
        <is>
          <t>CIAN</t>
        </is>
      </c>
      <c r="B1271" t="inlineStr">
        <is>
          <t>Воронеж</t>
        </is>
      </c>
      <c r="C1271" t="inlineStr">
        <is>
          <t>Продажа · Коммерческая · Бизнес</t>
        </is>
      </c>
      <c r="D1271" t="inlineStr">
        <is>
          <t>Топ, ₽/сут</t>
        </is>
      </c>
      <c r="E1271" t="inlineStr">
        <is>
          <t>—</t>
        </is>
      </c>
    </row>
    <row r="1272">
      <c r="A1272" t="inlineStr">
        <is>
          <t>CIAN</t>
        </is>
      </c>
      <c r="B1272" t="inlineStr">
        <is>
          <t>Воронеж</t>
        </is>
      </c>
      <c r="C1272" t="inlineStr">
        <is>
          <t>Продажа · Коммерческая · Бизнес</t>
        </is>
      </c>
      <c r="D1272" t="inlineStr">
        <is>
          <t>Премиум, ₽/сут</t>
        </is>
      </c>
      <c r="E1272" t="inlineStr">
        <is>
          <t>—</t>
        </is>
      </c>
    </row>
    <row r="1273">
      <c r="A1273" t="inlineStr">
        <is>
          <t>CIAN</t>
        </is>
      </c>
      <c r="B1273" t="inlineStr">
        <is>
          <t>Воронеж</t>
        </is>
      </c>
      <c r="C1273" t="inlineStr">
        <is>
          <t>Продажа · Коммерческая · Бизнес</t>
        </is>
      </c>
      <c r="D1273" t="inlineStr">
        <is>
          <t>Стандарт, ₽/сут</t>
        </is>
      </c>
      <c r="E1273" t="inlineStr">
        <is>
          <t>—</t>
        </is>
      </c>
    </row>
    <row r="1274">
      <c r="A1274" t="inlineStr">
        <is>
          <t>CIAN</t>
        </is>
      </c>
      <c r="B1274" t="inlineStr">
        <is>
          <t>Пермь</t>
        </is>
      </c>
      <c r="C1274" t="inlineStr">
        <is>
          <t>Продажа · Коммерческая · Бизнес</t>
        </is>
      </c>
      <c r="D1274" t="inlineStr">
        <is>
          <t>Публикация, ₽/30 дн</t>
        </is>
      </c>
      <c r="E1274" t="n">
        <v>93</v>
      </c>
    </row>
    <row r="1275">
      <c r="A1275" t="inlineStr">
        <is>
          <t>CIAN</t>
        </is>
      </c>
      <c r="B1275" t="inlineStr">
        <is>
          <t>Пермь</t>
        </is>
      </c>
      <c r="C1275" t="inlineStr">
        <is>
          <t>Продажа · Коммерческая · Бизнес</t>
        </is>
      </c>
      <c r="D1275" t="inlineStr">
        <is>
          <t>Топ, ₽/сут</t>
        </is>
      </c>
      <c r="E1275" t="inlineStr">
        <is>
          <t>—</t>
        </is>
      </c>
    </row>
    <row r="1276">
      <c r="A1276" t="inlineStr">
        <is>
          <t>CIAN</t>
        </is>
      </c>
      <c r="B1276" t="inlineStr">
        <is>
          <t>Пермь</t>
        </is>
      </c>
      <c r="C1276" t="inlineStr">
        <is>
          <t>Продажа · Коммерческая · Бизнес</t>
        </is>
      </c>
      <c r="D1276" t="inlineStr">
        <is>
          <t>Премиум, ₽/сут</t>
        </is>
      </c>
      <c r="E1276" t="inlineStr">
        <is>
          <t>—</t>
        </is>
      </c>
    </row>
    <row r="1277">
      <c r="A1277" t="inlineStr">
        <is>
          <t>CIAN</t>
        </is>
      </c>
      <c r="B1277" t="inlineStr">
        <is>
          <t>Пермь</t>
        </is>
      </c>
      <c r="C1277" t="inlineStr">
        <is>
          <t>Продажа · Коммерческая · Бизнес</t>
        </is>
      </c>
      <c r="D1277" t="inlineStr">
        <is>
          <t>Стандарт, ₽/сут</t>
        </is>
      </c>
      <c r="E1277" t="inlineStr">
        <is>
          <t>—</t>
        </is>
      </c>
    </row>
    <row r="1278">
      <c r="A1278" t="inlineStr">
        <is>
          <t>CIAN</t>
        </is>
      </c>
      <c r="B1278" t="inlineStr">
        <is>
          <t>Волгоград</t>
        </is>
      </c>
      <c r="C1278" t="inlineStr">
        <is>
          <t>Продажа · Коммерческая · Бизнес</t>
        </is>
      </c>
      <c r="D1278" t="inlineStr">
        <is>
          <t>Публикация, ₽/30 дн</t>
        </is>
      </c>
      <c r="E1278" t="n">
        <v>600</v>
      </c>
    </row>
    <row r="1279">
      <c r="A1279" t="inlineStr">
        <is>
          <t>CIAN</t>
        </is>
      </c>
      <c r="B1279" t="inlineStr">
        <is>
          <t>Волгоград</t>
        </is>
      </c>
      <c r="C1279" t="inlineStr">
        <is>
          <t>Продажа · Коммерческая · Бизнес</t>
        </is>
      </c>
      <c r="D1279" t="inlineStr">
        <is>
          <t>Топ, ₽/сут</t>
        </is>
      </c>
      <c r="E1279" t="inlineStr">
        <is>
          <t>—</t>
        </is>
      </c>
    </row>
    <row r="1280">
      <c r="A1280" t="inlineStr">
        <is>
          <t>CIAN</t>
        </is>
      </c>
      <c r="B1280" t="inlineStr">
        <is>
          <t>Волгоград</t>
        </is>
      </c>
      <c r="C1280" t="inlineStr">
        <is>
          <t>Продажа · Коммерческая · Бизнес</t>
        </is>
      </c>
      <c r="D1280" t="inlineStr">
        <is>
          <t>Премиум, ₽/сут</t>
        </is>
      </c>
      <c r="E1280" t="inlineStr">
        <is>
          <t>—</t>
        </is>
      </c>
    </row>
    <row r="1281">
      <c r="A1281" t="inlineStr">
        <is>
          <t>CIAN</t>
        </is>
      </c>
      <c r="B1281" t="inlineStr">
        <is>
          <t>Волгоград</t>
        </is>
      </c>
      <c r="C1281" t="inlineStr">
        <is>
          <t>Продажа · Коммерческая · Бизнес</t>
        </is>
      </c>
      <c r="D1281" t="inlineStr">
        <is>
          <t>Стандарт, ₽/сут</t>
        </is>
      </c>
      <c r="E1281" t="inlineStr">
        <is>
          <t>—</t>
        </is>
      </c>
    </row>
    <row r="1282">
      <c r="A1282" t="inlineStr">
        <is>
          <t>CIAN</t>
        </is>
      </c>
      <c r="B1282" t="inlineStr">
        <is>
          <t>Москва</t>
        </is>
      </c>
      <c r="C1282" t="inlineStr">
        <is>
          <t>Продажа · Коммерческая · Коммерческая земля</t>
        </is>
      </c>
      <c r="D1282" t="inlineStr">
        <is>
          <t>Публикация, ₽/30 дн</t>
        </is>
      </c>
      <c r="E1282" t="n">
        <v>3420</v>
      </c>
    </row>
    <row r="1283">
      <c r="A1283" t="inlineStr">
        <is>
          <t>CIAN</t>
        </is>
      </c>
      <c r="B1283" t="inlineStr">
        <is>
          <t>Москва</t>
        </is>
      </c>
      <c r="C1283" t="inlineStr">
        <is>
          <t>Продажа · Коммерческая · Коммерческая земля</t>
        </is>
      </c>
      <c r="D1283" t="inlineStr">
        <is>
          <t>Топ, ₽/сут</t>
        </is>
      </c>
      <c r="E1283" t="n">
        <v>887</v>
      </c>
    </row>
    <row r="1284">
      <c r="A1284" t="inlineStr">
        <is>
          <t>CIAN</t>
        </is>
      </c>
      <c r="B1284" t="inlineStr">
        <is>
          <t>Москва</t>
        </is>
      </c>
      <c r="C1284" t="inlineStr">
        <is>
          <t>Продажа · Коммерческая · Коммерческая земля</t>
        </is>
      </c>
      <c r="D1284" t="inlineStr">
        <is>
          <t>Премиум, ₽/сут</t>
        </is>
      </c>
      <c r="E1284" t="n">
        <v>348</v>
      </c>
    </row>
    <row r="1285">
      <c r="A1285" t="inlineStr">
        <is>
          <t>CIAN</t>
        </is>
      </c>
      <c r="B1285" t="inlineStr">
        <is>
          <t>Москва</t>
        </is>
      </c>
      <c r="C1285" t="inlineStr">
        <is>
          <t>Продажа · Коммерческая · Коммерческая земля</t>
        </is>
      </c>
      <c r="D1285" t="inlineStr">
        <is>
          <t>Стандарт, ₽/сут</t>
        </is>
      </c>
      <c r="E1285" t="n">
        <v>104</v>
      </c>
    </row>
    <row r="1286">
      <c r="A1286" t="inlineStr">
        <is>
          <t>CIAN</t>
        </is>
      </c>
      <c r="B1286" t="inlineStr">
        <is>
          <t>Санкт-Петербург</t>
        </is>
      </c>
      <c r="C1286" t="inlineStr">
        <is>
          <t>Продажа · Коммерческая · Коммерческая земля</t>
        </is>
      </c>
      <c r="D1286" t="inlineStr">
        <is>
          <t>Публикация, ₽/30 дн</t>
        </is>
      </c>
      <c r="E1286" t="n">
        <v>1659</v>
      </c>
    </row>
    <row r="1287">
      <c r="A1287" t="inlineStr">
        <is>
          <t>CIAN</t>
        </is>
      </c>
      <c r="B1287" t="inlineStr">
        <is>
          <t>Санкт-Петербург</t>
        </is>
      </c>
      <c r="C1287" t="inlineStr">
        <is>
          <t>Продажа · Коммерческая · Коммерческая земля</t>
        </is>
      </c>
      <c r="D1287" t="inlineStr">
        <is>
          <t>Топ, ₽/сут</t>
        </is>
      </c>
      <c r="E1287" t="n">
        <v>661</v>
      </c>
    </row>
    <row r="1288">
      <c r="A1288" t="inlineStr">
        <is>
          <t>CIAN</t>
        </is>
      </c>
      <c r="B1288" t="inlineStr">
        <is>
          <t>Санкт-Петербург</t>
        </is>
      </c>
      <c r="C1288" t="inlineStr">
        <is>
          <t>Продажа · Коммерческая · Коммерческая земля</t>
        </is>
      </c>
      <c r="D1288" t="inlineStr">
        <is>
          <t>Премиум, ₽/сут</t>
        </is>
      </c>
      <c r="E1288" t="n">
        <v>280</v>
      </c>
    </row>
    <row r="1289">
      <c r="A1289" t="inlineStr">
        <is>
          <t>CIAN</t>
        </is>
      </c>
      <c r="B1289" t="inlineStr">
        <is>
          <t>Санкт-Петербург</t>
        </is>
      </c>
      <c r="C1289" t="inlineStr">
        <is>
          <t>Продажа · Коммерческая · Коммерческая земля</t>
        </is>
      </c>
      <c r="D1289" t="inlineStr">
        <is>
          <t>Стандарт, ₽/сут</t>
        </is>
      </c>
      <c r="E1289" t="n">
        <v>86</v>
      </c>
    </row>
    <row r="1290">
      <c r="A1290" t="inlineStr">
        <is>
          <t>CIAN</t>
        </is>
      </c>
      <c r="B1290" t="inlineStr">
        <is>
          <t>Новосибирск</t>
        </is>
      </c>
      <c r="C1290" t="inlineStr">
        <is>
          <t>Продажа · Коммерческая · Коммерческая земля</t>
        </is>
      </c>
      <c r="D1290" t="inlineStr">
        <is>
          <t>Публикация, ₽/30 дн</t>
        </is>
      </c>
      <c r="E1290" t="n">
        <v>1530</v>
      </c>
    </row>
    <row r="1291">
      <c r="A1291" t="inlineStr">
        <is>
          <t>CIAN</t>
        </is>
      </c>
      <c r="B1291" t="inlineStr">
        <is>
          <t>Новосибирск</t>
        </is>
      </c>
      <c r="C1291" t="inlineStr">
        <is>
          <t>Продажа · Коммерческая · Коммерческая земля</t>
        </is>
      </c>
      <c r="D1291" t="inlineStr">
        <is>
          <t>Топ, ₽/сут</t>
        </is>
      </c>
      <c r="E1291" t="n">
        <v>337</v>
      </c>
    </row>
    <row r="1292">
      <c r="A1292" t="inlineStr">
        <is>
          <t>CIAN</t>
        </is>
      </c>
      <c r="B1292" t="inlineStr">
        <is>
          <t>Новосибирск</t>
        </is>
      </c>
      <c r="C1292" t="inlineStr">
        <is>
          <t>Продажа · Коммерческая · Коммерческая земля</t>
        </is>
      </c>
      <c r="D1292" t="inlineStr">
        <is>
          <t>Премиум, ₽/сут</t>
        </is>
      </c>
      <c r="E1292" t="n">
        <v>164</v>
      </c>
    </row>
    <row r="1293">
      <c r="A1293" t="inlineStr">
        <is>
          <t>CIAN</t>
        </is>
      </c>
      <c r="B1293" t="inlineStr">
        <is>
          <t>Новосибирск</t>
        </is>
      </c>
      <c r="C1293" t="inlineStr">
        <is>
          <t>Продажа · Коммерческая · Коммерческая земля</t>
        </is>
      </c>
      <c r="D1293" t="inlineStr">
        <is>
          <t>Стандарт, ₽/сут</t>
        </is>
      </c>
      <c r="E1293" t="n">
        <v>49</v>
      </c>
    </row>
    <row r="1294">
      <c r="A1294" t="inlineStr">
        <is>
          <t>CIAN</t>
        </is>
      </c>
      <c r="B1294" t="inlineStr">
        <is>
          <t>Екатеринбург</t>
        </is>
      </c>
      <c r="C1294" t="inlineStr">
        <is>
          <t>Продажа · Коммерческая · Коммерческая земля</t>
        </is>
      </c>
      <c r="D1294" t="inlineStr">
        <is>
          <t>Публикация, ₽/30 дн</t>
        </is>
      </c>
      <c r="E1294" t="n">
        <v>1122</v>
      </c>
    </row>
    <row r="1295">
      <c r="A1295" t="inlineStr">
        <is>
          <t>CIAN</t>
        </is>
      </c>
      <c r="B1295" t="inlineStr">
        <is>
          <t>Екатеринбург</t>
        </is>
      </c>
      <c r="C1295" t="inlineStr">
        <is>
          <t>Продажа · Коммерческая · Коммерческая земля</t>
        </is>
      </c>
      <c r="D1295" t="inlineStr">
        <is>
          <t>Топ, ₽/сут</t>
        </is>
      </c>
      <c r="E1295" t="n">
        <v>454</v>
      </c>
    </row>
    <row r="1296">
      <c r="A1296" t="inlineStr">
        <is>
          <t>CIAN</t>
        </is>
      </c>
      <c r="B1296" t="inlineStr">
        <is>
          <t>Екатеринбург</t>
        </is>
      </c>
      <c r="C1296" t="inlineStr">
        <is>
          <t>Продажа · Коммерческая · Коммерческая земля</t>
        </is>
      </c>
      <c r="D1296" t="inlineStr">
        <is>
          <t>Премиум, ₽/сут</t>
        </is>
      </c>
      <c r="E1296" t="n">
        <v>244</v>
      </c>
    </row>
    <row r="1297">
      <c r="A1297" t="inlineStr">
        <is>
          <t>CIAN</t>
        </is>
      </c>
      <c r="B1297" t="inlineStr">
        <is>
          <t>Екатеринбург</t>
        </is>
      </c>
      <c r="C1297" t="inlineStr">
        <is>
          <t>Продажа · Коммерческая · Коммерческая земля</t>
        </is>
      </c>
      <c r="D1297" t="inlineStr">
        <is>
          <t>Стандарт, ₽/сут</t>
        </is>
      </c>
      <c r="E1297" t="n">
        <v>74</v>
      </c>
    </row>
    <row r="1298">
      <c r="A1298" t="inlineStr">
        <is>
          <t>CIAN</t>
        </is>
      </c>
      <c r="B1298" t="inlineStr">
        <is>
          <t>Казань</t>
        </is>
      </c>
      <c r="C1298" t="inlineStr">
        <is>
          <t>Продажа · Коммерческая · Коммерческая земля</t>
        </is>
      </c>
      <c r="D1298" t="inlineStr">
        <is>
          <t>Публикация, ₽/30 дн</t>
        </is>
      </c>
      <c r="E1298" t="n">
        <v>441</v>
      </c>
    </row>
    <row r="1299">
      <c r="A1299" t="inlineStr">
        <is>
          <t>CIAN</t>
        </is>
      </c>
      <c r="B1299" t="inlineStr">
        <is>
          <t>Казань</t>
        </is>
      </c>
      <c r="C1299" t="inlineStr">
        <is>
          <t>Продажа · Коммерческая · Коммерческая земля</t>
        </is>
      </c>
      <c r="D1299" t="inlineStr">
        <is>
          <t>Топ, ₽/сут</t>
        </is>
      </c>
      <c r="E1299" t="n">
        <v>163</v>
      </c>
    </row>
    <row r="1300">
      <c r="A1300" t="inlineStr">
        <is>
          <t>CIAN</t>
        </is>
      </c>
      <c r="B1300" t="inlineStr">
        <is>
          <t>Казань</t>
        </is>
      </c>
      <c r="C1300" t="inlineStr">
        <is>
          <t>Продажа · Коммерческая · Коммерческая земля</t>
        </is>
      </c>
      <c r="D1300" t="inlineStr">
        <is>
          <t>Премиум, ₽/сут</t>
        </is>
      </c>
      <c r="E1300" t="n">
        <v>68</v>
      </c>
    </row>
    <row r="1301">
      <c r="A1301" t="inlineStr">
        <is>
          <t>CIAN</t>
        </is>
      </c>
      <c r="B1301" t="inlineStr">
        <is>
          <t>Казань</t>
        </is>
      </c>
      <c r="C1301" t="inlineStr">
        <is>
          <t>Продажа · Коммерческая · Коммерческая земля</t>
        </is>
      </c>
      <c r="D1301" t="inlineStr">
        <is>
          <t>Стандарт, ₽/сут</t>
        </is>
      </c>
      <c r="E1301" t="n">
        <v>20</v>
      </c>
    </row>
    <row r="1302">
      <c r="A1302" t="inlineStr">
        <is>
          <t>CIAN</t>
        </is>
      </c>
      <c r="B1302" t="inlineStr">
        <is>
          <t>Красноярск</t>
        </is>
      </c>
      <c r="C1302" t="inlineStr">
        <is>
          <t>Продажа · Коммерческая · Коммерческая земля</t>
        </is>
      </c>
      <c r="D1302" t="inlineStr">
        <is>
          <t>Публикация, ₽/30 дн</t>
        </is>
      </c>
      <c r="E1302" t="n">
        <v>540</v>
      </c>
    </row>
    <row r="1303">
      <c r="A1303" t="inlineStr">
        <is>
          <t>CIAN</t>
        </is>
      </c>
      <c r="B1303" t="inlineStr">
        <is>
          <t>Красноярск</t>
        </is>
      </c>
      <c r="C1303" t="inlineStr">
        <is>
          <t>Продажа · Коммерческая · Коммерческая земля</t>
        </is>
      </c>
      <c r="D1303" t="inlineStr">
        <is>
          <t>Топ, ₽/сут</t>
        </is>
      </c>
      <c r="E1303" t="inlineStr">
        <is>
          <t>—</t>
        </is>
      </c>
    </row>
    <row r="1304">
      <c r="A1304" t="inlineStr">
        <is>
          <t>CIAN</t>
        </is>
      </c>
      <c r="B1304" t="inlineStr">
        <is>
          <t>Красноярск</t>
        </is>
      </c>
      <c r="C1304" t="inlineStr">
        <is>
          <t>Продажа · Коммерческая · Коммерческая земля</t>
        </is>
      </c>
      <c r="D1304" t="inlineStr">
        <is>
          <t>Премиум, ₽/сут</t>
        </is>
      </c>
      <c r="E1304" t="inlineStr">
        <is>
          <t>—</t>
        </is>
      </c>
    </row>
    <row r="1305">
      <c r="A1305" t="inlineStr">
        <is>
          <t>CIAN</t>
        </is>
      </c>
      <c r="B1305" t="inlineStr">
        <is>
          <t>Красноярск</t>
        </is>
      </c>
      <c r="C1305" t="inlineStr">
        <is>
          <t>Продажа · Коммерческая · Коммерческая земля</t>
        </is>
      </c>
      <c r="D1305" t="inlineStr">
        <is>
          <t>Стандарт, ₽/сут</t>
        </is>
      </c>
      <c r="E1305" t="inlineStr">
        <is>
          <t>—</t>
        </is>
      </c>
    </row>
    <row r="1306">
      <c r="A1306" t="inlineStr">
        <is>
          <t>CIAN</t>
        </is>
      </c>
      <c r="B1306" t="inlineStr">
        <is>
          <t>Нижний Новгород</t>
        </is>
      </c>
      <c r="C1306" t="inlineStr">
        <is>
          <t>Продажа · Коммерческая · Коммерческая земля</t>
        </is>
      </c>
      <c r="D1306" t="inlineStr">
        <is>
          <t>Публикация, ₽/30 дн</t>
        </is>
      </c>
      <c r="E1306" t="n">
        <v>231</v>
      </c>
    </row>
    <row r="1307">
      <c r="A1307" t="inlineStr">
        <is>
          <t>CIAN</t>
        </is>
      </c>
      <c r="B1307" t="inlineStr">
        <is>
          <t>Нижний Новгород</t>
        </is>
      </c>
      <c r="C1307" t="inlineStr">
        <is>
          <t>Продажа · Коммерческая · Коммерческая земля</t>
        </is>
      </c>
      <c r="D1307" t="inlineStr">
        <is>
          <t>Топ, ₽/сут</t>
        </is>
      </c>
      <c r="E1307" t="n">
        <v>123</v>
      </c>
    </row>
    <row r="1308">
      <c r="A1308" t="inlineStr">
        <is>
          <t>CIAN</t>
        </is>
      </c>
      <c r="B1308" t="inlineStr">
        <is>
          <t>Нижний Новгород</t>
        </is>
      </c>
      <c r="C1308" t="inlineStr">
        <is>
          <t>Продажа · Коммерческая · Коммерческая земля</t>
        </is>
      </c>
      <c r="D1308" t="inlineStr">
        <is>
          <t>Премиум, ₽/сут</t>
        </is>
      </c>
      <c r="E1308" t="n">
        <v>55</v>
      </c>
    </row>
    <row r="1309">
      <c r="A1309" t="inlineStr">
        <is>
          <t>CIAN</t>
        </is>
      </c>
      <c r="B1309" t="inlineStr">
        <is>
          <t>Нижний Новгород</t>
        </is>
      </c>
      <c r="C1309" t="inlineStr">
        <is>
          <t>Продажа · Коммерческая · Коммерческая земля</t>
        </is>
      </c>
      <c r="D1309" t="inlineStr">
        <is>
          <t>Стандарт, ₽/сут</t>
        </is>
      </c>
      <c r="E1309" t="n">
        <v>18</v>
      </c>
    </row>
    <row r="1310">
      <c r="A1310" t="inlineStr">
        <is>
          <t>CIAN</t>
        </is>
      </c>
      <c r="B1310" t="inlineStr">
        <is>
          <t>Челябинск</t>
        </is>
      </c>
      <c r="C1310" t="inlineStr">
        <is>
          <t>Продажа · Коммерческая · Коммерческая земля</t>
        </is>
      </c>
      <c r="D1310" t="inlineStr">
        <is>
          <t>Публикация, ₽/30 дн</t>
        </is>
      </c>
      <c r="E1310" t="n">
        <v>165</v>
      </c>
    </row>
    <row r="1311">
      <c r="A1311" t="inlineStr">
        <is>
          <t>CIAN</t>
        </is>
      </c>
      <c r="B1311" t="inlineStr">
        <is>
          <t>Челябинск</t>
        </is>
      </c>
      <c r="C1311" t="inlineStr">
        <is>
          <t>Продажа · Коммерческая · Коммерческая земля</t>
        </is>
      </c>
      <c r="D1311" t="inlineStr">
        <is>
          <t>Топ, ₽/сут</t>
        </is>
      </c>
      <c r="E1311" t="n">
        <v>243</v>
      </c>
    </row>
    <row r="1312">
      <c r="A1312" t="inlineStr">
        <is>
          <t>CIAN</t>
        </is>
      </c>
      <c r="B1312" t="inlineStr">
        <is>
          <t>Челябинск</t>
        </is>
      </c>
      <c r="C1312" t="inlineStr">
        <is>
          <t>Продажа · Коммерческая · Коммерческая земля</t>
        </is>
      </c>
      <c r="D1312" t="inlineStr">
        <is>
          <t>Премиум, ₽/сут</t>
        </is>
      </c>
      <c r="E1312" t="n">
        <v>119</v>
      </c>
    </row>
    <row r="1313">
      <c r="A1313" t="inlineStr">
        <is>
          <t>CIAN</t>
        </is>
      </c>
      <c r="B1313" t="inlineStr">
        <is>
          <t>Челябинск</t>
        </is>
      </c>
      <c r="C1313" t="inlineStr">
        <is>
          <t>Продажа · Коммерческая · Коммерческая земля</t>
        </is>
      </c>
      <c r="D1313" t="inlineStr">
        <is>
          <t>Стандарт, ₽/сут</t>
        </is>
      </c>
      <c r="E1313" t="n">
        <v>37</v>
      </c>
    </row>
    <row r="1314">
      <c r="A1314" t="inlineStr">
        <is>
          <t>CIAN</t>
        </is>
      </c>
      <c r="B1314" t="inlineStr">
        <is>
          <t>Уфа</t>
        </is>
      </c>
      <c r="C1314" t="inlineStr">
        <is>
          <t>Продажа · Коммерческая · Коммерческая земля</t>
        </is>
      </c>
      <c r="D1314" t="inlineStr">
        <is>
          <t>Публикация, ₽/30 дн</t>
        </is>
      </c>
      <c r="E1314" t="n">
        <v>183</v>
      </c>
    </row>
    <row r="1315">
      <c r="A1315" t="inlineStr">
        <is>
          <t>CIAN</t>
        </is>
      </c>
      <c r="B1315" t="inlineStr">
        <is>
          <t>Уфа</t>
        </is>
      </c>
      <c r="C1315" t="inlineStr">
        <is>
          <t>Продажа · Коммерческая · Коммерческая земля</t>
        </is>
      </c>
      <c r="D1315" t="inlineStr">
        <is>
          <t>Топ, ₽/сут</t>
        </is>
      </c>
      <c r="E1315" t="n">
        <v>134</v>
      </c>
    </row>
    <row r="1316">
      <c r="A1316" t="inlineStr">
        <is>
          <t>CIAN</t>
        </is>
      </c>
      <c r="B1316" t="inlineStr">
        <is>
          <t>Уфа</t>
        </is>
      </c>
      <c r="C1316" t="inlineStr">
        <is>
          <t>Продажа · Коммерческая · Коммерческая земля</t>
        </is>
      </c>
      <c r="D1316" t="inlineStr">
        <is>
          <t>Премиум, ₽/сут</t>
        </is>
      </c>
      <c r="E1316" t="n">
        <v>58</v>
      </c>
    </row>
    <row r="1317">
      <c r="A1317" t="inlineStr">
        <is>
          <t>CIAN</t>
        </is>
      </c>
      <c r="B1317" t="inlineStr">
        <is>
          <t>Уфа</t>
        </is>
      </c>
      <c r="C1317" t="inlineStr">
        <is>
          <t>Продажа · Коммерческая · Коммерческая земля</t>
        </is>
      </c>
      <c r="D1317" t="inlineStr">
        <is>
          <t>Стандарт, ₽/сут</t>
        </is>
      </c>
      <c r="E1317" t="n">
        <v>18</v>
      </c>
    </row>
    <row r="1318">
      <c r="A1318" t="inlineStr">
        <is>
          <t>CIAN</t>
        </is>
      </c>
      <c r="B1318" t="inlineStr">
        <is>
          <t>Краснодар</t>
        </is>
      </c>
      <c r="C1318" t="inlineStr">
        <is>
          <t>Продажа · Коммерческая · Коммерческая земля</t>
        </is>
      </c>
      <c r="D1318" t="inlineStr">
        <is>
          <t>Публикация, ₽/30 дн</t>
        </is>
      </c>
      <c r="E1318" t="n">
        <v>369</v>
      </c>
    </row>
    <row r="1319">
      <c r="A1319" t="inlineStr">
        <is>
          <t>CIAN</t>
        </is>
      </c>
      <c r="B1319" t="inlineStr">
        <is>
          <t>Краснодар</t>
        </is>
      </c>
      <c r="C1319" t="inlineStr">
        <is>
          <t>Продажа · Коммерческая · Коммерческая земля</t>
        </is>
      </c>
      <c r="D1319" t="inlineStr">
        <is>
          <t>Топ, ₽/сут</t>
        </is>
      </c>
      <c r="E1319" t="n">
        <v>143</v>
      </c>
    </row>
    <row r="1320">
      <c r="A1320" t="inlineStr">
        <is>
          <t>CIAN</t>
        </is>
      </c>
      <c r="B1320" t="inlineStr">
        <is>
          <t>Краснодар</t>
        </is>
      </c>
      <c r="C1320" t="inlineStr">
        <is>
          <t>Продажа · Коммерческая · Коммерческая земля</t>
        </is>
      </c>
      <c r="D1320" t="inlineStr">
        <is>
          <t>Премиум, ₽/сут</t>
        </is>
      </c>
      <c r="E1320" t="n">
        <v>63</v>
      </c>
    </row>
    <row r="1321">
      <c r="A1321" t="inlineStr">
        <is>
          <t>CIAN</t>
        </is>
      </c>
      <c r="B1321" t="inlineStr">
        <is>
          <t>Краснодар</t>
        </is>
      </c>
      <c r="C1321" t="inlineStr">
        <is>
          <t>Продажа · Коммерческая · Коммерческая земля</t>
        </is>
      </c>
      <c r="D1321" t="inlineStr">
        <is>
          <t>Стандарт, ₽/сут</t>
        </is>
      </c>
      <c r="E1321" t="n">
        <v>19</v>
      </c>
    </row>
    <row r="1322">
      <c r="A1322" t="inlineStr">
        <is>
          <t>CIAN</t>
        </is>
      </c>
      <c r="B1322" t="inlineStr">
        <is>
          <t>Самара</t>
        </is>
      </c>
      <c r="C1322" t="inlineStr">
        <is>
          <t>Продажа · Коммерческая · Коммерческая земля</t>
        </is>
      </c>
      <c r="D1322" t="inlineStr">
        <is>
          <t>Публикация, ₽/30 дн</t>
        </is>
      </c>
      <c r="E1322" t="n">
        <v>456</v>
      </c>
    </row>
    <row r="1323">
      <c r="A1323" t="inlineStr">
        <is>
          <t>CIAN</t>
        </is>
      </c>
      <c r="B1323" t="inlineStr">
        <is>
          <t>Самара</t>
        </is>
      </c>
      <c r="C1323" t="inlineStr">
        <is>
          <t>Продажа · Коммерческая · Коммерческая земля</t>
        </is>
      </c>
      <c r="D1323" t="inlineStr">
        <is>
          <t>Топ, ₽/сут</t>
        </is>
      </c>
      <c r="E1323" t="inlineStr">
        <is>
          <t>—</t>
        </is>
      </c>
    </row>
    <row r="1324">
      <c r="A1324" t="inlineStr">
        <is>
          <t>CIAN</t>
        </is>
      </c>
      <c r="B1324" t="inlineStr">
        <is>
          <t>Самара</t>
        </is>
      </c>
      <c r="C1324" t="inlineStr">
        <is>
          <t>Продажа · Коммерческая · Коммерческая земля</t>
        </is>
      </c>
      <c r="D1324" t="inlineStr">
        <is>
          <t>Премиум, ₽/сут</t>
        </is>
      </c>
      <c r="E1324" t="inlineStr">
        <is>
          <t>—</t>
        </is>
      </c>
    </row>
    <row r="1325">
      <c r="A1325" t="inlineStr">
        <is>
          <t>CIAN</t>
        </is>
      </c>
      <c r="B1325" t="inlineStr">
        <is>
          <t>Самара</t>
        </is>
      </c>
      <c r="C1325" t="inlineStr">
        <is>
          <t>Продажа · Коммерческая · Коммерческая земля</t>
        </is>
      </c>
      <c r="D1325" t="inlineStr">
        <is>
          <t>Стандарт, ₽/сут</t>
        </is>
      </c>
      <c r="E1325" t="inlineStr">
        <is>
          <t>—</t>
        </is>
      </c>
    </row>
    <row r="1326">
      <c r="A1326" t="inlineStr">
        <is>
          <t>CIAN</t>
        </is>
      </c>
      <c r="B1326" t="inlineStr">
        <is>
          <t>Ростов-на-Дону</t>
        </is>
      </c>
      <c r="C1326" t="inlineStr">
        <is>
          <t>Продажа · Коммерческая · Коммерческая земля</t>
        </is>
      </c>
      <c r="D1326" t="inlineStr">
        <is>
          <t>Публикация, ₽/30 дн</t>
        </is>
      </c>
      <c r="E1326" t="n">
        <v>456</v>
      </c>
    </row>
    <row r="1327">
      <c r="A1327" t="inlineStr">
        <is>
          <t>CIAN</t>
        </is>
      </c>
      <c r="B1327" t="inlineStr">
        <is>
          <t>Ростов-на-Дону</t>
        </is>
      </c>
      <c r="C1327" t="inlineStr">
        <is>
          <t>Продажа · Коммерческая · Коммерческая земля</t>
        </is>
      </c>
      <c r="D1327" t="inlineStr">
        <is>
          <t>Топ, ₽/сут</t>
        </is>
      </c>
      <c r="E1327" t="n">
        <v>116</v>
      </c>
    </row>
    <row r="1328">
      <c r="A1328" t="inlineStr">
        <is>
          <t>CIAN</t>
        </is>
      </c>
      <c r="B1328" t="inlineStr">
        <is>
          <t>Ростов-на-Дону</t>
        </is>
      </c>
      <c r="C1328" t="inlineStr">
        <is>
          <t>Продажа · Коммерческая · Коммерческая земля</t>
        </is>
      </c>
      <c r="D1328" t="inlineStr">
        <is>
          <t>Премиум, ₽/сут</t>
        </is>
      </c>
      <c r="E1328" t="n">
        <v>50</v>
      </c>
    </row>
    <row r="1329">
      <c r="A1329" t="inlineStr">
        <is>
          <t>CIAN</t>
        </is>
      </c>
      <c r="B1329" t="inlineStr">
        <is>
          <t>Ростов-на-Дону</t>
        </is>
      </c>
      <c r="C1329" t="inlineStr">
        <is>
          <t>Продажа · Коммерческая · Коммерческая земля</t>
        </is>
      </c>
      <c r="D1329" t="inlineStr">
        <is>
          <t>Стандарт, ₽/сут</t>
        </is>
      </c>
      <c r="E1329" t="n">
        <v>14</v>
      </c>
    </row>
    <row r="1330">
      <c r="A1330" t="inlineStr">
        <is>
          <t>CIAN</t>
        </is>
      </c>
      <c r="B1330" t="inlineStr">
        <is>
          <t>Омск</t>
        </is>
      </c>
      <c r="C1330" t="inlineStr">
        <is>
          <t>Продажа · Коммерческая · Коммерческая земля</t>
        </is>
      </c>
      <c r="D1330" t="inlineStr">
        <is>
          <t>Публикация, ₽/30 дн</t>
        </is>
      </c>
      <c r="E1330" t="n">
        <v>861</v>
      </c>
    </row>
    <row r="1331">
      <c r="A1331" t="inlineStr">
        <is>
          <t>CIAN</t>
        </is>
      </c>
      <c r="B1331" t="inlineStr">
        <is>
          <t>Омск</t>
        </is>
      </c>
      <c r="C1331" t="inlineStr">
        <is>
          <t>Продажа · Коммерческая · Коммерческая земля</t>
        </is>
      </c>
      <c r="D1331" t="inlineStr">
        <is>
          <t>Топ, ₽/сут</t>
        </is>
      </c>
      <c r="E1331" t="n">
        <v>342</v>
      </c>
    </row>
    <row r="1332">
      <c r="A1332" t="inlineStr">
        <is>
          <t>CIAN</t>
        </is>
      </c>
      <c r="B1332" t="inlineStr">
        <is>
          <t>Омск</t>
        </is>
      </c>
      <c r="C1332" t="inlineStr">
        <is>
          <t>Продажа · Коммерческая · Коммерческая земля</t>
        </is>
      </c>
      <c r="D1332" t="inlineStr">
        <is>
          <t>Премиум, ₽/сут</t>
        </is>
      </c>
      <c r="E1332" t="n">
        <v>194</v>
      </c>
    </row>
    <row r="1333">
      <c r="A1333" t="inlineStr">
        <is>
          <t>CIAN</t>
        </is>
      </c>
      <c r="B1333" t="inlineStr">
        <is>
          <t>Омск</t>
        </is>
      </c>
      <c r="C1333" t="inlineStr">
        <is>
          <t>Продажа · Коммерческая · Коммерческая земля</t>
        </is>
      </c>
      <c r="D1333" t="inlineStr">
        <is>
          <t>Стандарт, ₽/сут</t>
        </is>
      </c>
      <c r="E1333" t="n">
        <v>66</v>
      </c>
    </row>
    <row r="1334">
      <c r="A1334" t="inlineStr">
        <is>
          <t>CIAN</t>
        </is>
      </c>
      <c r="B1334" t="inlineStr">
        <is>
          <t>Воронеж</t>
        </is>
      </c>
      <c r="C1334" t="inlineStr">
        <is>
          <t>Продажа · Коммерческая · Коммерческая земля</t>
        </is>
      </c>
      <c r="D1334" t="inlineStr">
        <is>
          <t>Публикация, ₽/30 дн</t>
        </is>
      </c>
      <c r="E1334" t="n">
        <v>87</v>
      </c>
    </row>
    <row r="1335">
      <c r="A1335" t="inlineStr">
        <is>
          <t>CIAN</t>
        </is>
      </c>
      <c r="B1335" t="inlineStr">
        <is>
          <t>Воронеж</t>
        </is>
      </c>
      <c r="C1335" t="inlineStr">
        <is>
          <t>Продажа · Коммерческая · Коммерческая земля</t>
        </is>
      </c>
      <c r="D1335" t="inlineStr">
        <is>
          <t>Топ, ₽/сут</t>
        </is>
      </c>
      <c r="E1335" t="inlineStr">
        <is>
          <t>—</t>
        </is>
      </c>
    </row>
    <row r="1336">
      <c r="A1336" t="inlineStr">
        <is>
          <t>CIAN</t>
        </is>
      </c>
      <c r="B1336" t="inlineStr">
        <is>
          <t>Воронеж</t>
        </is>
      </c>
      <c r="C1336" t="inlineStr">
        <is>
          <t>Продажа · Коммерческая · Коммерческая земля</t>
        </is>
      </c>
      <c r="D1336" t="inlineStr">
        <is>
          <t>Премиум, ₽/сут</t>
        </is>
      </c>
      <c r="E1336" t="inlineStr">
        <is>
          <t>—</t>
        </is>
      </c>
    </row>
    <row r="1337">
      <c r="A1337" t="inlineStr">
        <is>
          <t>CIAN</t>
        </is>
      </c>
      <c r="B1337" t="inlineStr">
        <is>
          <t>Воронеж</t>
        </is>
      </c>
      <c r="C1337" t="inlineStr">
        <is>
          <t>Продажа · Коммерческая · Коммерческая земля</t>
        </is>
      </c>
      <c r="D1337" t="inlineStr">
        <is>
          <t>Стандарт, ₽/сут</t>
        </is>
      </c>
      <c r="E1337" t="inlineStr">
        <is>
          <t>—</t>
        </is>
      </c>
    </row>
    <row r="1338">
      <c r="A1338" t="inlineStr">
        <is>
          <t>CIAN</t>
        </is>
      </c>
      <c r="B1338" t="inlineStr">
        <is>
          <t>Пермь</t>
        </is>
      </c>
      <c r="C1338" t="inlineStr">
        <is>
          <t>Продажа · Коммерческая · Коммерческая земля</t>
        </is>
      </c>
      <c r="D1338" t="inlineStr">
        <is>
          <t>Публикация, ₽/30 дн</t>
        </is>
      </c>
      <c r="E1338" t="n">
        <v>93</v>
      </c>
    </row>
    <row r="1339">
      <c r="A1339" t="inlineStr">
        <is>
          <t>CIAN</t>
        </is>
      </c>
      <c r="B1339" t="inlineStr">
        <is>
          <t>Пермь</t>
        </is>
      </c>
      <c r="C1339" t="inlineStr">
        <is>
          <t>Продажа · Коммерческая · Коммерческая земля</t>
        </is>
      </c>
      <c r="D1339" t="inlineStr">
        <is>
          <t>Топ, ₽/сут</t>
        </is>
      </c>
      <c r="E1339" t="inlineStr">
        <is>
          <t>—</t>
        </is>
      </c>
    </row>
    <row r="1340">
      <c r="A1340" t="inlineStr">
        <is>
          <t>CIAN</t>
        </is>
      </c>
      <c r="B1340" t="inlineStr">
        <is>
          <t>Пермь</t>
        </is>
      </c>
      <c r="C1340" t="inlineStr">
        <is>
          <t>Продажа · Коммерческая · Коммерческая земля</t>
        </is>
      </c>
      <c r="D1340" t="inlineStr">
        <is>
          <t>Премиум, ₽/сут</t>
        </is>
      </c>
      <c r="E1340" t="inlineStr">
        <is>
          <t>—</t>
        </is>
      </c>
    </row>
    <row r="1341">
      <c r="A1341" t="inlineStr">
        <is>
          <t>CIAN</t>
        </is>
      </c>
      <c r="B1341" t="inlineStr">
        <is>
          <t>Пермь</t>
        </is>
      </c>
      <c r="C1341" t="inlineStr">
        <is>
          <t>Продажа · Коммерческая · Коммерческая земля</t>
        </is>
      </c>
      <c r="D1341" t="inlineStr">
        <is>
          <t>Стандарт, ₽/сут</t>
        </is>
      </c>
      <c r="E1341" t="inlineStr">
        <is>
          <t>—</t>
        </is>
      </c>
    </row>
    <row r="1342">
      <c r="A1342" t="inlineStr">
        <is>
          <t>CIAN</t>
        </is>
      </c>
      <c r="B1342" t="inlineStr">
        <is>
          <t>Волгоград</t>
        </is>
      </c>
      <c r="C1342" t="inlineStr">
        <is>
          <t>Продажа · Коммерческая · Коммерческая земля</t>
        </is>
      </c>
      <c r="D1342" t="inlineStr">
        <is>
          <t>Публикация, ₽/30 дн</t>
        </is>
      </c>
      <c r="E1342" t="n">
        <v>498</v>
      </c>
    </row>
    <row r="1343">
      <c r="A1343" t="inlineStr">
        <is>
          <t>CIAN</t>
        </is>
      </c>
      <c r="B1343" t="inlineStr">
        <is>
          <t>Волгоград</t>
        </is>
      </c>
      <c r="C1343" t="inlineStr">
        <is>
          <t>Продажа · Коммерческая · Коммерческая земля</t>
        </is>
      </c>
      <c r="D1343" t="inlineStr">
        <is>
          <t>Топ, ₽/сут</t>
        </is>
      </c>
      <c r="E1343" t="inlineStr">
        <is>
          <t>—</t>
        </is>
      </c>
    </row>
    <row r="1344">
      <c r="A1344" t="inlineStr">
        <is>
          <t>CIAN</t>
        </is>
      </c>
      <c r="B1344" t="inlineStr">
        <is>
          <t>Волгоград</t>
        </is>
      </c>
      <c r="C1344" t="inlineStr">
        <is>
          <t>Продажа · Коммерческая · Коммерческая земля</t>
        </is>
      </c>
      <c r="D1344" t="inlineStr">
        <is>
          <t>Премиум, ₽/сут</t>
        </is>
      </c>
      <c r="E1344" t="inlineStr">
        <is>
          <t>—</t>
        </is>
      </c>
    </row>
    <row r="1345">
      <c r="A1345" t="inlineStr">
        <is>
          <t>CIAN</t>
        </is>
      </c>
      <c r="B1345" t="inlineStr">
        <is>
          <t>Волгоград</t>
        </is>
      </c>
      <c r="C1345" t="inlineStr">
        <is>
          <t>Продажа · Коммерческая · Коммерческая земля</t>
        </is>
      </c>
      <c r="D1345" t="inlineStr">
        <is>
          <t>Стандарт, ₽/сут</t>
        </is>
      </c>
      <c r="E1345" t="inlineStr">
        <is>
          <t>—</t>
        </is>
      </c>
    </row>
    <row r="1346">
      <c r="A1346" t="inlineStr">
        <is>
          <t>CIAN</t>
        </is>
      </c>
      <c r="B1346" t="inlineStr">
        <is>
          <t>Москва</t>
        </is>
      </c>
      <c r="C1346" t="inlineStr">
        <is>
          <t>Аренда · Городская · Квартира</t>
        </is>
      </c>
      <c r="D1346" t="inlineStr">
        <is>
          <t>Публикация, ₽/30 дн</t>
        </is>
      </c>
      <c r="E1346" t="n">
        <v>1533</v>
      </c>
    </row>
    <row r="1347">
      <c r="A1347" t="inlineStr">
        <is>
          <t>CIAN</t>
        </is>
      </c>
      <c r="B1347" t="inlineStr">
        <is>
          <t>Москва</t>
        </is>
      </c>
      <c r="C1347" t="inlineStr">
        <is>
          <t>Аренда · Городская · Квартира</t>
        </is>
      </c>
      <c r="D1347" t="inlineStr">
        <is>
          <t>Топ, ₽/сут</t>
        </is>
      </c>
      <c r="E1347" t="n">
        <v>919</v>
      </c>
    </row>
    <row r="1348">
      <c r="A1348" t="inlineStr">
        <is>
          <t>CIAN</t>
        </is>
      </c>
      <c r="B1348" t="inlineStr">
        <is>
          <t>Москва</t>
        </is>
      </c>
      <c r="C1348" t="inlineStr">
        <is>
          <t>Аренда · Городская · Квартира</t>
        </is>
      </c>
      <c r="D1348" t="inlineStr">
        <is>
          <t>Премиум, ₽/сут</t>
        </is>
      </c>
      <c r="E1348" t="n">
        <v>388</v>
      </c>
    </row>
    <row r="1349">
      <c r="A1349" t="inlineStr">
        <is>
          <t>CIAN</t>
        </is>
      </c>
      <c r="B1349" t="inlineStr">
        <is>
          <t>Москва</t>
        </is>
      </c>
      <c r="C1349" t="inlineStr">
        <is>
          <t>Аренда · Городская · Квартира</t>
        </is>
      </c>
      <c r="D1349" t="inlineStr">
        <is>
          <t>Стандарт, ₽/сут</t>
        </is>
      </c>
      <c r="E1349" t="n">
        <v>202</v>
      </c>
    </row>
    <row r="1350">
      <c r="A1350" t="inlineStr">
        <is>
          <t>CIAN</t>
        </is>
      </c>
      <c r="B1350" t="inlineStr">
        <is>
          <t>Санкт-Петербург</t>
        </is>
      </c>
      <c r="C1350" t="inlineStr">
        <is>
          <t>Аренда · Городская · Квартира</t>
        </is>
      </c>
      <c r="D1350" t="inlineStr">
        <is>
          <t>Публикация, ₽/30 дн</t>
        </is>
      </c>
      <c r="E1350" t="n">
        <v>639</v>
      </c>
    </row>
    <row r="1351">
      <c r="A1351" t="inlineStr">
        <is>
          <t>CIAN</t>
        </is>
      </c>
      <c r="B1351" t="inlineStr">
        <is>
          <t>Санкт-Петербург</t>
        </is>
      </c>
      <c r="C1351" t="inlineStr">
        <is>
          <t>Аренда · Городская · Квартира</t>
        </is>
      </c>
      <c r="D1351" t="inlineStr">
        <is>
          <t>Топ, ₽/сут</t>
        </is>
      </c>
      <c r="E1351" t="n">
        <v>358</v>
      </c>
    </row>
    <row r="1352">
      <c r="A1352" t="inlineStr">
        <is>
          <t>CIAN</t>
        </is>
      </c>
      <c r="B1352" t="inlineStr">
        <is>
          <t>Санкт-Петербург</t>
        </is>
      </c>
      <c r="C1352" t="inlineStr">
        <is>
          <t>Аренда · Городская · Квартира</t>
        </is>
      </c>
      <c r="D1352" t="inlineStr">
        <is>
          <t>Премиум, ₽/сут</t>
        </is>
      </c>
      <c r="E1352" t="n">
        <v>169</v>
      </c>
    </row>
    <row r="1353">
      <c r="A1353" t="inlineStr">
        <is>
          <t>CIAN</t>
        </is>
      </c>
      <c r="B1353" t="inlineStr">
        <is>
          <t>Санкт-Петербург</t>
        </is>
      </c>
      <c r="C1353" t="inlineStr">
        <is>
          <t>Аренда · Городская · Квартира</t>
        </is>
      </c>
      <c r="D1353" t="inlineStr">
        <is>
          <t>Стандарт, ₽/сут</t>
        </is>
      </c>
      <c r="E1353" t="n">
        <v>69</v>
      </c>
    </row>
    <row r="1354">
      <c r="A1354" t="inlineStr">
        <is>
          <t>CIAN</t>
        </is>
      </c>
      <c r="B1354" t="inlineStr">
        <is>
          <t>Новосибирск</t>
        </is>
      </c>
      <c r="C1354" t="inlineStr">
        <is>
          <t>Аренда · Городская · Квартира</t>
        </is>
      </c>
      <c r="D1354" t="inlineStr">
        <is>
          <t>Публикация, ₽/30 дн</t>
        </is>
      </c>
      <c r="E1354" t="n">
        <v>312</v>
      </c>
    </row>
    <row r="1355">
      <c r="A1355" t="inlineStr">
        <is>
          <t>CIAN</t>
        </is>
      </c>
      <c r="B1355" t="inlineStr">
        <is>
          <t>Новосибирск</t>
        </is>
      </c>
      <c r="C1355" t="inlineStr">
        <is>
          <t>Аренда · Городская · Квартира</t>
        </is>
      </c>
      <c r="D1355" t="inlineStr">
        <is>
          <t>Топ, ₽/сут</t>
        </is>
      </c>
      <c r="E1355" t="n">
        <v>271</v>
      </c>
    </row>
    <row r="1356">
      <c r="A1356" t="inlineStr">
        <is>
          <t>CIAN</t>
        </is>
      </c>
      <c r="B1356" t="inlineStr">
        <is>
          <t>Новосибирск</t>
        </is>
      </c>
      <c r="C1356" t="inlineStr">
        <is>
          <t>Аренда · Городская · Квартира</t>
        </is>
      </c>
      <c r="D1356" t="inlineStr">
        <is>
          <t>Премиум, ₽/сут</t>
        </is>
      </c>
      <c r="E1356" t="n">
        <v>128</v>
      </c>
    </row>
    <row r="1357">
      <c r="A1357" t="inlineStr">
        <is>
          <t>CIAN</t>
        </is>
      </c>
      <c r="B1357" t="inlineStr">
        <is>
          <t>Новосибирск</t>
        </is>
      </c>
      <c r="C1357" t="inlineStr">
        <is>
          <t>Аренда · Городская · Квартира</t>
        </is>
      </c>
      <c r="D1357" t="inlineStr">
        <is>
          <t>Стандарт, ₽/сут</t>
        </is>
      </c>
      <c r="E1357" t="n">
        <v>45</v>
      </c>
    </row>
    <row r="1358">
      <c r="A1358" t="inlineStr">
        <is>
          <t>CIAN</t>
        </is>
      </c>
      <c r="B1358" t="inlineStr">
        <is>
          <t>Екатеринбург</t>
        </is>
      </c>
      <c r="C1358" t="inlineStr">
        <is>
          <t>Аренда · Городская · Квартира</t>
        </is>
      </c>
      <c r="D1358" t="inlineStr">
        <is>
          <t>Публикация, ₽/30 дн</t>
        </is>
      </c>
      <c r="E1358" t="n">
        <v>288</v>
      </c>
    </row>
    <row r="1359">
      <c r="A1359" t="inlineStr">
        <is>
          <t>CIAN</t>
        </is>
      </c>
      <c r="B1359" t="inlineStr">
        <is>
          <t>Екатеринбург</t>
        </is>
      </c>
      <c r="C1359" t="inlineStr">
        <is>
          <t>Аренда · Городская · Квартира</t>
        </is>
      </c>
      <c r="D1359" t="inlineStr">
        <is>
          <t>Топ, ₽/сут</t>
        </is>
      </c>
      <c r="E1359" t="n">
        <v>323</v>
      </c>
    </row>
    <row r="1360">
      <c r="A1360" t="inlineStr">
        <is>
          <t>CIAN</t>
        </is>
      </c>
      <c r="B1360" t="inlineStr">
        <is>
          <t>Екатеринбург</t>
        </is>
      </c>
      <c r="C1360" t="inlineStr">
        <is>
          <t>Аренда · Городская · Квартира</t>
        </is>
      </c>
      <c r="D1360" t="inlineStr">
        <is>
          <t>Премиум, ₽/сут</t>
        </is>
      </c>
      <c r="E1360" t="n">
        <v>228</v>
      </c>
    </row>
    <row r="1361">
      <c r="A1361" t="inlineStr">
        <is>
          <t>CIAN</t>
        </is>
      </c>
      <c r="B1361" t="inlineStr">
        <is>
          <t>Екатеринбург</t>
        </is>
      </c>
      <c r="C1361" t="inlineStr">
        <is>
          <t>Аренда · Городская · Квартира</t>
        </is>
      </c>
      <c r="D1361" t="inlineStr">
        <is>
          <t>Стандарт, ₽/сут</t>
        </is>
      </c>
      <c r="E1361" t="n">
        <v>127</v>
      </c>
    </row>
    <row r="1362">
      <c r="A1362" t="inlineStr">
        <is>
          <t>CIAN</t>
        </is>
      </c>
      <c r="B1362" t="inlineStr">
        <is>
          <t>Казань</t>
        </is>
      </c>
      <c r="C1362" t="inlineStr">
        <is>
          <t>Аренда · Городская · Квартира</t>
        </is>
      </c>
      <c r="D1362" t="inlineStr">
        <is>
          <t>Публикация, ₽/30 дн</t>
        </is>
      </c>
      <c r="E1362" t="n">
        <v>237</v>
      </c>
    </row>
    <row r="1363">
      <c r="A1363" t="inlineStr">
        <is>
          <t>CIAN</t>
        </is>
      </c>
      <c r="B1363" t="inlineStr">
        <is>
          <t>Казань</t>
        </is>
      </c>
      <c r="C1363" t="inlineStr">
        <is>
          <t>Аренда · Городская · Квартира</t>
        </is>
      </c>
      <c r="D1363" t="inlineStr">
        <is>
          <t>Топ, ₽/сут</t>
        </is>
      </c>
      <c r="E1363" t="n">
        <v>194</v>
      </c>
    </row>
    <row r="1364">
      <c r="A1364" t="inlineStr">
        <is>
          <t>CIAN</t>
        </is>
      </c>
      <c r="B1364" t="inlineStr">
        <is>
          <t>Казань</t>
        </is>
      </c>
      <c r="C1364" t="inlineStr">
        <is>
          <t>Аренда · Городская · Квартира</t>
        </is>
      </c>
      <c r="D1364" t="inlineStr">
        <is>
          <t>Премиум, ₽/сут</t>
        </is>
      </c>
      <c r="E1364" t="n">
        <v>84</v>
      </c>
    </row>
    <row r="1365">
      <c r="A1365" t="inlineStr">
        <is>
          <t>CIAN</t>
        </is>
      </c>
      <c r="B1365" t="inlineStr">
        <is>
          <t>Казань</t>
        </is>
      </c>
      <c r="C1365" t="inlineStr">
        <is>
          <t>Аренда · Городская · Квартира</t>
        </is>
      </c>
      <c r="D1365" t="inlineStr">
        <is>
          <t>Стандарт, ₽/сут</t>
        </is>
      </c>
      <c r="E1365" t="n">
        <v>26</v>
      </c>
    </row>
    <row r="1366">
      <c r="A1366" t="inlineStr">
        <is>
          <t>CIAN</t>
        </is>
      </c>
      <c r="B1366" t="inlineStr">
        <is>
          <t>Красноярск</t>
        </is>
      </c>
      <c r="C1366" t="inlineStr">
        <is>
          <t>Аренда · Городская · Квартира</t>
        </is>
      </c>
      <c r="D1366" t="inlineStr">
        <is>
          <t>Публикация, ₽/30 дн</t>
        </is>
      </c>
      <c r="E1366" t="n">
        <v>297</v>
      </c>
    </row>
    <row r="1367">
      <c r="A1367" t="inlineStr">
        <is>
          <t>CIAN</t>
        </is>
      </c>
      <c r="B1367" t="inlineStr">
        <is>
          <t>Красноярск</t>
        </is>
      </c>
      <c r="C1367" t="inlineStr">
        <is>
          <t>Аренда · Городская · Квартира</t>
        </is>
      </c>
      <c r="D1367" t="inlineStr">
        <is>
          <t>Топ, ₽/сут</t>
        </is>
      </c>
      <c r="E1367" t="inlineStr">
        <is>
          <t>—</t>
        </is>
      </c>
    </row>
    <row r="1368">
      <c r="A1368" t="inlineStr">
        <is>
          <t>CIAN</t>
        </is>
      </c>
      <c r="B1368" t="inlineStr">
        <is>
          <t>Красноярск</t>
        </is>
      </c>
      <c r="C1368" t="inlineStr">
        <is>
          <t>Аренда · Городская · Квартира</t>
        </is>
      </c>
      <c r="D1368" t="inlineStr">
        <is>
          <t>Премиум, ₽/сут</t>
        </is>
      </c>
      <c r="E1368" t="inlineStr">
        <is>
          <t>—</t>
        </is>
      </c>
    </row>
    <row r="1369">
      <c r="A1369" t="inlineStr">
        <is>
          <t>CIAN</t>
        </is>
      </c>
      <c r="B1369" t="inlineStr">
        <is>
          <t>Красноярск</t>
        </is>
      </c>
      <c r="C1369" t="inlineStr">
        <is>
          <t>Аренда · Городская · Квартира</t>
        </is>
      </c>
      <c r="D1369" t="inlineStr">
        <is>
          <t>Стандарт, ₽/сут</t>
        </is>
      </c>
      <c r="E1369" t="inlineStr">
        <is>
          <t>—</t>
        </is>
      </c>
    </row>
    <row r="1370">
      <c r="A1370" t="inlineStr">
        <is>
          <t>CIAN</t>
        </is>
      </c>
      <c r="B1370" t="inlineStr">
        <is>
          <t>Нижний Новгород</t>
        </is>
      </c>
      <c r="C1370" t="inlineStr">
        <is>
          <t>Аренда · Городская · Квартира</t>
        </is>
      </c>
      <c r="D1370" t="inlineStr">
        <is>
          <t>Публикация, ₽/30 дн</t>
        </is>
      </c>
      <c r="E1370" t="n">
        <v>279</v>
      </c>
    </row>
    <row r="1371">
      <c r="A1371" t="inlineStr">
        <is>
          <t>CIAN</t>
        </is>
      </c>
      <c r="B1371" t="inlineStr">
        <is>
          <t>Нижний Новгород</t>
        </is>
      </c>
      <c r="C1371" t="inlineStr">
        <is>
          <t>Аренда · Городская · Квартира</t>
        </is>
      </c>
      <c r="D1371" t="inlineStr">
        <is>
          <t>Топ, ₽/сут</t>
        </is>
      </c>
      <c r="E1371" t="n">
        <v>187</v>
      </c>
    </row>
    <row r="1372">
      <c r="A1372" t="inlineStr">
        <is>
          <t>CIAN</t>
        </is>
      </c>
      <c r="B1372" t="inlineStr">
        <is>
          <t>Нижний Новгород</t>
        </is>
      </c>
      <c r="C1372" t="inlineStr">
        <is>
          <t>Аренда · Городская · Квартира</t>
        </is>
      </c>
      <c r="D1372" t="inlineStr">
        <is>
          <t>Премиум, ₽/сут</t>
        </is>
      </c>
      <c r="E1372" t="n">
        <v>79</v>
      </c>
    </row>
    <row r="1373">
      <c r="A1373" t="inlineStr">
        <is>
          <t>CIAN</t>
        </is>
      </c>
      <c r="B1373" t="inlineStr">
        <is>
          <t>Нижний Новгород</t>
        </is>
      </c>
      <c r="C1373" t="inlineStr">
        <is>
          <t>Аренда · Городская · Квартира</t>
        </is>
      </c>
      <c r="D1373" t="inlineStr">
        <is>
          <t>Стандарт, ₽/сут</t>
        </is>
      </c>
      <c r="E1373" t="n">
        <v>24</v>
      </c>
    </row>
    <row r="1374">
      <c r="A1374" t="inlineStr">
        <is>
          <t>CIAN</t>
        </is>
      </c>
      <c r="B1374" t="inlineStr">
        <is>
          <t>Челябинск</t>
        </is>
      </c>
      <c r="C1374" t="inlineStr">
        <is>
          <t>Аренда · Городская · Квартира</t>
        </is>
      </c>
      <c r="D1374" t="inlineStr">
        <is>
          <t>Публикация, ₽/30 дн</t>
        </is>
      </c>
      <c r="E1374" t="n">
        <v>123</v>
      </c>
    </row>
    <row r="1375">
      <c r="A1375" t="inlineStr">
        <is>
          <t>CIAN</t>
        </is>
      </c>
      <c r="B1375" t="inlineStr">
        <is>
          <t>Челябинск</t>
        </is>
      </c>
      <c r="C1375" t="inlineStr">
        <is>
          <t>Аренда · Городская · Квартира</t>
        </is>
      </c>
      <c r="D1375" t="inlineStr">
        <is>
          <t>Топ, ₽/сут</t>
        </is>
      </c>
      <c r="E1375" t="n">
        <v>229</v>
      </c>
    </row>
    <row r="1376">
      <c r="A1376" t="inlineStr">
        <is>
          <t>CIAN</t>
        </is>
      </c>
      <c r="B1376" t="inlineStr">
        <is>
          <t>Челябинск</t>
        </is>
      </c>
      <c r="C1376" t="inlineStr">
        <is>
          <t>Аренда · Городская · Квартира</t>
        </is>
      </c>
      <c r="D1376" t="inlineStr">
        <is>
          <t>Премиум, ₽/сут</t>
        </is>
      </c>
      <c r="E1376" t="n">
        <v>94</v>
      </c>
    </row>
    <row r="1377">
      <c r="A1377" t="inlineStr">
        <is>
          <t>CIAN</t>
        </is>
      </c>
      <c r="B1377" t="inlineStr">
        <is>
          <t>Челябинск</t>
        </is>
      </c>
      <c r="C1377" t="inlineStr">
        <is>
          <t>Аренда · Городская · Квартира</t>
        </is>
      </c>
      <c r="D1377" t="inlineStr">
        <is>
          <t>Стандарт, ₽/сут</t>
        </is>
      </c>
      <c r="E1377" t="n">
        <v>28</v>
      </c>
    </row>
    <row r="1378">
      <c r="A1378" t="inlineStr">
        <is>
          <t>CIAN</t>
        </is>
      </c>
      <c r="B1378" t="inlineStr">
        <is>
          <t>Уфа</t>
        </is>
      </c>
      <c r="C1378" t="inlineStr">
        <is>
          <t>Аренда · Городская · Квартира</t>
        </is>
      </c>
      <c r="D1378" t="inlineStr">
        <is>
          <t>Публикация, ₽/30 дн</t>
        </is>
      </c>
      <c r="E1378" t="n">
        <v>144</v>
      </c>
    </row>
    <row r="1379">
      <c r="A1379" t="inlineStr">
        <is>
          <t>CIAN</t>
        </is>
      </c>
      <c r="B1379" t="inlineStr">
        <is>
          <t>Уфа</t>
        </is>
      </c>
      <c r="C1379" t="inlineStr">
        <is>
          <t>Аренда · Городская · Квартира</t>
        </is>
      </c>
      <c r="D1379" t="inlineStr">
        <is>
          <t>Топ, ₽/сут</t>
        </is>
      </c>
      <c r="E1379" t="n">
        <v>150</v>
      </c>
    </row>
    <row r="1380">
      <c r="A1380" t="inlineStr">
        <is>
          <t>CIAN</t>
        </is>
      </c>
      <c r="B1380" t="inlineStr">
        <is>
          <t>Уфа</t>
        </is>
      </c>
      <c r="C1380" t="inlineStr">
        <is>
          <t>Аренда · Городская · Квартира</t>
        </is>
      </c>
      <c r="D1380" t="inlineStr">
        <is>
          <t>Премиум, ₽/сут</t>
        </is>
      </c>
      <c r="E1380" t="n">
        <v>63</v>
      </c>
    </row>
    <row r="1381">
      <c r="A1381" t="inlineStr">
        <is>
          <t>CIAN</t>
        </is>
      </c>
      <c r="B1381" t="inlineStr">
        <is>
          <t>Уфа</t>
        </is>
      </c>
      <c r="C1381" t="inlineStr">
        <is>
          <t>Аренда · Городская · Квартира</t>
        </is>
      </c>
      <c r="D1381" t="inlineStr">
        <is>
          <t>Стандарт, ₽/сут</t>
        </is>
      </c>
      <c r="E1381" t="n">
        <v>20</v>
      </c>
    </row>
    <row r="1382">
      <c r="A1382" t="inlineStr">
        <is>
          <t>CIAN</t>
        </is>
      </c>
      <c r="B1382" t="inlineStr">
        <is>
          <t>Краснодар</t>
        </is>
      </c>
      <c r="C1382" t="inlineStr">
        <is>
          <t>Аренда · Городская · Квартира</t>
        </is>
      </c>
      <c r="D1382" t="inlineStr">
        <is>
          <t>Публикация, ₽/30 дн</t>
        </is>
      </c>
      <c r="E1382" t="n">
        <v>225</v>
      </c>
    </row>
    <row r="1383">
      <c r="A1383" t="inlineStr">
        <is>
          <t>CIAN</t>
        </is>
      </c>
      <c r="B1383" t="inlineStr">
        <is>
          <t>Краснодар</t>
        </is>
      </c>
      <c r="C1383" t="inlineStr">
        <is>
          <t>Аренда · Городская · Квартира</t>
        </is>
      </c>
      <c r="D1383" t="inlineStr">
        <is>
          <t>Топ, ₽/сут</t>
        </is>
      </c>
      <c r="E1383" t="n">
        <v>232</v>
      </c>
    </row>
    <row r="1384">
      <c r="A1384" t="inlineStr">
        <is>
          <t>CIAN</t>
        </is>
      </c>
      <c r="B1384" t="inlineStr">
        <is>
          <t>Краснодар</t>
        </is>
      </c>
      <c r="C1384" t="inlineStr">
        <is>
          <t>Аренда · Городская · Квартира</t>
        </is>
      </c>
      <c r="D1384" t="inlineStr">
        <is>
          <t>Премиум, ₽/сут</t>
        </is>
      </c>
      <c r="E1384" t="n">
        <v>90</v>
      </c>
    </row>
    <row r="1385">
      <c r="A1385" t="inlineStr">
        <is>
          <t>CIAN</t>
        </is>
      </c>
      <c r="B1385" t="inlineStr">
        <is>
          <t>Краснодар</t>
        </is>
      </c>
      <c r="C1385" t="inlineStr">
        <is>
          <t>Аренда · Городская · Квартира</t>
        </is>
      </c>
      <c r="D1385" t="inlineStr">
        <is>
          <t>Стандарт, ₽/сут</t>
        </is>
      </c>
      <c r="E1385" t="n">
        <v>29</v>
      </c>
    </row>
    <row r="1386">
      <c r="A1386" t="inlineStr">
        <is>
          <t>CIAN</t>
        </is>
      </c>
      <c r="B1386" t="inlineStr">
        <is>
          <t>Самара</t>
        </is>
      </c>
      <c r="C1386" t="inlineStr">
        <is>
          <t>Аренда · Городская · Квартира</t>
        </is>
      </c>
      <c r="D1386" t="inlineStr">
        <is>
          <t>Публикация, ₽/30 дн</t>
        </is>
      </c>
      <c r="E1386" t="n">
        <v>291</v>
      </c>
    </row>
    <row r="1387">
      <c r="A1387" t="inlineStr">
        <is>
          <t>CIAN</t>
        </is>
      </c>
      <c r="B1387" t="inlineStr">
        <is>
          <t>Самара</t>
        </is>
      </c>
      <c r="C1387" t="inlineStr">
        <is>
          <t>Аренда · Городская · Квартира</t>
        </is>
      </c>
      <c r="D1387" t="inlineStr">
        <is>
          <t>Топ, ₽/сут</t>
        </is>
      </c>
      <c r="E1387" t="inlineStr">
        <is>
          <t>—</t>
        </is>
      </c>
    </row>
    <row r="1388">
      <c r="A1388" t="inlineStr">
        <is>
          <t>CIAN</t>
        </is>
      </c>
      <c r="B1388" t="inlineStr">
        <is>
          <t>Самара</t>
        </is>
      </c>
      <c r="C1388" t="inlineStr">
        <is>
          <t>Аренда · Городская · Квартира</t>
        </is>
      </c>
      <c r="D1388" t="inlineStr">
        <is>
          <t>Премиум, ₽/сут</t>
        </is>
      </c>
      <c r="E1388" t="inlineStr">
        <is>
          <t>—</t>
        </is>
      </c>
    </row>
    <row r="1389">
      <c r="A1389" t="inlineStr">
        <is>
          <t>CIAN</t>
        </is>
      </c>
      <c r="B1389" t="inlineStr">
        <is>
          <t>Самара</t>
        </is>
      </c>
      <c r="C1389" t="inlineStr">
        <is>
          <t>Аренда · Городская · Квартира</t>
        </is>
      </c>
      <c r="D1389" t="inlineStr">
        <is>
          <t>Стандарт, ₽/сут</t>
        </is>
      </c>
      <c r="E1389" t="inlineStr">
        <is>
          <t>—</t>
        </is>
      </c>
    </row>
    <row r="1390">
      <c r="A1390" t="inlineStr">
        <is>
          <t>CIAN</t>
        </is>
      </c>
      <c r="B1390" t="inlineStr">
        <is>
          <t>Ростов-на-Дону</t>
        </is>
      </c>
      <c r="C1390" t="inlineStr">
        <is>
          <t>Аренда · Городская · Квартира</t>
        </is>
      </c>
      <c r="D1390" t="inlineStr">
        <is>
          <t>Публикация, ₽/30 дн</t>
        </is>
      </c>
      <c r="E1390" t="n">
        <v>123</v>
      </c>
    </row>
    <row r="1391">
      <c r="A1391" t="inlineStr">
        <is>
          <t>CIAN</t>
        </is>
      </c>
      <c r="B1391" t="inlineStr">
        <is>
          <t>Ростов-на-Дону</t>
        </is>
      </c>
      <c r="C1391" t="inlineStr">
        <is>
          <t>Аренда · Городская · Квартира</t>
        </is>
      </c>
      <c r="D1391" t="inlineStr">
        <is>
          <t>Топ, ₽/сут</t>
        </is>
      </c>
      <c r="E1391" t="n">
        <v>179</v>
      </c>
    </row>
    <row r="1392">
      <c r="A1392" t="inlineStr">
        <is>
          <t>CIAN</t>
        </is>
      </c>
      <c r="B1392" t="inlineStr">
        <is>
          <t>Ростов-на-Дону</t>
        </is>
      </c>
      <c r="C1392" t="inlineStr">
        <is>
          <t>Аренда · Городская · Квартира</t>
        </is>
      </c>
      <c r="D1392" t="inlineStr">
        <is>
          <t>Премиум, ₽/сут</t>
        </is>
      </c>
      <c r="E1392" t="n">
        <v>77</v>
      </c>
    </row>
    <row r="1393">
      <c r="A1393" t="inlineStr">
        <is>
          <t>CIAN</t>
        </is>
      </c>
      <c r="B1393" t="inlineStr">
        <is>
          <t>Ростов-на-Дону</t>
        </is>
      </c>
      <c r="C1393" t="inlineStr">
        <is>
          <t>Аренда · Городская · Квартира</t>
        </is>
      </c>
      <c r="D1393" t="inlineStr">
        <is>
          <t>Стандарт, ₽/сут</t>
        </is>
      </c>
      <c r="E1393" t="n">
        <v>24</v>
      </c>
    </row>
    <row r="1394">
      <c r="A1394" t="inlineStr">
        <is>
          <t>CIAN</t>
        </is>
      </c>
      <c r="B1394" t="inlineStr">
        <is>
          <t>Омск</t>
        </is>
      </c>
      <c r="C1394" t="inlineStr">
        <is>
          <t>Аренда · Городская · Квартира</t>
        </is>
      </c>
      <c r="D1394" t="inlineStr">
        <is>
          <t>Публикация, ₽/30 дн</t>
        </is>
      </c>
      <c r="E1394" t="n">
        <v>219</v>
      </c>
    </row>
    <row r="1395">
      <c r="A1395" t="inlineStr">
        <is>
          <t>CIAN</t>
        </is>
      </c>
      <c r="B1395" t="inlineStr">
        <is>
          <t>Омск</t>
        </is>
      </c>
      <c r="C1395" t="inlineStr">
        <is>
          <t>Аренда · Городская · Квартира</t>
        </is>
      </c>
      <c r="D1395" t="inlineStr">
        <is>
          <t>Топ, ₽/сут</t>
        </is>
      </c>
      <c r="E1395" t="n">
        <v>231</v>
      </c>
    </row>
    <row r="1396">
      <c r="A1396" t="inlineStr">
        <is>
          <t>CIAN</t>
        </is>
      </c>
      <c r="B1396" t="inlineStr">
        <is>
          <t>Омск</t>
        </is>
      </c>
      <c r="C1396" t="inlineStr">
        <is>
          <t>Аренда · Городская · Квартира</t>
        </is>
      </c>
      <c r="D1396" t="inlineStr">
        <is>
          <t>Премиум, ₽/сут</t>
        </is>
      </c>
      <c r="E1396" t="n">
        <v>131</v>
      </c>
    </row>
    <row r="1397">
      <c r="A1397" t="inlineStr">
        <is>
          <t>CIAN</t>
        </is>
      </c>
      <c r="B1397" t="inlineStr">
        <is>
          <t>Омск</t>
        </is>
      </c>
      <c r="C1397" t="inlineStr">
        <is>
          <t>Аренда · Городская · Квартира</t>
        </is>
      </c>
      <c r="D1397" t="inlineStr">
        <is>
          <t>Стандарт, ₽/сут</t>
        </is>
      </c>
      <c r="E1397" t="n">
        <v>42</v>
      </c>
    </row>
    <row r="1398">
      <c r="A1398" t="inlineStr">
        <is>
          <t>CIAN</t>
        </is>
      </c>
      <c r="B1398" t="inlineStr">
        <is>
          <t>Воронеж</t>
        </is>
      </c>
      <c r="C1398" t="inlineStr">
        <is>
          <t>Аренда · Городская · Квартира</t>
        </is>
      </c>
      <c r="D1398" t="inlineStr">
        <is>
          <t>Публикация, ₽/30 дн</t>
        </is>
      </c>
      <c r="E1398" t="n">
        <v>69</v>
      </c>
    </row>
    <row r="1399">
      <c r="A1399" t="inlineStr">
        <is>
          <t>CIAN</t>
        </is>
      </c>
      <c r="B1399" t="inlineStr">
        <is>
          <t>Воронеж</t>
        </is>
      </c>
      <c r="C1399" t="inlineStr">
        <is>
          <t>Аренда · Городская · Квартира</t>
        </is>
      </c>
      <c r="D1399" t="inlineStr">
        <is>
          <t>Топ, ₽/сут</t>
        </is>
      </c>
      <c r="E1399" t="inlineStr">
        <is>
          <t>—</t>
        </is>
      </c>
    </row>
    <row r="1400">
      <c r="A1400" t="inlineStr">
        <is>
          <t>CIAN</t>
        </is>
      </c>
      <c r="B1400" t="inlineStr">
        <is>
          <t>Воронеж</t>
        </is>
      </c>
      <c r="C1400" t="inlineStr">
        <is>
          <t>Аренда · Городская · Квартира</t>
        </is>
      </c>
      <c r="D1400" t="inlineStr">
        <is>
          <t>Премиум, ₽/сут</t>
        </is>
      </c>
      <c r="E1400" t="inlineStr">
        <is>
          <t>—</t>
        </is>
      </c>
    </row>
    <row r="1401">
      <c r="A1401" t="inlineStr">
        <is>
          <t>CIAN</t>
        </is>
      </c>
      <c r="B1401" t="inlineStr">
        <is>
          <t>Воронеж</t>
        </is>
      </c>
      <c r="C1401" t="inlineStr">
        <is>
          <t>Аренда · Городская · Квартира</t>
        </is>
      </c>
      <c r="D1401" t="inlineStr">
        <is>
          <t>Стандарт, ₽/сут</t>
        </is>
      </c>
      <c r="E1401" t="inlineStr">
        <is>
          <t>—</t>
        </is>
      </c>
    </row>
    <row r="1402">
      <c r="A1402" t="inlineStr">
        <is>
          <t>CIAN</t>
        </is>
      </c>
      <c r="B1402" t="inlineStr">
        <is>
          <t>Пермь</t>
        </is>
      </c>
      <c r="C1402" t="inlineStr">
        <is>
          <t>Аренда · Городская · Квартира</t>
        </is>
      </c>
      <c r="D1402" t="inlineStr">
        <is>
          <t>Публикация, ₽/30 дн</t>
        </is>
      </c>
      <c r="E1402" t="n">
        <v>27</v>
      </c>
    </row>
    <row r="1403">
      <c r="A1403" t="inlineStr">
        <is>
          <t>CIAN</t>
        </is>
      </c>
      <c r="B1403" t="inlineStr">
        <is>
          <t>Пермь</t>
        </is>
      </c>
      <c r="C1403" t="inlineStr">
        <is>
          <t>Аренда · Городская · Квартира</t>
        </is>
      </c>
      <c r="D1403" t="inlineStr">
        <is>
          <t>Топ, ₽/сут</t>
        </is>
      </c>
      <c r="E1403" t="inlineStr">
        <is>
          <t>—</t>
        </is>
      </c>
    </row>
    <row r="1404">
      <c r="A1404" t="inlineStr">
        <is>
          <t>CIAN</t>
        </is>
      </c>
      <c r="B1404" t="inlineStr">
        <is>
          <t>Пермь</t>
        </is>
      </c>
      <c r="C1404" t="inlineStr">
        <is>
          <t>Аренда · Городская · Квартира</t>
        </is>
      </c>
      <c r="D1404" t="inlineStr">
        <is>
          <t>Премиум, ₽/сут</t>
        </is>
      </c>
      <c r="E1404" t="inlineStr">
        <is>
          <t>—</t>
        </is>
      </c>
    </row>
    <row r="1405">
      <c r="A1405" t="inlineStr">
        <is>
          <t>CIAN</t>
        </is>
      </c>
      <c r="B1405" t="inlineStr">
        <is>
          <t>Пермь</t>
        </is>
      </c>
      <c r="C1405" t="inlineStr">
        <is>
          <t>Аренда · Городская · Квартира</t>
        </is>
      </c>
      <c r="D1405" t="inlineStr">
        <is>
          <t>Стандарт, ₽/сут</t>
        </is>
      </c>
      <c r="E1405" t="inlineStr">
        <is>
          <t>—</t>
        </is>
      </c>
    </row>
    <row r="1406">
      <c r="A1406" t="inlineStr">
        <is>
          <t>CIAN</t>
        </is>
      </c>
      <c r="B1406" t="inlineStr">
        <is>
          <t>Волгоград</t>
        </is>
      </c>
      <c r="C1406" t="inlineStr">
        <is>
          <t>Аренда · Городская · Квартира</t>
        </is>
      </c>
      <c r="D1406" t="inlineStr">
        <is>
          <t>Публикация, ₽/30 дн</t>
        </is>
      </c>
      <c r="E1406" t="n">
        <v>204</v>
      </c>
    </row>
    <row r="1407">
      <c r="A1407" t="inlineStr">
        <is>
          <t>CIAN</t>
        </is>
      </c>
      <c r="B1407" t="inlineStr">
        <is>
          <t>Волгоград</t>
        </is>
      </c>
      <c r="C1407" t="inlineStr">
        <is>
          <t>Аренда · Городская · Квартира</t>
        </is>
      </c>
      <c r="D1407" t="inlineStr">
        <is>
          <t>Топ, ₽/сут</t>
        </is>
      </c>
      <c r="E1407" t="inlineStr">
        <is>
          <t>—</t>
        </is>
      </c>
    </row>
    <row r="1408">
      <c r="A1408" t="inlineStr">
        <is>
          <t>CIAN</t>
        </is>
      </c>
      <c r="B1408" t="inlineStr">
        <is>
          <t>Волгоград</t>
        </is>
      </c>
      <c r="C1408" t="inlineStr">
        <is>
          <t>Аренда · Городская · Квартира</t>
        </is>
      </c>
      <c r="D1408" t="inlineStr">
        <is>
          <t>Премиум, ₽/сут</t>
        </is>
      </c>
      <c r="E1408" t="inlineStr">
        <is>
          <t>—</t>
        </is>
      </c>
    </row>
    <row r="1409">
      <c r="A1409" t="inlineStr">
        <is>
          <t>CIAN</t>
        </is>
      </c>
      <c r="B1409" t="inlineStr">
        <is>
          <t>Волгоград</t>
        </is>
      </c>
      <c r="C1409" t="inlineStr">
        <is>
          <t>Аренда · Городская · Квартира</t>
        </is>
      </c>
      <c r="D1409" t="inlineStr">
        <is>
          <t>Стандарт, ₽/сут</t>
        </is>
      </c>
      <c r="E1409" t="inlineStr">
        <is>
          <t>—</t>
        </is>
      </c>
    </row>
    <row r="1410">
      <c r="A1410" t="inlineStr">
        <is>
          <t>CIAN</t>
        </is>
      </c>
      <c r="B1410" t="inlineStr">
        <is>
          <t>Москва</t>
        </is>
      </c>
      <c r="C1410" t="inlineStr">
        <is>
          <t>Аренда · Городская · Комната</t>
        </is>
      </c>
      <c r="D1410" t="inlineStr">
        <is>
          <t>Публикация, ₽/30 дн</t>
        </is>
      </c>
      <c r="E1410" t="n">
        <v>555</v>
      </c>
    </row>
    <row r="1411">
      <c r="A1411" t="inlineStr">
        <is>
          <t>CIAN</t>
        </is>
      </c>
      <c r="B1411" t="inlineStr">
        <is>
          <t>Москва</t>
        </is>
      </c>
      <c r="C1411" t="inlineStr">
        <is>
          <t>Аренда · Городская · Комната</t>
        </is>
      </c>
      <c r="D1411" t="inlineStr">
        <is>
          <t>Топ, ₽/сут</t>
        </is>
      </c>
      <c r="E1411" t="n">
        <v>611</v>
      </c>
    </row>
    <row r="1412">
      <c r="A1412" t="inlineStr">
        <is>
          <t>CIAN</t>
        </is>
      </c>
      <c r="B1412" t="inlineStr">
        <is>
          <t>Москва</t>
        </is>
      </c>
      <c r="C1412" t="inlineStr">
        <is>
          <t>Аренда · Городская · Комната</t>
        </is>
      </c>
      <c r="D1412" t="inlineStr">
        <is>
          <t>Премиум, ₽/сут</t>
        </is>
      </c>
      <c r="E1412" t="n">
        <v>281</v>
      </c>
    </row>
    <row r="1413">
      <c r="A1413" t="inlineStr">
        <is>
          <t>CIAN</t>
        </is>
      </c>
      <c r="B1413" t="inlineStr">
        <is>
          <t>Москва</t>
        </is>
      </c>
      <c r="C1413" t="inlineStr">
        <is>
          <t>Аренда · Городская · Комната</t>
        </is>
      </c>
      <c r="D1413" t="inlineStr">
        <is>
          <t>Стандарт, ₽/сут</t>
        </is>
      </c>
      <c r="E1413" t="n">
        <v>102</v>
      </c>
    </row>
    <row r="1414">
      <c r="A1414" t="inlineStr">
        <is>
          <t>CIAN</t>
        </is>
      </c>
      <c r="B1414" t="inlineStr">
        <is>
          <t>Санкт-Петербург</t>
        </is>
      </c>
      <c r="C1414" t="inlineStr">
        <is>
          <t>Аренда · Городская · Комната</t>
        </is>
      </c>
      <c r="D1414" t="inlineStr">
        <is>
          <t>Публикация, ₽/30 дн</t>
        </is>
      </c>
      <c r="E1414" t="n">
        <v>213</v>
      </c>
    </row>
    <row r="1415">
      <c r="A1415" t="inlineStr">
        <is>
          <t>CIAN</t>
        </is>
      </c>
      <c r="B1415" t="inlineStr">
        <is>
          <t>Санкт-Петербург</t>
        </is>
      </c>
      <c r="C1415" t="inlineStr">
        <is>
          <t>Аренда · Городская · Комната</t>
        </is>
      </c>
      <c r="D1415" t="inlineStr">
        <is>
          <t>Топ, ₽/сут</t>
        </is>
      </c>
      <c r="E1415" t="n">
        <v>344</v>
      </c>
    </row>
    <row r="1416">
      <c r="A1416" t="inlineStr">
        <is>
          <t>CIAN</t>
        </is>
      </c>
      <c r="B1416" t="inlineStr">
        <is>
          <t>Санкт-Петербург</t>
        </is>
      </c>
      <c r="C1416" t="inlineStr">
        <is>
          <t>Аренда · Городская · Комната</t>
        </is>
      </c>
      <c r="D1416" t="inlineStr">
        <is>
          <t>Премиум, ₽/сут</t>
        </is>
      </c>
      <c r="E1416" t="n">
        <v>154</v>
      </c>
    </row>
    <row r="1417">
      <c r="A1417" t="inlineStr">
        <is>
          <t>CIAN</t>
        </is>
      </c>
      <c r="B1417" t="inlineStr">
        <is>
          <t>Санкт-Петербург</t>
        </is>
      </c>
      <c r="C1417" t="inlineStr">
        <is>
          <t>Аренда · Городская · Комната</t>
        </is>
      </c>
      <c r="D1417" t="inlineStr">
        <is>
          <t>Стандарт, ₽/сут</t>
        </is>
      </c>
      <c r="E1417" t="n">
        <v>46</v>
      </c>
    </row>
    <row r="1418">
      <c r="A1418" t="inlineStr">
        <is>
          <t>CIAN</t>
        </is>
      </c>
      <c r="B1418" t="inlineStr">
        <is>
          <t>Новосибирск</t>
        </is>
      </c>
      <c r="C1418" t="inlineStr">
        <is>
          <t>Аренда · Городская · Комната</t>
        </is>
      </c>
      <c r="D1418" t="inlineStr">
        <is>
          <t>Публикация, ₽/30 дн</t>
        </is>
      </c>
      <c r="E1418" t="n">
        <v>195</v>
      </c>
    </row>
    <row r="1419">
      <c r="A1419" t="inlineStr">
        <is>
          <t>CIAN</t>
        </is>
      </c>
      <c r="B1419" t="inlineStr">
        <is>
          <t>Новосибирск</t>
        </is>
      </c>
      <c r="C1419" t="inlineStr">
        <is>
          <t>Аренда · Городская · Комната</t>
        </is>
      </c>
      <c r="D1419" t="inlineStr">
        <is>
          <t>Топ, ₽/сут</t>
        </is>
      </c>
      <c r="E1419" t="n">
        <v>220</v>
      </c>
    </row>
    <row r="1420">
      <c r="A1420" t="inlineStr">
        <is>
          <t>CIAN</t>
        </is>
      </c>
      <c r="B1420" t="inlineStr">
        <is>
          <t>Новосибирск</t>
        </is>
      </c>
      <c r="C1420" t="inlineStr">
        <is>
          <t>Аренда · Городская · Комната</t>
        </is>
      </c>
      <c r="D1420" t="inlineStr">
        <is>
          <t>Премиум, ₽/сут</t>
        </is>
      </c>
      <c r="E1420" t="n">
        <v>104</v>
      </c>
    </row>
    <row r="1421">
      <c r="A1421" t="inlineStr">
        <is>
          <t>CIAN</t>
        </is>
      </c>
      <c r="B1421" t="inlineStr">
        <is>
          <t>Новосибирск</t>
        </is>
      </c>
      <c r="C1421" t="inlineStr">
        <is>
          <t>Аренда · Городская · Комната</t>
        </is>
      </c>
      <c r="D1421" t="inlineStr">
        <is>
          <t>Стандарт, ₽/сут</t>
        </is>
      </c>
      <c r="E1421" t="n">
        <v>33</v>
      </c>
    </row>
    <row r="1422">
      <c r="A1422" t="inlineStr">
        <is>
          <t>CIAN</t>
        </is>
      </c>
      <c r="B1422" t="inlineStr">
        <is>
          <t>Екатеринбург</t>
        </is>
      </c>
      <c r="C1422" t="inlineStr">
        <is>
          <t>Аренда · Городская · Комната</t>
        </is>
      </c>
      <c r="D1422" t="inlineStr">
        <is>
          <t>Публикация, ₽/30 дн</t>
        </is>
      </c>
      <c r="E1422" t="n">
        <v>150</v>
      </c>
    </row>
    <row r="1423">
      <c r="A1423" t="inlineStr">
        <is>
          <t>CIAN</t>
        </is>
      </c>
      <c r="B1423" t="inlineStr">
        <is>
          <t>Екатеринбург</t>
        </is>
      </c>
      <c r="C1423" t="inlineStr">
        <is>
          <t>Аренда · Городская · Комната</t>
        </is>
      </c>
      <c r="D1423" t="inlineStr">
        <is>
          <t>Топ, ₽/сут</t>
        </is>
      </c>
      <c r="E1423" t="n">
        <v>279</v>
      </c>
    </row>
    <row r="1424">
      <c r="A1424" t="inlineStr">
        <is>
          <t>CIAN</t>
        </is>
      </c>
      <c r="B1424" t="inlineStr">
        <is>
          <t>Екатеринбург</t>
        </is>
      </c>
      <c r="C1424" t="inlineStr">
        <is>
          <t>Аренда · Городская · Комната</t>
        </is>
      </c>
      <c r="D1424" t="inlineStr">
        <is>
          <t>Премиум, ₽/сут</t>
        </is>
      </c>
      <c r="E1424" t="n">
        <v>131</v>
      </c>
    </row>
    <row r="1425">
      <c r="A1425" t="inlineStr">
        <is>
          <t>CIAN</t>
        </is>
      </c>
      <c r="B1425" t="inlineStr">
        <is>
          <t>Екатеринбург</t>
        </is>
      </c>
      <c r="C1425" t="inlineStr">
        <is>
          <t>Аренда · Городская · Комната</t>
        </is>
      </c>
      <c r="D1425" t="inlineStr">
        <is>
          <t>Стандарт, ₽/сут</t>
        </is>
      </c>
      <c r="E1425" t="n">
        <v>40</v>
      </c>
    </row>
    <row r="1426">
      <c r="A1426" t="inlineStr">
        <is>
          <t>CIAN</t>
        </is>
      </c>
      <c r="B1426" t="inlineStr">
        <is>
          <t>Казань</t>
        </is>
      </c>
      <c r="C1426" t="inlineStr">
        <is>
          <t>Аренда · Городская · Комната</t>
        </is>
      </c>
      <c r="D1426" t="inlineStr">
        <is>
          <t>Публикация, ₽/30 дн</t>
        </is>
      </c>
      <c r="E1426" t="n">
        <v>63</v>
      </c>
    </row>
    <row r="1427">
      <c r="A1427" t="inlineStr">
        <is>
          <t>CIAN</t>
        </is>
      </c>
      <c r="B1427" t="inlineStr">
        <is>
          <t>Казань</t>
        </is>
      </c>
      <c r="C1427" t="inlineStr">
        <is>
          <t>Аренда · Городская · Комната</t>
        </is>
      </c>
      <c r="D1427" t="inlineStr">
        <is>
          <t>Топ, ₽/сут</t>
        </is>
      </c>
      <c r="E1427" t="n">
        <v>203</v>
      </c>
    </row>
    <row r="1428">
      <c r="A1428" t="inlineStr">
        <is>
          <t>CIAN</t>
        </is>
      </c>
      <c r="B1428" t="inlineStr">
        <is>
          <t>Казань</t>
        </is>
      </c>
      <c r="C1428" t="inlineStr">
        <is>
          <t>Аренда · Городская · Комната</t>
        </is>
      </c>
      <c r="D1428" t="inlineStr">
        <is>
          <t>Премиум, ₽/сут</t>
        </is>
      </c>
      <c r="E1428" t="n">
        <v>84</v>
      </c>
    </row>
    <row r="1429">
      <c r="A1429" t="inlineStr">
        <is>
          <t>CIAN</t>
        </is>
      </c>
      <c r="B1429" t="inlineStr">
        <is>
          <t>Казань</t>
        </is>
      </c>
      <c r="C1429" t="inlineStr">
        <is>
          <t>Аренда · Городская · Комната</t>
        </is>
      </c>
      <c r="D1429" t="inlineStr">
        <is>
          <t>Стандарт, ₽/сут</t>
        </is>
      </c>
      <c r="E1429" t="n">
        <v>26</v>
      </c>
    </row>
    <row r="1430">
      <c r="A1430" t="inlineStr">
        <is>
          <t>CIAN</t>
        </is>
      </c>
      <c r="B1430" t="inlineStr">
        <is>
          <t>Красноярск</t>
        </is>
      </c>
      <c r="C1430" t="inlineStr">
        <is>
          <t>Аренда · Городская · Комната</t>
        </is>
      </c>
      <c r="D1430" t="inlineStr">
        <is>
          <t>Публикация, ₽/30 дн</t>
        </is>
      </c>
      <c r="E1430" t="n">
        <v>225</v>
      </c>
    </row>
    <row r="1431">
      <c r="A1431" t="inlineStr">
        <is>
          <t>CIAN</t>
        </is>
      </c>
      <c r="B1431" t="inlineStr">
        <is>
          <t>Красноярск</t>
        </is>
      </c>
      <c r="C1431" t="inlineStr">
        <is>
          <t>Аренда · Городская · Комната</t>
        </is>
      </c>
      <c r="D1431" t="inlineStr">
        <is>
          <t>Топ, ₽/сут</t>
        </is>
      </c>
      <c r="E1431" t="inlineStr">
        <is>
          <t>—</t>
        </is>
      </c>
    </row>
    <row r="1432">
      <c r="A1432" t="inlineStr">
        <is>
          <t>CIAN</t>
        </is>
      </c>
      <c r="B1432" t="inlineStr">
        <is>
          <t>Красноярск</t>
        </is>
      </c>
      <c r="C1432" t="inlineStr">
        <is>
          <t>Аренда · Городская · Комната</t>
        </is>
      </c>
      <c r="D1432" t="inlineStr">
        <is>
          <t>Премиум, ₽/сут</t>
        </is>
      </c>
      <c r="E1432" t="inlineStr">
        <is>
          <t>—</t>
        </is>
      </c>
    </row>
    <row r="1433">
      <c r="A1433" t="inlineStr">
        <is>
          <t>CIAN</t>
        </is>
      </c>
      <c r="B1433" t="inlineStr">
        <is>
          <t>Красноярск</t>
        </is>
      </c>
      <c r="C1433" t="inlineStr">
        <is>
          <t>Аренда · Городская · Комната</t>
        </is>
      </c>
      <c r="D1433" t="inlineStr">
        <is>
          <t>Стандарт, ₽/сут</t>
        </is>
      </c>
      <c r="E1433" t="inlineStr">
        <is>
          <t>—</t>
        </is>
      </c>
    </row>
    <row r="1434">
      <c r="A1434" t="inlineStr">
        <is>
          <t>CIAN</t>
        </is>
      </c>
      <c r="B1434" t="inlineStr">
        <is>
          <t>Нижний Новгород</t>
        </is>
      </c>
      <c r="C1434" t="inlineStr">
        <is>
          <t>Аренда · Городская · Комната</t>
        </is>
      </c>
      <c r="D1434" t="inlineStr">
        <is>
          <t>Публикация, ₽/30 дн</t>
        </is>
      </c>
      <c r="E1434" t="n">
        <v>240</v>
      </c>
    </row>
    <row r="1435">
      <c r="A1435" t="inlineStr">
        <is>
          <t>CIAN</t>
        </is>
      </c>
      <c r="B1435" t="inlineStr">
        <is>
          <t>Нижний Новгород</t>
        </is>
      </c>
      <c r="C1435" t="inlineStr">
        <is>
          <t>Аренда · Городская · Комната</t>
        </is>
      </c>
      <c r="D1435" t="inlineStr">
        <is>
          <t>Топ, ₽/сут</t>
        </is>
      </c>
      <c r="E1435" t="n">
        <v>159</v>
      </c>
    </row>
    <row r="1436">
      <c r="A1436" t="inlineStr">
        <is>
          <t>CIAN</t>
        </is>
      </c>
      <c r="B1436" t="inlineStr">
        <is>
          <t>Нижний Новгород</t>
        </is>
      </c>
      <c r="C1436" t="inlineStr">
        <is>
          <t>Аренда · Городская · Комната</t>
        </is>
      </c>
      <c r="D1436" t="inlineStr">
        <is>
          <t>Премиум, ₽/сут</t>
        </is>
      </c>
      <c r="E1436" t="n">
        <v>67</v>
      </c>
    </row>
    <row r="1437">
      <c r="A1437" t="inlineStr">
        <is>
          <t>CIAN</t>
        </is>
      </c>
      <c r="B1437" t="inlineStr">
        <is>
          <t>Нижний Новгород</t>
        </is>
      </c>
      <c r="C1437" t="inlineStr">
        <is>
          <t>Аренда · Городская · Комната</t>
        </is>
      </c>
      <c r="D1437" t="inlineStr">
        <is>
          <t>Стандарт, ₽/сут</t>
        </is>
      </c>
      <c r="E1437" t="n">
        <v>20</v>
      </c>
    </row>
    <row r="1438">
      <c r="A1438" t="inlineStr">
        <is>
          <t>CIAN</t>
        </is>
      </c>
      <c r="B1438" t="inlineStr">
        <is>
          <t>Челябинск</t>
        </is>
      </c>
      <c r="C1438" t="inlineStr">
        <is>
          <t>Аренда · Городская · Комната</t>
        </is>
      </c>
      <c r="D1438" t="inlineStr">
        <is>
          <t>Публикация, ₽/30 дн</t>
        </is>
      </c>
      <c r="E1438" t="n">
        <v>117</v>
      </c>
    </row>
    <row r="1439">
      <c r="A1439" t="inlineStr">
        <is>
          <t>CIAN</t>
        </is>
      </c>
      <c r="B1439" t="inlineStr">
        <is>
          <t>Челябинск</t>
        </is>
      </c>
      <c r="C1439" t="inlineStr">
        <is>
          <t>Аренда · Городская · Комната</t>
        </is>
      </c>
      <c r="D1439" t="inlineStr">
        <is>
          <t>Топ, ₽/сут</t>
        </is>
      </c>
      <c r="E1439" t="n">
        <v>241</v>
      </c>
    </row>
    <row r="1440">
      <c r="A1440" t="inlineStr">
        <is>
          <t>CIAN</t>
        </is>
      </c>
      <c r="B1440" t="inlineStr">
        <is>
          <t>Челябинск</t>
        </is>
      </c>
      <c r="C1440" t="inlineStr">
        <is>
          <t>Аренда · Городская · Комната</t>
        </is>
      </c>
      <c r="D1440" t="inlineStr">
        <is>
          <t>Премиум, ₽/сут</t>
        </is>
      </c>
      <c r="E1440" t="n">
        <v>99</v>
      </c>
    </row>
    <row r="1441">
      <c r="A1441" t="inlineStr">
        <is>
          <t>CIAN</t>
        </is>
      </c>
      <c r="B1441" t="inlineStr">
        <is>
          <t>Челябинск</t>
        </is>
      </c>
      <c r="C1441" t="inlineStr">
        <is>
          <t>Аренда · Городская · Комната</t>
        </is>
      </c>
      <c r="D1441" t="inlineStr">
        <is>
          <t>Стандарт, ₽/сут</t>
        </is>
      </c>
      <c r="E1441" t="n">
        <v>29</v>
      </c>
    </row>
    <row r="1442">
      <c r="A1442" t="inlineStr">
        <is>
          <t>CIAN</t>
        </is>
      </c>
      <c r="B1442" t="inlineStr">
        <is>
          <t>Уфа</t>
        </is>
      </c>
      <c r="C1442" t="inlineStr">
        <is>
          <t>Аренда · Городская · Комната</t>
        </is>
      </c>
      <c r="D1442" t="inlineStr">
        <is>
          <t>Публикация, ₽/30 дн</t>
        </is>
      </c>
      <c r="E1442" t="n">
        <v>144</v>
      </c>
    </row>
    <row r="1443">
      <c r="A1443" t="inlineStr">
        <is>
          <t>CIAN</t>
        </is>
      </c>
      <c r="B1443" t="inlineStr">
        <is>
          <t>Уфа</t>
        </is>
      </c>
      <c r="C1443" t="inlineStr">
        <is>
          <t>Аренда · Городская · Комната</t>
        </is>
      </c>
      <c r="D1443" t="inlineStr">
        <is>
          <t>Топ, ₽/сут</t>
        </is>
      </c>
      <c r="E1443" t="n">
        <v>93</v>
      </c>
    </row>
    <row r="1444">
      <c r="A1444" t="inlineStr">
        <is>
          <t>CIAN</t>
        </is>
      </c>
      <c r="B1444" t="inlineStr">
        <is>
          <t>Уфа</t>
        </is>
      </c>
      <c r="C1444" t="inlineStr">
        <is>
          <t>Аренда · Городская · Комната</t>
        </is>
      </c>
      <c r="D1444" t="inlineStr">
        <is>
          <t>Премиум, ₽/сут</t>
        </is>
      </c>
      <c r="E1444" t="n">
        <v>43</v>
      </c>
    </row>
    <row r="1445">
      <c r="A1445" t="inlineStr">
        <is>
          <t>CIAN</t>
        </is>
      </c>
      <c r="B1445" t="inlineStr">
        <is>
          <t>Уфа</t>
        </is>
      </c>
      <c r="C1445" t="inlineStr">
        <is>
          <t>Аренда · Городская · Комната</t>
        </is>
      </c>
      <c r="D1445" t="inlineStr">
        <is>
          <t>Стандарт, ₽/сут</t>
        </is>
      </c>
      <c r="E1445" t="n">
        <v>14</v>
      </c>
    </row>
    <row r="1446">
      <c r="A1446" t="inlineStr">
        <is>
          <t>CIAN</t>
        </is>
      </c>
      <c r="B1446" t="inlineStr">
        <is>
          <t>Краснодар</t>
        </is>
      </c>
      <c r="C1446" t="inlineStr">
        <is>
          <t>Аренда · Городская · Комната</t>
        </is>
      </c>
      <c r="D1446" t="inlineStr">
        <is>
          <t>Публикация, ₽/30 дн</t>
        </is>
      </c>
      <c r="E1446" t="n">
        <v>162</v>
      </c>
    </row>
    <row r="1447">
      <c r="A1447" t="inlineStr">
        <is>
          <t>CIAN</t>
        </is>
      </c>
      <c r="B1447" t="inlineStr">
        <is>
          <t>Краснодар</t>
        </is>
      </c>
      <c r="C1447" t="inlineStr">
        <is>
          <t>Аренда · Городская · Комната</t>
        </is>
      </c>
      <c r="D1447" t="inlineStr">
        <is>
          <t>Топ, ₽/сут</t>
        </is>
      </c>
      <c r="E1447" t="n">
        <v>240</v>
      </c>
    </row>
    <row r="1448">
      <c r="A1448" t="inlineStr">
        <is>
          <t>CIAN</t>
        </is>
      </c>
      <c r="B1448" t="inlineStr">
        <is>
          <t>Краснодар</t>
        </is>
      </c>
      <c r="C1448" t="inlineStr">
        <is>
          <t>Аренда · Городская · Комната</t>
        </is>
      </c>
      <c r="D1448" t="inlineStr">
        <is>
          <t>Премиум, ₽/сут</t>
        </is>
      </c>
      <c r="E1448" t="n">
        <v>94</v>
      </c>
    </row>
    <row r="1449">
      <c r="A1449" t="inlineStr">
        <is>
          <t>CIAN</t>
        </is>
      </c>
      <c r="B1449" t="inlineStr">
        <is>
          <t>Краснодар</t>
        </is>
      </c>
      <c r="C1449" t="inlineStr">
        <is>
          <t>Аренда · Городская · Комната</t>
        </is>
      </c>
      <c r="D1449" t="inlineStr">
        <is>
          <t>Стандарт, ₽/сут</t>
        </is>
      </c>
      <c r="E1449" t="n">
        <v>28</v>
      </c>
    </row>
    <row r="1450">
      <c r="A1450" t="inlineStr">
        <is>
          <t>CIAN</t>
        </is>
      </c>
      <c r="B1450" t="inlineStr">
        <is>
          <t>Самара</t>
        </is>
      </c>
      <c r="C1450" t="inlineStr">
        <is>
          <t>Аренда · Городская · Комната</t>
        </is>
      </c>
      <c r="D1450" t="inlineStr">
        <is>
          <t>Публикация, ₽/30 дн</t>
        </is>
      </c>
      <c r="E1450" t="n">
        <v>333</v>
      </c>
    </row>
    <row r="1451">
      <c r="A1451" t="inlineStr">
        <is>
          <t>CIAN</t>
        </is>
      </c>
      <c r="B1451" t="inlineStr">
        <is>
          <t>Самара</t>
        </is>
      </c>
      <c r="C1451" t="inlineStr">
        <is>
          <t>Аренда · Городская · Комната</t>
        </is>
      </c>
      <c r="D1451" t="inlineStr">
        <is>
          <t>Топ, ₽/сут</t>
        </is>
      </c>
      <c r="E1451" t="inlineStr">
        <is>
          <t>—</t>
        </is>
      </c>
    </row>
    <row r="1452">
      <c r="A1452" t="inlineStr">
        <is>
          <t>CIAN</t>
        </is>
      </c>
      <c r="B1452" t="inlineStr">
        <is>
          <t>Самара</t>
        </is>
      </c>
      <c r="C1452" t="inlineStr">
        <is>
          <t>Аренда · Городская · Комната</t>
        </is>
      </c>
      <c r="D1452" t="inlineStr">
        <is>
          <t>Премиум, ₽/сут</t>
        </is>
      </c>
      <c r="E1452" t="inlineStr">
        <is>
          <t>—</t>
        </is>
      </c>
    </row>
    <row r="1453">
      <c r="A1453" t="inlineStr">
        <is>
          <t>CIAN</t>
        </is>
      </c>
      <c r="B1453" t="inlineStr">
        <is>
          <t>Самара</t>
        </is>
      </c>
      <c r="C1453" t="inlineStr">
        <is>
          <t>Аренда · Городская · Комната</t>
        </is>
      </c>
      <c r="D1453" t="inlineStr">
        <is>
          <t>Стандарт, ₽/сут</t>
        </is>
      </c>
      <c r="E1453" t="inlineStr">
        <is>
          <t>—</t>
        </is>
      </c>
    </row>
    <row r="1454">
      <c r="A1454" t="inlineStr">
        <is>
          <t>CIAN</t>
        </is>
      </c>
      <c r="B1454" t="inlineStr">
        <is>
          <t>Ростов-на-Дону</t>
        </is>
      </c>
      <c r="C1454" t="inlineStr">
        <is>
          <t>Аренда · Городская · Комната</t>
        </is>
      </c>
      <c r="D1454" t="inlineStr">
        <is>
          <t>Публикация, ₽/30 дн</t>
        </is>
      </c>
      <c r="E1454" t="n">
        <v>159</v>
      </c>
    </row>
    <row r="1455">
      <c r="A1455" t="inlineStr">
        <is>
          <t>CIAN</t>
        </is>
      </c>
      <c r="B1455" t="inlineStr">
        <is>
          <t>Ростов-на-Дону</t>
        </is>
      </c>
      <c r="C1455" t="inlineStr">
        <is>
          <t>Аренда · Городская · Комната</t>
        </is>
      </c>
      <c r="D1455" t="inlineStr">
        <is>
          <t>Топ, ₽/сут</t>
        </is>
      </c>
      <c r="E1455" t="n">
        <v>173</v>
      </c>
    </row>
    <row r="1456">
      <c r="A1456" t="inlineStr">
        <is>
          <t>CIAN</t>
        </is>
      </c>
      <c r="B1456" t="inlineStr">
        <is>
          <t>Ростов-на-Дону</t>
        </is>
      </c>
      <c r="C1456" t="inlineStr">
        <is>
          <t>Аренда · Городская · Комната</t>
        </is>
      </c>
      <c r="D1456" t="inlineStr">
        <is>
          <t>Премиум, ₽/сут</t>
        </is>
      </c>
      <c r="E1456" t="n">
        <v>75</v>
      </c>
    </row>
    <row r="1457">
      <c r="A1457" t="inlineStr">
        <is>
          <t>CIAN</t>
        </is>
      </c>
      <c r="B1457" t="inlineStr">
        <is>
          <t>Ростов-на-Дону</t>
        </is>
      </c>
      <c r="C1457" t="inlineStr">
        <is>
          <t>Аренда · Городская · Комната</t>
        </is>
      </c>
      <c r="D1457" t="inlineStr">
        <is>
          <t>Стандарт, ₽/сут</t>
        </is>
      </c>
      <c r="E1457" t="n">
        <v>23</v>
      </c>
    </row>
    <row r="1458">
      <c r="A1458" t="inlineStr">
        <is>
          <t>CIAN</t>
        </is>
      </c>
      <c r="B1458" t="inlineStr">
        <is>
          <t>Омск</t>
        </is>
      </c>
      <c r="C1458" t="inlineStr">
        <is>
          <t>Аренда · Городская · Комната</t>
        </is>
      </c>
      <c r="D1458" t="inlineStr">
        <is>
          <t>Публикация, ₽/30 дн</t>
        </is>
      </c>
      <c r="E1458" t="n">
        <v>156</v>
      </c>
    </row>
    <row r="1459">
      <c r="A1459" t="inlineStr">
        <is>
          <t>CIAN</t>
        </is>
      </c>
      <c r="B1459" t="inlineStr">
        <is>
          <t>Омск</t>
        </is>
      </c>
      <c r="C1459" t="inlineStr">
        <is>
          <t>Аренда · Городская · Комната</t>
        </is>
      </c>
      <c r="D1459" t="inlineStr">
        <is>
          <t>Топ, ₽/сут</t>
        </is>
      </c>
      <c r="E1459" t="n">
        <v>208</v>
      </c>
    </row>
    <row r="1460">
      <c r="A1460" t="inlineStr">
        <is>
          <t>CIAN</t>
        </is>
      </c>
      <c r="B1460" t="inlineStr">
        <is>
          <t>Омск</t>
        </is>
      </c>
      <c r="C1460" t="inlineStr">
        <is>
          <t>Аренда · Городская · Комната</t>
        </is>
      </c>
      <c r="D1460" t="inlineStr">
        <is>
          <t>Премиум, ₽/сут</t>
        </is>
      </c>
      <c r="E1460" t="n">
        <v>116</v>
      </c>
    </row>
    <row r="1461">
      <c r="A1461" t="inlineStr">
        <is>
          <t>CIAN</t>
        </is>
      </c>
      <c r="B1461" t="inlineStr">
        <is>
          <t>Омск</t>
        </is>
      </c>
      <c r="C1461" t="inlineStr">
        <is>
          <t>Аренда · Городская · Комната</t>
        </is>
      </c>
      <c r="D1461" t="inlineStr">
        <is>
          <t>Стандарт, ₽/сут</t>
        </is>
      </c>
      <c r="E1461" t="n">
        <v>32</v>
      </c>
    </row>
    <row r="1462">
      <c r="A1462" t="inlineStr">
        <is>
          <t>CIAN</t>
        </is>
      </c>
      <c r="B1462" t="inlineStr">
        <is>
          <t>Воронеж</t>
        </is>
      </c>
      <c r="C1462" t="inlineStr">
        <is>
          <t>Аренда · Городская · Комната</t>
        </is>
      </c>
      <c r="D1462" t="inlineStr">
        <is>
          <t>Публикация, ₽/30 дн</t>
        </is>
      </c>
      <c r="E1462" t="n">
        <v>54</v>
      </c>
    </row>
    <row r="1463">
      <c r="A1463" t="inlineStr">
        <is>
          <t>CIAN</t>
        </is>
      </c>
      <c r="B1463" t="inlineStr">
        <is>
          <t>Воронеж</t>
        </is>
      </c>
      <c r="C1463" t="inlineStr">
        <is>
          <t>Аренда · Городская · Комната</t>
        </is>
      </c>
      <c r="D1463" t="inlineStr">
        <is>
          <t>Топ, ₽/сут</t>
        </is>
      </c>
      <c r="E1463" t="inlineStr">
        <is>
          <t>—</t>
        </is>
      </c>
    </row>
    <row r="1464">
      <c r="A1464" t="inlineStr">
        <is>
          <t>CIAN</t>
        </is>
      </c>
      <c r="B1464" t="inlineStr">
        <is>
          <t>Воронеж</t>
        </is>
      </c>
      <c r="C1464" t="inlineStr">
        <is>
          <t>Аренда · Городская · Комната</t>
        </is>
      </c>
      <c r="D1464" t="inlineStr">
        <is>
          <t>Премиум, ₽/сут</t>
        </is>
      </c>
      <c r="E1464" t="inlineStr">
        <is>
          <t>—</t>
        </is>
      </c>
    </row>
    <row r="1465">
      <c r="A1465" t="inlineStr">
        <is>
          <t>CIAN</t>
        </is>
      </c>
      <c r="B1465" t="inlineStr">
        <is>
          <t>Воронеж</t>
        </is>
      </c>
      <c r="C1465" t="inlineStr">
        <is>
          <t>Аренда · Городская · Комната</t>
        </is>
      </c>
      <c r="D1465" t="inlineStr">
        <is>
          <t>Стандарт, ₽/сут</t>
        </is>
      </c>
      <c r="E1465" t="inlineStr">
        <is>
          <t>—</t>
        </is>
      </c>
    </row>
    <row r="1466">
      <c r="A1466" t="inlineStr">
        <is>
          <t>CIAN</t>
        </is>
      </c>
      <c r="B1466" t="inlineStr">
        <is>
          <t>Пермь</t>
        </is>
      </c>
      <c r="C1466" t="inlineStr">
        <is>
          <t>Аренда · Городская · Комната</t>
        </is>
      </c>
      <c r="D1466" t="inlineStr">
        <is>
          <t>Публикация, ₽/30 дн</t>
        </is>
      </c>
      <c r="E1466" t="n">
        <v>6</v>
      </c>
    </row>
    <row r="1467">
      <c r="A1467" t="inlineStr">
        <is>
          <t>CIAN</t>
        </is>
      </c>
      <c r="B1467" t="inlineStr">
        <is>
          <t>Пермь</t>
        </is>
      </c>
      <c r="C1467" t="inlineStr">
        <is>
          <t>Аренда · Городская · Комната</t>
        </is>
      </c>
      <c r="D1467" t="inlineStr">
        <is>
          <t>Топ, ₽/сут</t>
        </is>
      </c>
      <c r="E1467" t="inlineStr">
        <is>
          <t>—</t>
        </is>
      </c>
    </row>
    <row r="1468">
      <c r="A1468" t="inlineStr">
        <is>
          <t>CIAN</t>
        </is>
      </c>
      <c r="B1468" t="inlineStr">
        <is>
          <t>Пермь</t>
        </is>
      </c>
      <c r="C1468" t="inlineStr">
        <is>
          <t>Аренда · Городская · Комната</t>
        </is>
      </c>
      <c r="D1468" t="inlineStr">
        <is>
          <t>Премиум, ₽/сут</t>
        </is>
      </c>
      <c r="E1468" t="inlineStr">
        <is>
          <t>—</t>
        </is>
      </c>
    </row>
    <row r="1469">
      <c r="A1469" t="inlineStr">
        <is>
          <t>CIAN</t>
        </is>
      </c>
      <c r="B1469" t="inlineStr">
        <is>
          <t>Пермь</t>
        </is>
      </c>
      <c r="C1469" t="inlineStr">
        <is>
          <t>Аренда · Городская · Комната</t>
        </is>
      </c>
      <c r="D1469" t="inlineStr">
        <is>
          <t>Стандарт, ₽/сут</t>
        </is>
      </c>
      <c r="E1469" t="inlineStr">
        <is>
          <t>—</t>
        </is>
      </c>
    </row>
    <row r="1470">
      <c r="A1470" t="inlineStr">
        <is>
          <t>CIAN</t>
        </is>
      </c>
      <c r="B1470" t="inlineStr">
        <is>
          <t>Волгоград</t>
        </is>
      </c>
      <c r="C1470" t="inlineStr">
        <is>
          <t>Аренда · Городская · Комната</t>
        </is>
      </c>
      <c r="D1470" t="inlineStr">
        <is>
          <t>Публикация, ₽/30 дн</t>
        </is>
      </c>
      <c r="E1470" t="n">
        <v>162</v>
      </c>
    </row>
    <row r="1471">
      <c r="A1471" t="inlineStr">
        <is>
          <t>CIAN</t>
        </is>
      </c>
      <c r="B1471" t="inlineStr">
        <is>
          <t>Волгоград</t>
        </is>
      </c>
      <c r="C1471" t="inlineStr">
        <is>
          <t>Аренда · Городская · Комната</t>
        </is>
      </c>
      <c r="D1471" t="inlineStr">
        <is>
          <t>Топ, ₽/сут</t>
        </is>
      </c>
      <c r="E1471" t="inlineStr">
        <is>
          <t>—</t>
        </is>
      </c>
    </row>
    <row r="1472">
      <c r="A1472" t="inlineStr">
        <is>
          <t>CIAN</t>
        </is>
      </c>
      <c r="B1472" t="inlineStr">
        <is>
          <t>Волгоград</t>
        </is>
      </c>
      <c r="C1472" t="inlineStr">
        <is>
          <t>Аренда · Городская · Комната</t>
        </is>
      </c>
      <c r="D1472" t="inlineStr">
        <is>
          <t>Премиум, ₽/сут</t>
        </is>
      </c>
      <c r="E1472" t="inlineStr">
        <is>
          <t>—</t>
        </is>
      </c>
    </row>
    <row r="1473">
      <c r="A1473" t="inlineStr">
        <is>
          <t>CIAN</t>
        </is>
      </c>
      <c r="B1473" t="inlineStr">
        <is>
          <t>Волгоград</t>
        </is>
      </c>
      <c r="C1473" t="inlineStr">
        <is>
          <t>Аренда · Городская · Комната</t>
        </is>
      </c>
      <c r="D1473" t="inlineStr">
        <is>
          <t>Стандарт, ₽/сут</t>
        </is>
      </c>
      <c r="E1473" t="inlineStr">
        <is>
          <t>—</t>
        </is>
      </c>
    </row>
    <row r="1474">
      <c r="A1474" t="inlineStr">
        <is>
          <t>CIAN</t>
        </is>
      </c>
      <c r="B1474" t="inlineStr">
        <is>
          <t>Москва</t>
        </is>
      </c>
      <c r="C1474" t="inlineStr">
        <is>
          <t>Аренда · Городская · Койко-место</t>
        </is>
      </c>
      <c r="D1474" t="inlineStr">
        <is>
          <t>Публикация, ₽/30 дн</t>
        </is>
      </c>
      <c r="E1474" t="n">
        <v>117</v>
      </c>
    </row>
    <row r="1475">
      <c r="A1475" t="inlineStr">
        <is>
          <t>CIAN</t>
        </is>
      </c>
      <c r="B1475" t="inlineStr">
        <is>
          <t>Москва</t>
        </is>
      </c>
      <c r="C1475" t="inlineStr">
        <is>
          <t>Аренда · Городская · Койко-место</t>
        </is>
      </c>
      <c r="D1475" t="inlineStr">
        <is>
          <t>Топ, ₽/сут</t>
        </is>
      </c>
      <c r="E1475" t="n">
        <v>578</v>
      </c>
    </row>
    <row r="1476">
      <c r="A1476" t="inlineStr">
        <is>
          <t>CIAN</t>
        </is>
      </c>
      <c r="B1476" t="inlineStr">
        <is>
          <t>Москва</t>
        </is>
      </c>
      <c r="C1476" t="inlineStr">
        <is>
          <t>Аренда · Городская · Койко-место</t>
        </is>
      </c>
      <c r="D1476" t="inlineStr">
        <is>
          <t>Премиум, ₽/сут</t>
        </is>
      </c>
      <c r="E1476" t="n">
        <v>276</v>
      </c>
    </row>
    <row r="1477">
      <c r="A1477" t="inlineStr">
        <is>
          <t>CIAN</t>
        </is>
      </c>
      <c r="B1477" t="inlineStr">
        <is>
          <t>Москва</t>
        </is>
      </c>
      <c r="C1477" t="inlineStr">
        <is>
          <t>Аренда · Городская · Койко-место</t>
        </is>
      </c>
      <c r="D1477" t="inlineStr">
        <is>
          <t>Стандарт, ₽/сут</t>
        </is>
      </c>
      <c r="E1477" t="n">
        <v>83</v>
      </c>
    </row>
    <row r="1478">
      <c r="A1478" t="inlineStr">
        <is>
          <t>CIAN</t>
        </is>
      </c>
      <c r="B1478" t="inlineStr">
        <is>
          <t>Санкт-Петербург</t>
        </is>
      </c>
      <c r="C1478" t="inlineStr">
        <is>
          <t>Аренда · Городская · Койко-место</t>
        </is>
      </c>
      <c r="D1478" t="inlineStr">
        <is>
          <t>Публикация, ₽/30 дн</t>
        </is>
      </c>
      <c r="E1478" t="n">
        <v>102</v>
      </c>
    </row>
    <row r="1479">
      <c r="A1479" t="inlineStr">
        <is>
          <t>CIAN</t>
        </is>
      </c>
      <c r="B1479" t="inlineStr">
        <is>
          <t>Санкт-Петербург</t>
        </is>
      </c>
      <c r="C1479" t="inlineStr">
        <is>
          <t>Аренда · Городская · Койко-место</t>
        </is>
      </c>
      <c r="D1479" t="inlineStr">
        <is>
          <t>Топ, ₽/сут</t>
        </is>
      </c>
      <c r="E1479" t="n">
        <v>279</v>
      </c>
    </row>
    <row r="1480">
      <c r="A1480" t="inlineStr">
        <is>
          <t>CIAN</t>
        </is>
      </c>
      <c r="B1480" t="inlineStr">
        <is>
          <t>Санкт-Петербург</t>
        </is>
      </c>
      <c r="C1480" t="inlineStr">
        <is>
          <t>Аренда · Городская · Койко-место</t>
        </is>
      </c>
      <c r="D1480" t="inlineStr">
        <is>
          <t>Премиум, ₽/сут</t>
        </is>
      </c>
      <c r="E1480" t="n">
        <v>126</v>
      </c>
    </row>
    <row r="1481">
      <c r="A1481" t="inlineStr">
        <is>
          <t>CIAN</t>
        </is>
      </c>
      <c r="B1481" t="inlineStr">
        <is>
          <t>Санкт-Петербург</t>
        </is>
      </c>
      <c r="C1481" t="inlineStr">
        <is>
          <t>Аренда · Городская · Койко-место</t>
        </is>
      </c>
      <c r="D1481" t="inlineStr">
        <is>
          <t>Стандарт, ₽/сут</t>
        </is>
      </c>
      <c r="E1481" t="n">
        <v>38</v>
      </c>
    </row>
    <row r="1482">
      <c r="A1482" t="inlineStr">
        <is>
          <t>CIAN</t>
        </is>
      </c>
      <c r="B1482" t="inlineStr">
        <is>
          <t>Новосибирск</t>
        </is>
      </c>
      <c r="C1482" t="inlineStr">
        <is>
          <t>Аренда · Городская · Койко-место</t>
        </is>
      </c>
      <c r="D1482" t="inlineStr">
        <is>
          <t>Публикация, ₽/30 дн</t>
        </is>
      </c>
      <c r="E1482" t="n">
        <v>102</v>
      </c>
    </row>
    <row r="1483">
      <c r="A1483" t="inlineStr">
        <is>
          <t>CIAN</t>
        </is>
      </c>
      <c r="B1483" t="inlineStr">
        <is>
          <t>Новосибирск</t>
        </is>
      </c>
      <c r="C1483" t="inlineStr">
        <is>
          <t>Аренда · Городская · Койко-место</t>
        </is>
      </c>
      <c r="D1483" t="inlineStr">
        <is>
          <t>Топ, ₽/сут</t>
        </is>
      </c>
      <c r="E1483" t="n">
        <v>227</v>
      </c>
    </row>
    <row r="1484">
      <c r="A1484" t="inlineStr">
        <is>
          <t>CIAN</t>
        </is>
      </c>
      <c r="B1484" t="inlineStr">
        <is>
          <t>Новосибирск</t>
        </is>
      </c>
      <c r="C1484" t="inlineStr">
        <is>
          <t>Аренда · Городская · Койко-место</t>
        </is>
      </c>
      <c r="D1484" t="inlineStr">
        <is>
          <t>Премиум, ₽/сут</t>
        </is>
      </c>
      <c r="E1484" t="n">
        <v>110</v>
      </c>
    </row>
    <row r="1485">
      <c r="A1485" t="inlineStr">
        <is>
          <t>CIAN</t>
        </is>
      </c>
      <c r="B1485" t="inlineStr">
        <is>
          <t>Новосибирск</t>
        </is>
      </c>
      <c r="C1485" t="inlineStr">
        <is>
          <t>Аренда · Городская · Койко-место</t>
        </is>
      </c>
      <c r="D1485" t="inlineStr">
        <is>
          <t>Стандарт, ₽/сут</t>
        </is>
      </c>
      <c r="E1485" t="n">
        <v>34</v>
      </c>
    </row>
    <row r="1486">
      <c r="A1486" t="inlineStr">
        <is>
          <t>CIAN</t>
        </is>
      </c>
      <c r="B1486" t="inlineStr">
        <is>
          <t>Екатеринбург</t>
        </is>
      </c>
      <c r="C1486" t="inlineStr">
        <is>
          <t>Аренда · Городская · Койко-место</t>
        </is>
      </c>
      <c r="D1486" t="inlineStr">
        <is>
          <t>Публикация, ₽/30 дн</t>
        </is>
      </c>
      <c r="E1486" t="n">
        <v>102</v>
      </c>
    </row>
    <row r="1487">
      <c r="A1487" t="inlineStr">
        <is>
          <t>CIAN</t>
        </is>
      </c>
      <c r="B1487" t="inlineStr">
        <is>
          <t>Екатеринбург</t>
        </is>
      </c>
      <c r="C1487" t="inlineStr">
        <is>
          <t>Аренда · Городская · Койко-место</t>
        </is>
      </c>
      <c r="D1487" t="inlineStr">
        <is>
          <t>Топ, ₽/сут</t>
        </is>
      </c>
      <c r="E1487" t="n">
        <v>323</v>
      </c>
    </row>
    <row r="1488">
      <c r="A1488" t="inlineStr">
        <is>
          <t>CIAN</t>
        </is>
      </c>
      <c r="B1488" t="inlineStr">
        <is>
          <t>Екатеринбург</t>
        </is>
      </c>
      <c r="C1488" t="inlineStr">
        <is>
          <t>Аренда · Городская · Койко-место</t>
        </is>
      </c>
      <c r="D1488" t="inlineStr">
        <is>
          <t>Премиум, ₽/сут</t>
        </is>
      </c>
      <c r="E1488" t="n">
        <v>152</v>
      </c>
    </row>
    <row r="1489">
      <c r="A1489" t="inlineStr">
        <is>
          <t>CIAN</t>
        </is>
      </c>
      <c r="B1489" t="inlineStr">
        <is>
          <t>Екатеринбург</t>
        </is>
      </c>
      <c r="C1489" t="inlineStr">
        <is>
          <t>Аренда · Городская · Койко-место</t>
        </is>
      </c>
      <c r="D1489" t="inlineStr">
        <is>
          <t>Стандарт, ₽/сут</t>
        </is>
      </c>
      <c r="E1489" t="n">
        <v>47</v>
      </c>
    </row>
    <row r="1490">
      <c r="A1490" t="inlineStr">
        <is>
          <t>CIAN</t>
        </is>
      </c>
      <c r="B1490" t="inlineStr">
        <is>
          <t>Казань</t>
        </is>
      </c>
      <c r="C1490" t="inlineStr">
        <is>
          <t>Аренда · Городская · Койко-место</t>
        </is>
      </c>
      <c r="D1490" t="inlineStr">
        <is>
          <t>Публикация, ₽/30 дн</t>
        </is>
      </c>
      <c r="E1490" t="n">
        <v>117</v>
      </c>
    </row>
    <row r="1491">
      <c r="A1491" t="inlineStr">
        <is>
          <t>CIAN</t>
        </is>
      </c>
      <c r="B1491" t="inlineStr">
        <is>
          <t>Казань</t>
        </is>
      </c>
      <c r="C1491" t="inlineStr">
        <is>
          <t>Аренда · Городская · Койко-место</t>
        </is>
      </c>
      <c r="D1491" t="inlineStr">
        <is>
          <t>Топ, ₽/сут</t>
        </is>
      </c>
      <c r="E1491" t="n">
        <v>155</v>
      </c>
    </row>
    <row r="1492">
      <c r="A1492" t="inlineStr">
        <is>
          <t>CIAN</t>
        </is>
      </c>
      <c r="B1492" t="inlineStr">
        <is>
          <t>Казань</t>
        </is>
      </c>
      <c r="C1492" t="inlineStr">
        <is>
          <t>Аренда · Городская · Койко-место</t>
        </is>
      </c>
      <c r="D1492" t="inlineStr">
        <is>
          <t>Премиум, ₽/сут</t>
        </is>
      </c>
      <c r="E1492" t="n">
        <v>68</v>
      </c>
    </row>
    <row r="1493">
      <c r="A1493" t="inlineStr">
        <is>
          <t>CIAN</t>
        </is>
      </c>
      <c r="B1493" t="inlineStr">
        <is>
          <t>Казань</t>
        </is>
      </c>
      <c r="C1493" t="inlineStr">
        <is>
          <t>Аренда · Городская · Койко-место</t>
        </is>
      </c>
      <c r="D1493" t="inlineStr">
        <is>
          <t>Стандарт, ₽/сут</t>
        </is>
      </c>
      <c r="E1493" t="n">
        <v>20</v>
      </c>
    </row>
    <row r="1494">
      <c r="A1494" t="inlineStr">
        <is>
          <t>CIAN</t>
        </is>
      </c>
      <c r="B1494" t="inlineStr">
        <is>
          <t>Красноярск</t>
        </is>
      </c>
      <c r="C1494" t="inlineStr">
        <is>
          <t>Аренда · Городская · Койко-место</t>
        </is>
      </c>
      <c r="D1494" t="inlineStr">
        <is>
          <t>Публикация, ₽/30 дн</t>
        </is>
      </c>
      <c r="E1494" t="n">
        <v>117</v>
      </c>
    </row>
    <row r="1495">
      <c r="A1495" t="inlineStr">
        <is>
          <t>CIAN</t>
        </is>
      </c>
      <c r="B1495" t="inlineStr">
        <is>
          <t>Красноярск</t>
        </is>
      </c>
      <c r="C1495" t="inlineStr">
        <is>
          <t>Аренда · Городская · Койко-место</t>
        </is>
      </c>
      <c r="D1495" t="inlineStr">
        <is>
          <t>Топ, ₽/сут</t>
        </is>
      </c>
      <c r="E1495" t="inlineStr">
        <is>
          <t>—</t>
        </is>
      </c>
    </row>
    <row r="1496">
      <c r="A1496" t="inlineStr">
        <is>
          <t>CIAN</t>
        </is>
      </c>
      <c r="B1496" t="inlineStr">
        <is>
          <t>Красноярск</t>
        </is>
      </c>
      <c r="C1496" t="inlineStr">
        <is>
          <t>Аренда · Городская · Койко-место</t>
        </is>
      </c>
      <c r="D1496" t="inlineStr">
        <is>
          <t>Премиум, ₽/сут</t>
        </is>
      </c>
      <c r="E1496" t="inlineStr">
        <is>
          <t>—</t>
        </is>
      </c>
    </row>
    <row r="1497">
      <c r="A1497" t="inlineStr">
        <is>
          <t>CIAN</t>
        </is>
      </c>
      <c r="B1497" t="inlineStr">
        <is>
          <t>Красноярск</t>
        </is>
      </c>
      <c r="C1497" t="inlineStr">
        <is>
          <t>Аренда · Городская · Койко-место</t>
        </is>
      </c>
      <c r="D1497" t="inlineStr">
        <is>
          <t>Стандарт, ₽/сут</t>
        </is>
      </c>
      <c r="E1497" t="inlineStr">
        <is>
          <t>—</t>
        </is>
      </c>
    </row>
    <row r="1498">
      <c r="A1498" t="inlineStr">
        <is>
          <t>CIAN</t>
        </is>
      </c>
      <c r="B1498" t="inlineStr">
        <is>
          <t>Нижний Новгород</t>
        </is>
      </c>
      <c r="C1498" t="inlineStr">
        <is>
          <t>Аренда · Городская · Койко-место</t>
        </is>
      </c>
      <c r="D1498" t="inlineStr">
        <is>
          <t>Публикация, ₽/30 дн</t>
        </is>
      </c>
      <c r="E1498" t="n">
        <v>117</v>
      </c>
    </row>
    <row r="1499">
      <c r="A1499" t="inlineStr">
        <is>
          <t>CIAN</t>
        </is>
      </c>
      <c r="B1499" t="inlineStr">
        <is>
          <t>Нижний Новгород</t>
        </is>
      </c>
      <c r="C1499" t="inlineStr">
        <is>
          <t>Аренда · Городская · Койко-место</t>
        </is>
      </c>
      <c r="D1499" t="inlineStr">
        <is>
          <t>Топ, ₽/сут</t>
        </is>
      </c>
      <c r="E1499" t="n">
        <v>142</v>
      </c>
    </row>
    <row r="1500">
      <c r="A1500" t="inlineStr">
        <is>
          <t>CIAN</t>
        </is>
      </c>
      <c r="B1500" t="inlineStr">
        <is>
          <t>Нижний Новгород</t>
        </is>
      </c>
      <c r="C1500" t="inlineStr">
        <is>
          <t>Аренда · Городская · Койко-место</t>
        </is>
      </c>
      <c r="D1500" t="inlineStr">
        <is>
          <t>Премиум, ₽/сут</t>
        </is>
      </c>
      <c r="E1500" t="n">
        <v>64</v>
      </c>
    </row>
    <row r="1501">
      <c r="A1501" t="inlineStr">
        <is>
          <t>CIAN</t>
        </is>
      </c>
      <c r="B1501" t="inlineStr">
        <is>
          <t>Нижний Новгород</t>
        </is>
      </c>
      <c r="C1501" t="inlineStr">
        <is>
          <t>Аренда · Городская · Койко-место</t>
        </is>
      </c>
      <c r="D1501" t="inlineStr">
        <is>
          <t>Стандарт, ₽/сут</t>
        </is>
      </c>
      <c r="E1501" t="n">
        <v>19</v>
      </c>
    </row>
    <row r="1502">
      <c r="A1502" t="inlineStr">
        <is>
          <t>CIAN</t>
        </is>
      </c>
      <c r="B1502" t="inlineStr">
        <is>
          <t>Челябинск</t>
        </is>
      </c>
      <c r="C1502" t="inlineStr">
        <is>
          <t>Аренда · Городская · Койко-место</t>
        </is>
      </c>
      <c r="D1502" t="inlineStr">
        <is>
          <t>Публикация, ₽/30 дн</t>
        </is>
      </c>
      <c r="E1502" t="n">
        <v>117</v>
      </c>
    </row>
    <row r="1503">
      <c r="A1503" t="inlineStr">
        <is>
          <t>CIAN</t>
        </is>
      </c>
      <c r="B1503" t="inlineStr">
        <is>
          <t>Челябинск</t>
        </is>
      </c>
      <c r="C1503" t="inlineStr">
        <is>
          <t>Аренда · Городская · Койко-место</t>
        </is>
      </c>
      <c r="D1503" t="inlineStr">
        <is>
          <t>Топ, ₽/сут</t>
        </is>
      </c>
      <c r="E1503" t="n">
        <v>184</v>
      </c>
    </row>
    <row r="1504">
      <c r="A1504" t="inlineStr">
        <is>
          <t>CIAN</t>
        </is>
      </c>
      <c r="B1504" t="inlineStr">
        <is>
          <t>Челябинск</t>
        </is>
      </c>
      <c r="C1504" t="inlineStr">
        <is>
          <t>Аренда · Городская · Койко-место</t>
        </is>
      </c>
      <c r="D1504" t="inlineStr">
        <is>
          <t>Премиум, ₽/сут</t>
        </is>
      </c>
      <c r="E1504" t="n">
        <v>81</v>
      </c>
    </row>
    <row r="1505">
      <c r="A1505" t="inlineStr">
        <is>
          <t>CIAN</t>
        </is>
      </c>
      <c r="B1505" t="inlineStr">
        <is>
          <t>Челябинск</t>
        </is>
      </c>
      <c r="C1505" t="inlineStr">
        <is>
          <t>Аренда · Городская · Койко-место</t>
        </is>
      </c>
      <c r="D1505" t="inlineStr">
        <is>
          <t>Стандарт, ₽/сут</t>
        </is>
      </c>
      <c r="E1505" t="n">
        <v>24</v>
      </c>
    </row>
    <row r="1506">
      <c r="A1506" t="inlineStr">
        <is>
          <t>CIAN</t>
        </is>
      </c>
      <c r="B1506" t="inlineStr">
        <is>
          <t>Уфа</t>
        </is>
      </c>
      <c r="C1506" t="inlineStr">
        <is>
          <t>Аренда · Городская · Койко-место</t>
        </is>
      </c>
      <c r="D1506" t="inlineStr">
        <is>
          <t>Публикация, ₽/30 дн</t>
        </is>
      </c>
      <c r="E1506" t="n">
        <v>117</v>
      </c>
    </row>
    <row r="1507">
      <c r="A1507" t="inlineStr">
        <is>
          <t>CIAN</t>
        </is>
      </c>
      <c r="B1507" t="inlineStr">
        <is>
          <t>Уфа</t>
        </is>
      </c>
      <c r="C1507" t="inlineStr">
        <is>
          <t>Аренда · Городская · Койко-место</t>
        </is>
      </c>
      <c r="D1507" t="inlineStr">
        <is>
          <t>Топ, ₽/сут</t>
        </is>
      </c>
      <c r="E1507" t="n">
        <v>125</v>
      </c>
    </row>
    <row r="1508">
      <c r="A1508" t="inlineStr">
        <is>
          <t>CIAN</t>
        </is>
      </c>
      <c r="B1508" t="inlineStr">
        <is>
          <t>Уфа</t>
        </is>
      </c>
      <c r="C1508" t="inlineStr">
        <is>
          <t>Аренда · Городская · Койко-место</t>
        </is>
      </c>
      <c r="D1508" t="inlineStr">
        <is>
          <t>Премиум, ₽/сут</t>
        </is>
      </c>
      <c r="E1508" t="n">
        <v>55</v>
      </c>
    </row>
    <row r="1509">
      <c r="A1509" t="inlineStr">
        <is>
          <t>CIAN</t>
        </is>
      </c>
      <c r="B1509" t="inlineStr">
        <is>
          <t>Уфа</t>
        </is>
      </c>
      <c r="C1509" t="inlineStr">
        <is>
          <t>Аренда · Городская · Койко-место</t>
        </is>
      </c>
      <c r="D1509" t="inlineStr">
        <is>
          <t>Стандарт, ₽/сут</t>
        </is>
      </c>
      <c r="E1509" t="n">
        <v>18</v>
      </c>
    </row>
    <row r="1510">
      <c r="A1510" t="inlineStr">
        <is>
          <t>CIAN</t>
        </is>
      </c>
      <c r="B1510" t="inlineStr">
        <is>
          <t>Краснодар</t>
        </is>
      </c>
      <c r="C1510" t="inlineStr">
        <is>
          <t>Аренда · Городская · Койко-место</t>
        </is>
      </c>
      <c r="D1510" t="inlineStr">
        <is>
          <t>Публикация, ₽/30 дн</t>
        </is>
      </c>
      <c r="E1510" t="n">
        <v>117</v>
      </c>
    </row>
    <row r="1511">
      <c r="A1511" t="inlineStr">
        <is>
          <t>CIAN</t>
        </is>
      </c>
      <c r="B1511" t="inlineStr">
        <is>
          <t>Краснодар</t>
        </is>
      </c>
      <c r="C1511" t="inlineStr">
        <is>
          <t>Аренда · Городская · Койко-место</t>
        </is>
      </c>
      <c r="D1511" t="inlineStr">
        <is>
          <t>Топ, ₽/сут</t>
        </is>
      </c>
      <c r="E1511" t="n">
        <v>210</v>
      </c>
    </row>
    <row r="1512">
      <c r="A1512" t="inlineStr">
        <is>
          <t>CIAN</t>
        </is>
      </c>
      <c r="B1512" t="inlineStr">
        <is>
          <t>Краснодар</t>
        </is>
      </c>
      <c r="C1512" t="inlineStr">
        <is>
          <t>Аренда · Городская · Койко-место</t>
        </is>
      </c>
      <c r="D1512" t="inlineStr">
        <is>
          <t>Премиум, ₽/сут</t>
        </is>
      </c>
      <c r="E1512" t="n">
        <v>82</v>
      </c>
    </row>
    <row r="1513">
      <c r="A1513" t="inlineStr">
        <is>
          <t>CIAN</t>
        </is>
      </c>
      <c r="B1513" t="inlineStr">
        <is>
          <t>Краснодар</t>
        </is>
      </c>
      <c r="C1513" t="inlineStr">
        <is>
          <t>Аренда · Городская · Койко-место</t>
        </is>
      </c>
      <c r="D1513" t="inlineStr">
        <is>
          <t>Стандарт, ₽/сут</t>
        </is>
      </c>
      <c r="E1513" t="n">
        <v>24</v>
      </c>
    </row>
    <row r="1514">
      <c r="A1514" t="inlineStr">
        <is>
          <t>CIAN</t>
        </is>
      </c>
      <c r="B1514" t="inlineStr">
        <is>
          <t>Самара</t>
        </is>
      </c>
      <c r="C1514" t="inlineStr">
        <is>
          <t>Аренда · Городская · Койко-место</t>
        </is>
      </c>
      <c r="D1514" t="inlineStr">
        <is>
          <t>Публикация, ₽/30 дн</t>
        </is>
      </c>
      <c r="E1514" t="n">
        <v>117</v>
      </c>
    </row>
    <row r="1515">
      <c r="A1515" t="inlineStr">
        <is>
          <t>CIAN</t>
        </is>
      </c>
      <c r="B1515" t="inlineStr">
        <is>
          <t>Самара</t>
        </is>
      </c>
      <c r="C1515" t="inlineStr">
        <is>
          <t>Аренда · Городская · Койко-место</t>
        </is>
      </c>
      <c r="D1515" t="inlineStr">
        <is>
          <t>Топ, ₽/сут</t>
        </is>
      </c>
      <c r="E1515" t="inlineStr">
        <is>
          <t>—</t>
        </is>
      </c>
    </row>
    <row r="1516">
      <c r="A1516" t="inlineStr">
        <is>
          <t>CIAN</t>
        </is>
      </c>
      <c r="B1516" t="inlineStr">
        <is>
          <t>Самара</t>
        </is>
      </c>
      <c r="C1516" t="inlineStr">
        <is>
          <t>Аренда · Городская · Койко-место</t>
        </is>
      </c>
      <c r="D1516" t="inlineStr">
        <is>
          <t>Премиум, ₽/сут</t>
        </is>
      </c>
      <c r="E1516" t="inlineStr">
        <is>
          <t>—</t>
        </is>
      </c>
    </row>
    <row r="1517">
      <c r="A1517" t="inlineStr">
        <is>
          <t>CIAN</t>
        </is>
      </c>
      <c r="B1517" t="inlineStr">
        <is>
          <t>Самара</t>
        </is>
      </c>
      <c r="C1517" t="inlineStr">
        <is>
          <t>Аренда · Городская · Койко-место</t>
        </is>
      </c>
      <c r="D1517" t="inlineStr">
        <is>
          <t>Стандарт, ₽/сут</t>
        </is>
      </c>
      <c r="E1517" t="inlineStr">
        <is>
          <t>—</t>
        </is>
      </c>
    </row>
    <row r="1518">
      <c r="A1518" t="inlineStr">
        <is>
          <t>CIAN</t>
        </is>
      </c>
      <c r="B1518" t="inlineStr">
        <is>
          <t>Ростов-на-Дону</t>
        </is>
      </c>
      <c r="C1518" t="inlineStr">
        <is>
          <t>Аренда · Городская · Койко-место</t>
        </is>
      </c>
      <c r="D1518" t="inlineStr">
        <is>
          <t>Публикация, ₽/30 дн</t>
        </is>
      </c>
      <c r="E1518" t="n">
        <v>117</v>
      </c>
    </row>
    <row r="1519">
      <c r="A1519" t="inlineStr">
        <is>
          <t>CIAN</t>
        </is>
      </c>
      <c r="B1519" t="inlineStr">
        <is>
          <t>Ростов-на-Дону</t>
        </is>
      </c>
      <c r="C1519" t="inlineStr">
        <is>
          <t>Аренда · Городская · Койко-место</t>
        </is>
      </c>
      <c r="D1519" t="inlineStr">
        <is>
          <t>Топ, ₽/сут</t>
        </is>
      </c>
      <c r="E1519" t="n">
        <v>169</v>
      </c>
    </row>
    <row r="1520">
      <c r="A1520" t="inlineStr">
        <is>
          <t>CIAN</t>
        </is>
      </c>
      <c r="B1520" t="inlineStr">
        <is>
          <t>Ростов-на-Дону</t>
        </is>
      </c>
      <c r="C1520" t="inlineStr">
        <is>
          <t>Аренда · Городская · Койко-место</t>
        </is>
      </c>
      <c r="D1520" t="inlineStr">
        <is>
          <t>Премиум, ₽/сут</t>
        </is>
      </c>
      <c r="E1520" t="n">
        <v>71</v>
      </c>
    </row>
    <row r="1521">
      <c r="A1521" t="inlineStr">
        <is>
          <t>CIAN</t>
        </is>
      </c>
      <c r="B1521" t="inlineStr">
        <is>
          <t>Ростов-на-Дону</t>
        </is>
      </c>
      <c r="C1521" t="inlineStr">
        <is>
          <t>Аренда · Городская · Койко-место</t>
        </is>
      </c>
      <c r="D1521" t="inlineStr">
        <is>
          <t>Стандарт, ₽/сут</t>
        </is>
      </c>
      <c r="E1521" t="n">
        <v>21</v>
      </c>
    </row>
    <row r="1522">
      <c r="A1522" t="inlineStr">
        <is>
          <t>CIAN</t>
        </is>
      </c>
      <c r="B1522" t="inlineStr">
        <is>
          <t>Омск</t>
        </is>
      </c>
      <c r="C1522" t="inlineStr">
        <is>
          <t>Аренда · Городская · Койко-место</t>
        </is>
      </c>
      <c r="D1522" t="inlineStr">
        <is>
          <t>Публикация, ₽/30 дн</t>
        </is>
      </c>
      <c r="E1522" t="n">
        <v>0</v>
      </c>
    </row>
    <row r="1523">
      <c r="A1523" t="inlineStr">
        <is>
          <t>CIAN</t>
        </is>
      </c>
      <c r="B1523" t="inlineStr">
        <is>
          <t>Омск</t>
        </is>
      </c>
      <c r="C1523" t="inlineStr">
        <is>
          <t>Аренда · Городская · Койко-место</t>
        </is>
      </c>
      <c r="D1523" t="inlineStr">
        <is>
          <t>Топ, ₽/сут</t>
        </is>
      </c>
      <c r="E1523" t="n">
        <v>213</v>
      </c>
    </row>
    <row r="1524">
      <c r="A1524" t="inlineStr">
        <is>
          <t>CIAN</t>
        </is>
      </c>
      <c r="B1524" t="inlineStr">
        <is>
          <t>Омск</t>
        </is>
      </c>
      <c r="C1524" t="inlineStr">
        <is>
          <t>Аренда · Городская · Койко-место</t>
        </is>
      </c>
      <c r="D1524" t="inlineStr">
        <is>
          <t>Премиум, ₽/сут</t>
        </is>
      </c>
      <c r="E1524" t="n">
        <v>127</v>
      </c>
    </row>
    <row r="1525">
      <c r="A1525" t="inlineStr">
        <is>
          <t>CIAN</t>
        </is>
      </c>
      <c r="B1525" t="inlineStr">
        <is>
          <t>Омск</t>
        </is>
      </c>
      <c r="C1525" t="inlineStr">
        <is>
          <t>Аренда · Городская · Койко-место</t>
        </is>
      </c>
      <c r="D1525" t="inlineStr">
        <is>
          <t>Стандарт, ₽/сут</t>
        </is>
      </c>
      <c r="E1525" t="n">
        <v>34</v>
      </c>
    </row>
    <row r="1526">
      <c r="A1526" t="inlineStr">
        <is>
          <t>CIAN</t>
        </is>
      </c>
      <c r="B1526" t="inlineStr">
        <is>
          <t>Воронеж</t>
        </is>
      </c>
      <c r="C1526" t="inlineStr">
        <is>
          <t>Аренда · Городская · Койко-место</t>
        </is>
      </c>
      <c r="D1526" t="inlineStr">
        <is>
          <t>Публикация, ₽/30 дн</t>
        </is>
      </c>
      <c r="E1526" t="n">
        <v>117</v>
      </c>
    </row>
    <row r="1527">
      <c r="A1527" t="inlineStr">
        <is>
          <t>CIAN</t>
        </is>
      </c>
      <c r="B1527" t="inlineStr">
        <is>
          <t>Воронеж</t>
        </is>
      </c>
      <c r="C1527" t="inlineStr">
        <is>
          <t>Аренда · Городская · Койко-место</t>
        </is>
      </c>
      <c r="D1527" t="inlineStr">
        <is>
          <t>Топ, ₽/сут</t>
        </is>
      </c>
      <c r="E1527" t="inlineStr">
        <is>
          <t>—</t>
        </is>
      </c>
    </row>
    <row r="1528">
      <c r="A1528" t="inlineStr">
        <is>
          <t>CIAN</t>
        </is>
      </c>
      <c r="B1528" t="inlineStr">
        <is>
          <t>Воронеж</t>
        </is>
      </c>
      <c r="C1528" t="inlineStr">
        <is>
          <t>Аренда · Городская · Койко-место</t>
        </is>
      </c>
      <c r="D1528" t="inlineStr">
        <is>
          <t>Премиум, ₽/сут</t>
        </is>
      </c>
      <c r="E1528" t="inlineStr">
        <is>
          <t>—</t>
        </is>
      </c>
    </row>
    <row r="1529">
      <c r="A1529" t="inlineStr">
        <is>
          <t>CIAN</t>
        </is>
      </c>
      <c r="B1529" t="inlineStr">
        <is>
          <t>Воронеж</t>
        </is>
      </c>
      <c r="C1529" t="inlineStr">
        <is>
          <t>Аренда · Городская · Койко-место</t>
        </is>
      </c>
      <c r="D1529" t="inlineStr">
        <is>
          <t>Стандарт, ₽/сут</t>
        </is>
      </c>
      <c r="E1529" t="inlineStr">
        <is>
          <t>—</t>
        </is>
      </c>
    </row>
    <row r="1530">
      <c r="A1530" t="inlineStr">
        <is>
          <t>CIAN</t>
        </is>
      </c>
      <c r="B1530" t="inlineStr">
        <is>
          <t>Пермь</t>
        </is>
      </c>
      <c r="C1530" t="inlineStr">
        <is>
          <t>Аренда · Городская · Койко-место</t>
        </is>
      </c>
      <c r="D1530" t="inlineStr">
        <is>
          <t>Публикация, ₽/30 дн</t>
        </is>
      </c>
      <c r="E1530" t="n">
        <v>117</v>
      </c>
    </row>
    <row r="1531">
      <c r="A1531" t="inlineStr">
        <is>
          <t>CIAN</t>
        </is>
      </c>
      <c r="B1531" t="inlineStr">
        <is>
          <t>Пермь</t>
        </is>
      </c>
      <c r="C1531" t="inlineStr">
        <is>
          <t>Аренда · Городская · Койко-место</t>
        </is>
      </c>
      <c r="D1531" t="inlineStr">
        <is>
          <t>Топ, ₽/сут</t>
        </is>
      </c>
      <c r="E1531" t="inlineStr">
        <is>
          <t>—</t>
        </is>
      </c>
    </row>
    <row r="1532">
      <c r="A1532" t="inlineStr">
        <is>
          <t>CIAN</t>
        </is>
      </c>
      <c r="B1532" t="inlineStr">
        <is>
          <t>Пермь</t>
        </is>
      </c>
      <c r="C1532" t="inlineStr">
        <is>
          <t>Аренда · Городская · Койко-место</t>
        </is>
      </c>
      <c r="D1532" t="inlineStr">
        <is>
          <t>Премиум, ₽/сут</t>
        </is>
      </c>
      <c r="E1532" t="inlineStr">
        <is>
          <t>—</t>
        </is>
      </c>
    </row>
    <row r="1533">
      <c r="A1533" t="inlineStr">
        <is>
          <t>CIAN</t>
        </is>
      </c>
      <c r="B1533" t="inlineStr">
        <is>
          <t>Пермь</t>
        </is>
      </c>
      <c r="C1533" t="inlineStr">
        <is>
          <t>Аренда · Городская · Койко-место</t>
        </is>
      </c>
      <c r="D1533" t="inlineStr">
        <is>
          <t>Стандарт, ₽/сут</t>
        </is>
      </c>
      <c r="E1533" t="inlineStr">
        <is>
          <t>—</t>
        </is>
      </c>
    </row>
    <row r="1534">
      <c r="A1534" t="inlineStr">
        <is>
          <t>CIAN</t>
        </is>
      </c>
      <c r="B1534" t="inlineStr">
        <is>
          <t>Волгоград</t>
        </is>
      </c>
      <c r="C1534" t="inlineStr">
        <is>
          <t>Аренда · Городская · Койко-место</t>
        </is>
      </c>
      <c r="D1534" t="inlineStr">
        <is>
          <t>Публикация, ₽/30 дн</t>
        </is>
      </c>
      <c r="E1534" t="n">
        <v>153</v>
      </c>
    </row>
    <row r="1535">
      <c r="A1535" t="inlineStr">
        <is>
          <t>CIAN</t>
        </is>
      </c>
      <c r="B1535" t="inlineStr">
        <is>
          <t>Волгоград</t>
        </is>
      </c>
      <c r="C1535" t="inlineStr">
        <is>
          <t>Аренда · Городская · Койко-место</t>
        </is>
      </c>
      <c r="D1535" t="inlineStr">
        <is>
          <t>Топ, ₽/сут</t>
        </is>
      </c>
      <c r="E1535" t="inlineStr">
        <is>
          <t>—</t>
        </is>
      </c>
    </row>
    <row r="1536">
      <c r="A1536" t="inlineStr">
        <is>
          <t>CIAN</t>
        </is>
      </c>
      <c r="B1536" t="inlineStr">
        <is>
          <t>Волгоград</t>
        </is>
      </c>
      <c r="C1536" t="inlineStr">
        <is>
          <t>Аренда · Городская · Койко-место</t>
        </is>
      </c>
      <c r="D1536" t="inlineStr">
        <is>
          <t>Премиум, ₽/сут</t>
        </is>
      </c>
      <c r="E1536" t="inlineStr">
        <is>
          <t>—</t>
        </is>
      </c>
    </row>
    <row r="1537">
      <c r="A1537" t="inlineStr">
        <is>
          <t>CIAN</t>
        </is>
      </c>
      <c r="B1537" t="inlineStr">
        <is>
          <t>Волгоград</t>
        </is>
      </c>
      <c r="C1537" t="inlineStr">
        <is>
          <t>Аренда · Городская · Койко-место</t>
        </is>
      </c>
      <c r="D1537" t="inlineStr">
        <is>
          <t>Стандарт, ₽/сут</t>
        </is>
      </c>
      <c r="E1537" t="inlineStr">
        <is>
          <t>—</t>
        </is>
      </c>
    </row>
    <row r="1538">
      <c r="A1538" t="inlineStr">
        <is>
          <t>CIAN</t>
        </is>
      </c>
      <c r="B1538" t="inlineStr">
        <is>
          <t>Москва</t>
        </is>
      </c>
      <c r="C1538" t="inlineStr">
        <is>
          <t>Аренда · Загородная · Коттедж</t>
        </is>
      </c>
      <c r="D1538" t="inlineStr">
        <is>
          <t>Публикация, ₽/30 дн</t>
        </is>
      </c>
      <c r="E1538" t="n">
        <v>1326</v>
      </c>
    </row>
    <row r="1539">
      <c r="A1539" t="inlineStr">
        <is>
          <t>CIAN</t>
        </is>
      </c>
      <c r="B1539" t="inlineStr">
        <is>
          <t>Москва</t>
        </is>
      </c>
      <c r="C1539" t="inlineStr">
        <is>
          <t>Аренда · Загородная · Коттедж</t>
        </is>
      </c>
      <c r="D1539" t="inlineStr">
        <is>
          <t>Топ, ₽/сут</t>
        </is>
      </c>
      <c r="E1539" t="n">
        <v>685</v>
      </c>
    </row>
    <row r="1540">
      <c r="A1540" t="inlineStr">
        <is>
          <t>CIAN</t>
        </is>
      </c>
      <c r="B1540" t="inlineStr">
        <is>
          <t>Москва</t>
        </is>
      </c>
      <c r="C1540" t="inlineStr">
        <is>
          <t>Аренда · Загородная · Коттедж</t>
        </is>
      </c>
      <c r="D1540" t="inlineStr">
        <is>
          <t>Премиум, ₽/сут</t>
        </is>
      </c>
      <c r="E1540" t="n">
        <v>253</v>
      </c>
    </row>
    <row r="1541">
      <c r="A1541" t="inlineStr">
        <is>
          <t>CIAN</t>
        </is>
      </c>
      <c r="B1541" t="inlineStr">
        <is>
          <t>Москва</t>
        </is>
      </c>
      <c r="C1541" t="inlineStr">
        <is>
          <t>Аренда · Загородная · Коттедж</t>
        </is>
      </c>
      <c r="D1541" t="inlineStr">
        <is>
          <t>Стандарт, ₽/сут</t>
        </is>
      </c>
      <c r="E1541" t="n">
        <v>77</v>
      </c>
    </row>
    <row r="1542">
      <c r="A1542" t="inlineStr">
        <is>
          <t>CIAN</t>
        </is>
      </c>
      <c r="B1542" t="inlineStr">
        <is>
          <t>Санкт-Петербург</t>
        </is>
      </c>
      <c r="C1542" t="inlineStr">
        <is>
          <t>Аренда · Загородная · Коттедж</t>
        </is>
      </c>
      <c r="D1542" t="inlineStr">
        <is>
          <t>Публикация, ₽/30 дн</t>
        </is>
      </c>
      <c r="E1542" t="n">
        <v>453</v>
      </c>
    </row>
    <row r="1543">
      <c r="A1543" t="inlineStr">
        <is>
          <t>CIAN</t>
        </is>
      </c>
      <c r="B1543" t="inlineStr">
        <is>
          <t>Санкт-Петербург</t>
        </is>
      </c>
      <c r="C1543" t="inlineStr">
        <is>
          <t>Аренда · Загородная · Коттедж</t>
        </is>
      </c>
      <c r="D1543" t="inlineStr">
        <is>
          <t>Топ, ₽/сут</t>
        </is>
      </c>
      <c r="E1543" t="n">
        <v>296</v>
      </c>
    </row>
    <row r="1544">
      <c r="A1544" t="inlineStr">
        <is>
          <t>CIAN</t>
        </is>
      </c>
      <c r="B1544" t="inlineStr">
        <is>
          <t>Санкт-Петербург</t>
        </is>
      </c>
      <c r="C1544" t="inlineStr">
        <is>
          <t>Аренда · Загородная · Коттедж</t>
        </is>
      </c>
      <c r="D1544" t="inlineStr">
        <is>
          <t>Премиум, ₽/сут</t>
        </is>
      </c>
      <c r="E1544" t="n">
        <v>115</v>
      </c>
    </row>
    <row r="1545">
      <c r="A1545" t="inlineStr">
        <is>
          <t>CIAN</t>
        </is>
      </c>
      <c r="B1545" t="inlineStr">
        <is>
          <t>Санкт-Петербург</t>
        </is>
      </c>
      <c r="C1545" t="inlineStr">
        <is>
          <t>Аренда · Загородная · Коттедж</t>
        </is>
      </c>
      <c r="D1545" t="inlineStr">
        <is>
          <t>Стандарт, ₽/сут</t>
        </is>
      </c>
      <c r="E1545" t="n">
        <v>37</v>
      </c>
    </row>
    <row r="1546">
      <c r="A1546" t="inlineStr">
        <is>
          <t>CIAN</t>
        </is>
      </c>
      <c r="B1546" t="inlineStr">
        <is>
          <t>Новосибирск</t>
        </is>
      </c>
      <c r="C1546" t="inlineStr">
        <is>
          <t>Аренда · Загородная · Коттедж</t>
        </is>
      </c>
      <c r="D1546" t="inlineStr">
        <is>
          <t>Публикация, ₽/30 дн</t>
        </is>
      </c>
      <c r="E1546" t="n">
        <v>450</v>
      </c>
    </row>
    <row r="1547">
      <c r="A1547" t="inlineStr">
        <is>
          <t>CIAN</t>
        </is>
      </c>
      <c r="B1547" t="inlineStr">
        <is>
          <t>Новосибирск</t>
        </is>
      </c>
      <c r="C1547" t="inlineStr">
        <is>
          <t>Аренда · Загородная · Коттедж</t>
        </is>
      </c>
      <c r="D1547" t="inlineStr">
        <is>
          <t>Топ, ₽/сут</t>
        </is>
      </c>
      <c r="E1547" t="n">
        <v>493</v>
      </c>
    </row>
    <row r="1548">
      <c r="A1548" t="inlineStr">
        <is>
          <t>CIAN</t>
        </is>
      </c>
      <c r="B1548" t="inlineStr">
        <is>
          <t>Новосибирск</t>
        </is>
      </c>
      <c r="C1548" t="inlineStr">
        <is>
          <t>Аренда · Загородная · Коттедж</t>
        </is>
      </c>
      <c r="D1548" t="inlineStr">
        <is>
          <t>Премиум, ₽/сут</t>
        </is>
      </c>
      <c r="E1548" t="n">
        <v>217</v>
      </c>
    </row>
    <row r="1549">
      <c r="A1549" t="inlineStr">
        <is>
          <t>CIAN</t>
        </is>
      </c>
      <c r="B1549" t="inlineStr">
        <is>
          <t>Новосибирск</t>
        </is>
      </c>
      <c r="C1549" t="inlineStr">
        <is>
          <t>Аренда · Загородная · Коттедж</t>
        </is>
      </c>
      <c r="D1549" t="inlineStr">
        <is>
          <t>Стандарт, ₽/сут</t>
        </is>
      </c>
      <c r="E1549" t="n">
        <v>68</v>
      </c>
    </row>
    <row r="1550">
      <c r="A1550" t="inlineStr">
        <is>
          <t>CIAN</t>
        </is>
      </c>
      <c r="B1550" t="inlineStr">
        <is>
          <t>Екатеринбург</t>
        </is>
      </c>
      <c r="C1550" t="inlineStr">
        <is>
          <t>Аренда · Загородная · Коттедж</t>
        </is>
      </c>
      <c r="D1550" t="inlineStr">
        <is>
          <t>Публикация, ₽/30 дн</t>
        </is>
      </c>
      <c r="E1550" t="n">
        <v>234</v>
      </c>
    </row>
    <row r="1551">
      <c r="A1551" t="inlineStr">
        <is>
          <t>CIAN</t>
        </is>
      </c>
      <c r="B1551" t="inlineStr">
        <is>
          <t>Екатеринбург</t>
        </is>
      </c>
      <c r="C1551" t="inlineStr">
        <is>
          <t>Аренда · Загородная · Коттедж</t>
        </is>
      </c>
      <c r="D1551" t="inlineStr">
        <is>
          <t>Топ, ₽/сут</t>
        </is>
      </c>
      <c r="E1551" t="n">
        <v>433</v>
      </c>
    </row>
    <row r="1552">
      <c r="A1552" t="inlineStr">
        <is>
          <t>CIAN</t>
        </is>
      </c>
      <c r="B1552" t="inlineStr">
        <is>
          <t>Екатеринбург</t>
        </is>
      </c>
      <c r="C1552" t="inlineStr">
        <is>
          <t>Аренда · Загородная · Коттедж</t>
        </is>
      </c>
      <c r="D1552" t="inlineStr">
        <is>
          <t>Премиум, ₽/сут</t>
        </is>
      </c>
      <c r="E1552" t="n">
        <v>209</v>
      </c>
    </row>
    <row r="1553">
      <c r="A1553" t="inlineStr">
        <is>
          <t>CIAN</t>
        </is>
      </c>
      <c r="B1553" t="inlineStr">
        <is>
          <t>Екатеринбург</t>
        </is>
      </c>
      <c r="C1553" t="inlineStr">
        <is>
          <t>Аренда · Загородная · Коттедж</t>
        </is>
      </c>
      <c r="D1553" t="inlineStr">
        <is>
          <t>Стандарт, ₽/сут</t>
        </is>
      </c>
      <c r="E1553" t="n">
        <v>64</v>
      </c>
    </row>
    <row r="1554">
      <c r="A1554" t="inlineStr">
        <is>
          <t>CIAN</t>
        </is>
      </c>
      <c r="B1554" t="inlineStr">
        <is>
          <t>Казань</t>
        </is>
      </c>
      <c r="C1554" t="inlineStr">
        <is>
          <t>Аренда · Загородная · Коттедж</t>
        </is>
      </c>
      <c r="D1554" t="inlineStr">
        <is>
          <t>Публикация, ₽/30 дн</t>
        </is>
      </c>
      <c r="E1554" t="n">
        <v>66</v>
      </c>
    </row>
    <row r="1555">
      <c r="A1555" t="inlineStr">
        <is>
          <t>CIAN</t>
        </is>
      </c>
      <c r="B1555" t="inlineStr">
        <is>
          <t>Казань</t>
        </is>
      </c>
      <c r="C1555" t="inlineStr">
        <is>
          <t>Аренда · Загородная · Коттедж</t>
        </is>
      </c>
      <c r="D1555" t="inlineStr">
        <is>
          <t>Топ, ₽/сут</t>
        </is>
      </c>
      <c r="E1555" t="n">
        <v>169</v>
      </c>
    </row>
    <row r="1556">
      <c r="A1556" t="inlineStr">
        <is>
          <t>CIAN</t>
        </is>
      </c>
      <c r="B1556" t="inlineStr">
        <is>
          <t>Казань</t>
        </is>
      </c>
      <c r="C1556" t="inlineStr">
        <is>
          <t>Аренда · Загородная · Коттедж</t>
        </is>
      </c>
      <c r="D1556" t="inlineStr">
        <is>
          <t>Премиум, ₽/сут</t>
        </is>
      </c>
      <c r="E1556" t="n">
        <v>67</v>
      </c>
    </row>
    <row r="1557">
      <c r="A1557" t="inlineStr">
        <is>
          <t>CIAN</t>
        </is>
      </c>
      <c r="B1557" t="inlineStr">
        <is>
          <t>Казань</t>
        </is>
      </c>
      <c r="C1557" t="inlineStr">
        <is>
          <t>Аренда · Загородная · Коттедж</t>
        </is>
      </c>
      <c r="D1557" t="inlineStr">
        <is>
          <t>Стандарт, ₽/сут</t>
        </is>
      </c>
      <c r="E1557" t="n">
        <v>20</v>
      </c>
    </row>
    <row r="1558">
      <c r="A1558" t="inlineStr">
        <is>
          <t>CIAN</t>
        </is>
      </c>
      <c r="B1558" t="inlineStr">
        <is>
          <t>Красноярск</t>
        </is>
      </c>
      <c r="C1558" t="inlineStr">
        <is>
          <t>Аренда · Загородная · Коттедж</t>
        </is>
      </c>
      <c r="D1558" t="inlineStr">
        <is>
          <t>Публикация, ₽/30 дн</t>
        </is>
      </c>
      <c r="E1558" t="n">
        <v>150</v>
      </c>
    </row>
    <row r="1559">
      <c r="A1559" t="inlineStr">
        <is>
          <t>CIAN</t>
        </is>
      </c>
      <c r="B1559" t="inlineStr">
        <is>
          <t>Красноярск</t>
        </is>
      </c>
      <c r="C1559" t="inlineStr">
        <is>
          <t>Аренда · Загородная · Коттедж</t>
        </is>
      </c>
      <c r="D1559" t="inlineStr">
        <is>
          <t>Топ, ₽/сут</t>
        </is>
      </c>
      <c r="E1559" t="inlineStr">
        <is>
          <t>—</t>
        </is>
      </c>
    </row>
    <row r="1560">
      <c r="A1560" t="inlineStr">
        <is>
          <t>CIAN</t>
        </is>
      </c>
      <c r="B1560" t="inlineStr">
        <is>
          <t>Красноярск</t>
        </is>
      </c>
      <c r="C1560" t="inlineStr">
        <is>
          <t>Аренда · Загородная · Коттедж</t>
        </is>
      </c>
      <c r="D1560" t="inlineStr">
        <is>
          <t>Премиум, ₽/сут</t>
        </is>
      </c>
      <c r="E1560" t="inlineStr">
        <is>
          <t>—</t>
        </is>
      </c>
    </row>
    <row r="1561">
      <c r="A1561" t="inlineStr">
        <is>
          <t>CIAN</t>
        </is>
      </c>
      <c r="B1561" t="inlineStr">
        <is>
          <t>Красноярск</t>
        </is>
      </c>
      <c r="C1561" t="inlineStr">
        <is>
          <t>Аренда · Загородная · Коттедж</t>
        </is>
      </c>
      <c r="D1561" t="inlineStr">
        <is>
          <t>Стандарт, ₽/сут</t>
        </is>
      </c>
      <c r="E1561" t="inlineStr">
        <is>
          <t>—</t>
        </is>
      </c>
    </row>
    <row r="1562">
      <c r="A1562" t="inlineStr">
        <is>
          <t>CIAN</t>
        </is>
      </c>
      <c r="B1562" t="inlineStr">
        <is>
          <t>Нижний Новгород</t>
        </is>
      </c>
      <c r="C1562" t="inlineStr">
        <is>
          <t>Аренда · Загородная · Коттедж</t>
        </is>
      </c>
      <c r="D1562" t="inlineStr">
        <is>
          <t>Публикация, ₽/30 дн</t>
        </is>
      </c>
      <c r="E1562" t="n">
        <v>204</v>
      </c>
    </row>
    <row r="1563">
      <c r="A1563" t="inlineStr">
        <is>
          <t>CIAN</t>
        </is>
      </c>
      <c r="B1563" t="inlineStr">
        <is>
          <t>Нижний Новгород</t>
        </is>
      </c>
      <c r="C1563" t="inlineStr">
        <is>
          <t>Аренда · Загородная · Коттедж</t>
        </is>
      </c>
      <c r="D1563" t="inlineStr">
        <is>
          <t>Топ, ₽/сут</t>
        </is>
      </c>
      <c r="E1563" t="n">
        <v>154</v>
      </c>
    </row>
    <row r="1564">
      <c r="A1564" t="inlineStr">
        <is>
          <t>CIAN</t>
        </is>
      </c>
      <c r="B1564" t="inlineStr">
        <is>
          <t>Нижний Новгород</t>
        </is>
      </c>
      <c r="C1564" t="inlineStr">
        <is>
          <t>Аренда · Загородная · Коттедж</t>
        </is>
      </c>
      <c r="D1564" t="inlineStr">
        <is>
          <t>Премиум, ₽/сут</t>
        </is>
      </c>
      <c r="E1564" t="n">
        <v>68</v>
      </c>
    </row>
    <row r="1565">
      <c r="A1565" t="inlineStr">
        <is>
          <t>CIAN</t>
        </is>
      </c>
      <c r="B1565" t="inlineStr">
        <is>
          <t>Нижний Новгород</t>
        </is>
      </c>
      <c r="C1565" t="inlineStr">
        <is>
          <t>Аренда · Загородная · Коттедж</t>
        </is>
      </c>
      <c r="D1565" t="inlineStr">
        <is>
          <t>Стандарт, ₽/сут</t>
        </is>
      </c>
      <c r="E1565" t="n">
        <v>19</v>
      </c>
    </row>
    <row r="1566">
      <c r="A1566" t="inlineStr">
        <is>
          <t>CIAN</t>
        </is>
      </c>
      <c r="B1566" t="inlineStr">
        <is>
          <t>Челябинск</t>
        </is>
      </c>
      <c r="C1566" t="inlineStr">
        <is>
          <t>Аренда · Загородная · Коттедж</t>
        </is>
      </c>
      <c r="D1566" t="inlineStr">
        <is>
          <t>Публикация, ₽/30 дн</t>
        </is>
      </c>
      <c r="E1566" t="n">
        <v>153</v>
      </c>
    </row>
    <row r="1567">
      <c r="A1567" t="inlineStr">
        <is>
          <t>CIAN</t>
        </is>
      </c>
      <c r="B1567" t="inlineStr">
        <is>
          <t>Челябинск</t>
        </is>
      </c>
      <c r="C1567" t="inlineStr">
        <is>
          <t>Аренда · Загородная · Коттедж</t>
        </is>
      </c>
      <c r="D1567" t="inlineStr">
        <is>
          <t>Топ, ₽/сут</t>
        </is>
      </c>
      <c r="E1567" t="n">
        <v>220</v>
      </c>
    </row>
    <row r="1568">
      <c r="A1568" t="inlineStr">
        <is>
          <t>CIAN</t>
        </is>
      </c>
      <c r="B1568" t="inlineStr">
        <is>
          <t>Челябинск</t>
        </is>
      </c>
      <c r="C1568" t="inlineStr">
        <is>
          <t>Аренда · Загородная · Коттедж</t>
        </is>
      </c>
      <c r="D1568" t="inlineStr">
        <is>
          <t>Премиум, ₽/сут</t>
        </is>
      </c>
      <c r="E1568" t="n">
        <v>101</v>
      </c>
    </row>
    <row r="1569">
      <c r="A1569" t="inlineStr">
        <is>
          <t>CIAN</t>
        </is>
      </c>
      <c r="B1569" t="inlineStr">
        <is>
          <t>Челябинск</t>
        </is>
      </c>
      <c r="C1569" t="inlineStr">
        <is>
          <t>Аренда · Загородная · Коттедж</t>
        </is>
      </c>
      <c r="D1569" t="inlineStr">
        <is>
          <t>Стандарт, ₽/сут</t>
        </is>
      </c>
      <c r="E1569" t="n">
        <v>30</v>
      </c>
    </row>
    <row r="1570">
      <c r="A1570" t="inlineStr">
        <is>
          <t>CIAN</t>
        </is>
      </c>
      <c r="B1570" t="inlineStr">
        <is>
          <t>Уфа</t>
        </is>
      </c>
      <c r="C1570" t="inlineStr">
        <is>
          <t>Аренда · Загородная · Коттедж</t>
        </is>
      </c>
      <c r="D1570" t="inlineStr">
        <is>
          <t>Публикация, ₽/30 дн</t>
        </is>
      </c>
      <c r="E1570" t="n">
        <v>144</v>
      </c>
    </row>
    <row r="1571">
      <c r="A1571" t="inlineStr">
        <is>
          <t>CIAN</t>
        </is>
      </c>
      <c r="B1571" t="inlineStr">
        <is>
          <t>Уфа</t>
        </is>
      </c>
      <c r="C1571" t="inlineStr">
        <is>
          <t>Аренда · Загородная · Коттедж</t>
        </is>
      </c>
      <c r="D1571" t="inlineStr">
        <is>
          <t>Топ, ₽/сут</t>
        </is>
      </c>
      <c r="E1571" t="n">
        <v>115</v>
      </c>
    </row>
    <row r="1572">
      <c r="A1572" t="inlineStr">
        <is>
          <t>CIAN</t>
        </is>
      </c>
      <c r="B1572" t="inlineStr">
        <is>
          <t>Уфа</t>
        </is>
      </c>
      <c r="C1572" t="inlineStr">
        <is>
          <t>Аренда · Загородная · Коттедж</t>
        </is>
      </c>
      <c r="D1572" t="inlineStr">
        <is>
          <t>Премиум, ₽/сут</t>
        </is>
      </c>
      <c r="E1572" t="n">
        <v>48</v>
      </c>
    </row>
    <row r="1573">
      <c r="A1573" t="inlineStr">
        <is>
          <t>CIAN</t>
        </is>
      </c>
      <c r="B1573" t="inlineStr">
        <is>
          <t>Уфа</t>
        </is>
      </c>
      <c r="C1573" t="inlineStr">
        <is>
          <t>Аренда · Загородная · Коттедж</t>
        </is>
      </c>
      <c r="D1573" t="inlineStr">
        <is>
          <t>Стандарт, ₽/сут</t>
        </is>
      </c>
      <c r="E1573" t="n">
        <v>17</v>
      </c>
    </row>
    <row r="1574">
      <c r="A1574" t="inlineStr">
        <is>
          <t>CIAN</t>
        </is>
      </c>
      <c r="B1574" t="inlineStr">
        <is>
          <t>Краснодар</t>
        </is>
      </c>
      <c r="C1574" t="inlineStr">
        <is>
          <t>Аренда · Загородная · Коттедж</t>
        </is>
      </c>
      <c r="D1574" t="inlineStr">
        <is>
          <t>Публикация, ₽/30 дн</t>
        </is>
      </c>
      <c r="E1574" t="n">
        <v>162</v>
      </c>
    </row>
    <row r="1575">
      <c r="A1575" t="inlineStr">
        <is>
          <t>CIAN</t>
        </is>
      </c>
      <c r="B1575" t="inlineStr">
        <is>
          <t>Краснодар</t>
        </is>
      </c>
      <c r="C1575" t="inlineStr">
        <is>
          <t>Аренда · Загородная · Коттедж</t>
        </is>
      </c>
      <c r="D1575" t="inlineStr">
        <is>
          <t>Топ, ₽/сут</t>
        </is>
      </c>
      <c r="E1575" t="n">
        <v>184</v>
      </c>
    </row>
    <row r="1576">
      <c r="A1576" t="inlineStr">
        <is>
          <t>CIAN</t>
        </is>
      </c>
      <c r="B1576" t="inlineStr">
        <is>
          <t>Краснодар</t>
        </is>
      </c>
      <c r="C1576" t="inlineStr">
        <is>
          <t>Аренда · Загородная · Коттедж</t>
        </is>
      </c>
      <c r="D1576" t="inlineStr">
        <is>
          <t>Премиум, ₽/сут</t>
        </is>
      </c>
      <c r="E1576" t="n">
        <v>71</v>
      </c>
    </row>
    <row r="1577">
      <c r="A1577" t="inlineStr">
        <is>
          <t>CIAN</t>
        </is>
      </c>
      <c r="B1577" t="inlineStr">
        <is>
          <t>Краснодар</t>
        </is>
      </c>
      <c r="C1577" t="inlineStr">
        <is>
          <t>Аренда · Загородная · Коттедж</t>
        </is>
      </c>
      <c r="D1577" t="inlineStr">
        <is>
          <t>Стандарт, ₽/сут</t>
        </is>
      </c>
      <c r="E1577" t="n">
        <v>22</v>
      </c>
    </row>
    <row r="1578">
      <c r="A1578" t="inlineStr">
        <is>
          <t>CIAN</t>
        </is>
      </c>
      <c r="B1578" t="inlineStr">
        <is>
          <t>Самара</t>
        </is>
      </c>
      <c r="C1578" t="inlineStr">
        <is>
          <t>Аренда · Загородная · Коттедж</t>
        </is>
      </c>
      <c r="D1578" t="inlineStr">
        <is>
          <t>Публикация, ₽/30 дн</t>
        </is>
      </c>
      <c r="E1578" t="n">
        <v>108</v>
      </c>
    </row>
    <row r="1579">
      <c r="A1579" t="inlineStr">
        <is>
          <t>CIAN</t>
        </is>
      </c>
      <c r="B1579" t="inlineStr">
        <is>
          <t>Самара</t>
        </is>
      </c>
      <c r="C1579" t="inlineStr">
        <is>
          <t>Аренда · Загородная · Коттедж</t>
        </is>
      </c>
      <c r="D1579" t="inlineStr">
        <is>
          <t>Топ, ₽/сут</t>
        </is>
      </c>
      <c r="E1579" t="inlineStr">
        <is>
          <t>—</t>
        </is>
      </c>
    </row>
    <row r="1580">
      <c r="A1580" t="inlineStr">
        <is>
          <t>CIAN</t>
        </is>
      </c>
      <c r="B1580" t="inlineStr">
        <is>
          <t>Самара</t>
        </is>
      </c>
      <c r="C1580" t="inlineStr">
        <is>
          <t>Аренда · Загородная · Коттедж</t>
        </is>
      </c>
      <c r="D1580" t="inlineStr">
        <is>
          <t>Премиум, ₽/сут</t>
        </is>
      </c>
      <c r="E1580" t="inlineStr">
        <is>
          <t>—</t>
        </is>
      </c>
    </row>
    <row r="1581">
      <c r="A1581" t="inlineStr">
        <is>
          <t>CIAN</t>
        </is>
      </c>
      <c r="B1581" t="inlineStr">
        <is>
          <t>Самара</t>
        </is>
      </c>
      <c r="C1581" t="inlineStr">
        <is>
          <t>Аренда · Загородная · Коттедж</t>
        </is>
      </c>
      <c r="D1581" t="inlineStr">
        <is>
          <t>Стандарт, ₽/сут</t>
        </is>
      </c>
      <c r="E1581" t="inlineStr">
        <is>
          <t>—</t>
        </is>
      </c>
    </row>
    <row r="1582">
      <c r="A1582" t="inlineStr">
        <is>
          <t>CIAN</t>
        </is>
      </c>
      <c r="B1582" t="inlineStr">
        <is>
          <t>Ростов-на-Дону</t>
        </is>
      </c>
      <c r="C1582" t="inlineStr">
        <is>
          <t>Аренда · Загородная · Коттедж</t>
        </is>
      </c>
      <c r="D1582" t="inlineStr">
        <is>
          <t>Публикация, ₽/30 дн</t>
        </is>
      </c>
      <c r="E1582" t="n">
        <v>51</v>
      </c>
    </row>
    <row r="1583">
      <c r="A1583" t="inlineStr">
        <is>
          <t>CIAN</t>
        </is>
      </c>
      <c r="B1583" t="inlineStr">
        <is>
          <t>Ростов-на-Дону</t>
        </is>
      </c>
      <c r="C1583" t="inlineStr">
        <is>
          <t>Аренда · Загородная · Коттедж</t>
        </is>
      </c>
      <c r="D1583" t="inlineStr">
        <is>
          <t>Топ, ₽/сут</t>
        </is>
      </c>
      <c r="E1583" t="n">
        <v>136</v>
      </c>
    </row>
    <row r="1584">
      <c r="A1584" t="inlineStr">
        <is>
          <t>CIAN</t>
        </is>
      </c>
      <c r="B1584" t="inlineStr">
        <is>
          <t>Ростов-на-Дону</t>
        </is>
      </c>
      <c r="C1584" t="inlineStr">
        <is>
          <t>Аренда · Загородная · Коттедж</t>
        </is>
      </c>
      <c r="D1584" t="inlineStr">
        <is>
          <t>Премиум, ₽/сут</t>
        </is>
      </c>
      <c r="E1584" t="n">
        <v>58</v>
      </c>
    </row>
    <row r="1585">
      <c r="A1585" t="inlineStr">
        <is>
          <t>CIAN</t>
        </is>
      </c>
      <c r="B1585" t="inlineStr">
        <is>
          <t>Ростов-на-Дону</t>
        </is>
      </c>
      <c r="C1585" t="inlineStr">
        <is>
          <t>Аренда · Загородная · Коттедж</t>
        </is>
      </c>
      <c r="D1585" t="inlineStr">
        <is>
          <t>Стандарт, ₽/сут</t>
        </is>
      </c>
      <c r="E1585" t="n">
        <v>18</v>
      </c>
    </row>
    <row r="1586">
      <c r="A1586" t="inlineStr">
        <is>
          <t>CIAN</t>
        </is>
      </c>
      <c r="B1586" t="inlineStr">
        <is>
          <t>Омск</t>
        </is>
      </c>
      <c r="C1586" t="inlineStr">
        <is>
          <t>Аренда · Загородная · Коттедж</t>
        </is>
      </c>
      <c r="D1586" t="inlineStr">
        <is>
          <t>Публикация, ₽/30 дн</t>
        </is>
      </c>
      <c r="E1586" t="n">
        <v>60</v>
      </c>
    </row>
    <row r="1587">
      <c r="A1587" t="inlineStr">
        <is>
          <t>CIAN</t>
        </is>
      </c>
      <c r="B1587" t="inlineStr">
        <is>
          <t>Омск</t>
        </is>
      </c>
      <c r="C1587" t="inlineStr">
        <is>
          <t>Аренда · Загородная · Коттедж</t>
        </is>
      </c>
      <c r="D1587" t="inlineStr">
        <is>
          <t>Топ, ₽/сут</t>
        </is>
      </c>
      <c r="E1587" t="n">
        <v>171</v>
      </c>
    </row>
    <row r="1588">
      <c r="A1588" t="inlineStr">
        <is>
          <t>CIAN</t>
        </is>
      </c>
      <c r="B1588" t="inlineStr">
        <is>
          <t>Омск</t>
        </is>
      </c>
      <c r="C1588" t="inlineStr">
        <is>
          <t>Аренда · Загородная · Коттедж</t>
        </is>
      </c>
      <c r="D1588" t="inlineStr">
        <is>
          <t>Премиум, ₽/сут</t>
        </is>
      </c>
      <c r="E1588" t="n">
        <v>94</v>
      </c>
    </row>
    <row r="1589">
      <c r="A1589" t="inlineStr">
        <is>
          <t>CIAN</t>
        </is>
      </c>
      <c r="B1589" t="inlineStr">
        <is>
          <t>Омск</t>
        </is>
      </c>
      <c r="C1589" t="inlineStr">
        <is>
          <t>Аренда · Загородная · Коттедж</t>
        </is>
      </c>
      <c r="D1589" t="inlineStr">
        <is>
          <t>Стандарт, ₽/сут</t>
        </is>
      </c>
      <c r="E1589" t="n">
        <v>29</v>
      </c>
    </row>
    <row r="1590">
      <c r="A1590" t="inlineStr">
        <is>
          <t>CIAN</t>
        </is>
      </c>
      <c r="B1590" t="inlineStr">
        <is>
          <t>Воронеж</t>
        </is>
      </c>
      <c r="C1590" t="inlineStr">
        <is>
          <t>Аренда · Загородная · Коттедж</t>
        </is>
      </c>
      <c r="D1590" t="inlineStr">
        <is>
          <t>Публикация, ₽/30 дн</t>
        </is>
      </c>
      <c r="E1590" t="n">
        <v>54</v>
      </c>
    </row>
    <row r="1591">
      <c r="A1591" t="inlineStr">
        <is>
          <t>CIAN</t>
        </is>
      </c>
      <c r="B1591" t="inlineStr">
        <is>
          <t>Воронеж</t>
        </is>
      </c>
      <c r="C1591" t="inlineStr">
        <is>
          <t>Аренда · Загородная · Коттедж</t>
        </is>
      </c>
      <c r="D1591" t="inlineStr">
        <is>
          <t>Топ, ₽/сут</t>
        </is>
      </c>
      <c r="E1591" t="inlineStr">
        <is>
          <t>—</t>
        </is>
      </c>
    </row>
    <row r="1592">
      <c r="A1592" t="inlineStr">
        <is>
          <t>CIAN</t>
        </is>
      </c>
      <c r="B1592" t="inlineStr">
        <is>
          <t>Воронеж</t>
        </is>
      </c>
      <c r="C1592" t="inlineStr">
        <is>
          <t>Аренда · Загородная · Коттедж</t>
        </is>
      </c>
      <c r="D1592" t="inlineStr">
        <is>
          <t>Премиум, ₽/сут</t>
        </is>
      </c>
      <c r="E1592" t="inlineStr">
        <is>
          <t>—</t>
        </is>
      </c>
    </row>
    <row r="1593">
      <c r="A1593" t="inlineStr">
        <is>
          <t>CIAN</t>
        </is>
      </c>
      <c r="B1593" t="inlineStr">
        <is>
          <t>Воронеж</t>
        </is>
      </c>
      <c r="C1593" t="inlineStr">
        <is>
          <t>Аренда · Загородная · Коттедж</t>
        </is>
      </c>
      <c r="D1593" t="inlineStr">
        <is>
          <t>Стандарт, ₽/сут</t>
        </is>
      </c>
      <c r="E1593" t="inlineStr">
        <is>
          <t>—</t>
        </is>
      </c>
    </row>
    <row r="1594">
      <c r="A1594" t="inlineStr">
        <is>
          <t>CIAN</t>
        </is>
      </c>
      <c r="B1594" t="inlineStr">
        <is>
          <t>Пермь</t>
        </is>
      </c>
      <c r="C1594" t="inlineStr">
        <is>
          <t>Аренда · Загородная · Коттедж</t>
        </is>
      </c>
      <c r="D1594" t="inlineStr">
        <is>
          <t>Публикация, ₽/30 дн</t>
        </is>
      </c>
      <c r="E1594" t="n">
        <v>117</v>
      </c>
    </row>
    <row r="1595">
      <c r="A1595" t="inlineStr">
        <is>
          <t>CIAN</t>
        </is>
      </c>
      <c r="B1595" t="inlineStr">
        <is>
          <t>Пермь</t>
        </is>
      </c>
      <c r="C1595" t="inlineStr">
        <is>
          <t>Аренда · Загородная · Коттедж</t>
        </is>
      </c>
      <c r="D1595" t="inlineStr">
        <is>
          <t>Топ, ₽/сут</t>
        </is>
      </c>
      <c r="E1595" t="inlineStr">
        <is>
          <t>—</t>
        </is>
      </c>
    </row>
    <row r="1596">
      <c r="A1596" t="inlineStr">
        <is>
          <t>CIAN</t>
        </is>
      </c>
      <c r="B1596" t="inlineStr">
        <is>
          <t>Пермь</t>
        </is>
      </c>
      <c r="C1596" t="inlineStr">
        <is>
          <t>Аренда · Загородная · Коттедж</t>
        </is>
      </c>
      <c r="D1596" t="inlineStr">
        <is>
          <t>Премиум, ₽/сут</t>
        </is>
      </c>
      <c r="E1596" t="inlineStr">
        <is>
          <t>—</t>
        </is>
      </c>
    </row>
    <row r="1597">
      <c r="A1597" t="inlineStr">
        <is>
          <t>CIAN</t>
        </is>
      </c>
      <c r="B1597" t="inlineStr">
        <is>
          <t>Пермь</t>
        </is>
      </c>
      <c r="C1597" t="inlineStr">
        <is>
          <t>Аренда · Загородная · Коттедж</t>
        </is>
      </c>
      <c r="D1597" t="inlineStr">
        <is>
          <t>Стандарт, ₽/сут</t>
        </is>
      </c>
      <c r="E1597" t="inlineStr">
        <is>
          <t>—</t>
        </is>
      </c>
    </row>
    <row r="1598">
      <c r="A1598" t="inlineStr">
        <is>
          <t>CIAN</t>
        </is>
      </c>
      <c r="B1598" t="inlineStr">
        <is>
          <t>Волгоград</t>
        </is>
      </c>
      <c r="C1598" t="inlineStr">
        <is>
          <t>Аренда · Загородная · Коттедж</t>
        </is>
      </c>
      <c r="D1598" t="inlineStr">
        <is>
          <t>Публикация, ₽/30 дн</t>
        </is>
      </c>
      <c r="E1598" t="n">
        <v>117</v>
      </c>
    </row>
    <row r="1599">
      <c r="A1599" t="inlineStr">
        <is>
          <t>CIAN</t>
        </is>
      </c>
      <c r="B1599" t="inlineStr">
        <is>
          <t>Волгоград</t>
        </is>
      </c>
      <c r="C1599" t="inlineStr">
        <is>
          <t>Аренда · Загородная · Коттедж</t>
        </is>
      </c>
      <c r="D1599" t="inlineStr">
        <is>
          <t>Топ, ₽/сут</t>
        </is>
      </c>
      <c r="E1599" t="inlineStr">
        <is>
          <t>—</t>
        </is>
      </c>
    </row>
    <row r="1600">
      <c r="A1600" t="inlineStr">
        <is>
          <t>CIAN</t>
        </is>
      </c>
      <c r="B1600" t="inlineStr">
        <is>
          <t>Волгоград</t>
        </is>
      </c>
      <c r="C1600" t="inlineStr">
        <is>
          <t>Аренда · Загородная · Коттедж</t>
        </is>
      </c>
      <c r="D1600" t="inlineStr">
        <is>
          <t>Премиум, ₽/сут</t>
        </is>
      </c>
      <c r="E1600" t="inlineStr">
        <is>
          <t>—</t>
        </is>
      </c>
    </row>
    <row r="1601">
      <c r="A1601" t="inlineStr">
        <is>
          <t>CIAN</t>
        </is>
      </c>
      <c r="B1601" t="inlineStr">
        <is>
          <t>Волгоград</t>
        </is>
      </c>
      <c r="C1601" t="inlineStr">
        <is>
          <t>Аренда · Загородная · Коттедж</t>
        </is>
      </c>
      <c r="D1601" t="inlineStr">
        <is>
          <t>Стандарт, ₽/сут</t>
        </is>
      </c>
      <c r="E1601" t="inlineStr">
        <is>
          <t>—</t>
        </is>
      </c>
    </row>
    <row r="1602">
      <c r="A1602" t="inlineStr">
        <is>
          <t>CIAN</t>
        </is>
      </c>
      <c r="B1602" t="inlineStr">
        <is>
          <t>Москва</t>
        </is>
      </c>
      <c r="C1602" t="inlineStr">
        <is>
          <t>Аренда · Загородная · Дом/Дача</t>
        </is>
      </c>
      <c r="D1602" t="inlineStr">
        <is>
          <t>Публикация, ₽/30 дн</t>
        </is>
      </c>
      <c r="E1602" t="n">
        <v>1326</v>
      </c>
    </row>
    <row r="1603">
      <c r="A1603" t="inlineStr">
        <is>
          <t>CIAN</t>
        </is>
      </c>
      <c r="B1603" t="inlineStr">
        <is>
          <t>Москва</t>
        </is>
      </c>
      <c r="C1603" t="inlineStr">
        <is>
          <t>Аренда · Загородная · Дом/Дача</t>
        </is>
      </c>
      <c r="D1603" t="inlineStr">
        <is>
          <t>Топ, ₽/сут</t>
        </is>
      </c>
      <c r="E1603" t="n">
        <v>695</v>
      </c>
    </row>
    <row r="1604">
      <c r="A1604" t="inlineStr">
        <is>
          <t>CIAN</t>
        </is>
      </c>
      <c r="B1604" t="inlineStr">
        <is>
          <t>Москва</t>
        </is>
      </c>
      <c r="C1604" t="inlineStr">
        <is>
          <t>Аренда · Загородная · Дом/Дача</t>
        </is>
      </c>
      <c r="D1604" t="inlineStr">
        <is>
          <t>Премиум, ₽/сут</t>
        </is>
      </c>
      <c r="E1604" t="n">
        <v>256</v>
      </c>
    </row>
    <row r="1605">
      <c r="A1605" t="inlineStr">
        <is>
          <t>CIAN</t>
        </is>
      </c>
      <c r="B1605" t="inlineStr">
        <is>
          <t>Москва</t>
        </is>
      </c>
      <c r="C1605" t="inlineStr">
        <is>
          <t>Аренда · Загородная · Дом/Дача</t>
        </is>
      </c>
      <c r="D1605" t="inlineStr">
        <is>
          <t>Стандарт, ₽/сут</t>
        </is>
      </c>
      <c r="E1605" t="n">
        <v>140</v>
      </c>
    </row>
    <row r="1606">
      <c r="A1606" t="inlineStr">
        <is>
          <t>CIAN</t>
        </is>
      </c>
      <c r="B1606" t="inlineStr">
        <is>
          <t>Санкт-Петербург</t>
        </is>
      </c>
      <c r="C1606" t="inlineStr">
        <is>
          <t>Аренда · Загородная · Дом/Дача</t>
        </is>
      </c>
      <c r="D1606" t="inlineStr">
        <is>
          <t>Публикация, ₽/30 дн</t>
        </is>
      </c>
      <c r="E1606" t="n">
        <v>243</v>
      </c>
    </row>
    <row r="1607">
      <c r="A1607" t="inlineStr">
        <is>
          <t>CIAN</t>
        </is>
      </c>
      <c r="B1607" t="inlineStr">
        <is>
          <t>Санкт-Петербург</t>
        </is>
      </c>
      <c r="C1607" t="inlineStr">
        <is>
          <t>Аренда · Загородная · Дом/Дача</t>
        </is>
      </c>
      <c r="D1607" t="inlineStr">
        <is>
          <t>Топ, ₽/сут</t>
        </is>
      </c>
      <c r="E1607" t="n">
        <v>310</v>
      </c>
    </row>
    <row r="1608">
      <c r="A1608" t="inlineStr">
        <is>
          <t>CIAN</t>
        </is>
      </c>
      <c r="B1608" t="inlineStr">
        <is>
          <t>Санкт-Петербург</t>
        </is>
      </c>
      <c r="C1608" t="inlineStr">
        <is>
          <t>Аренда · Загородная · Дом/Дача</t>
        </is>
      </c>
      <c r="D1608" t="inlineStr">
        <is>
          <t>Премиум, ₽/сут</t>
        </is>
      </c>
      <c r="E1608" t="n">
        <v>127</v>
      </c>
    </row>
    <row r="1609">
      <c r="A1609" t="inlineStr">
        <is>
          <t>CIAN</t>
        </is>
      </c>
      <c r="B1609" t="inlineStr">
        <is>
          <t>Санкт-Петербург</t>
        </is>
      </c>
      <c r="C1609" t="inlineStr">
        <is>
          <t>Аренда · Загородная · Дом/Дача</t>
        </is>
      </c>
      <c r="D1609" t="inlineStr">
        <is>
          <t>Стандарт, ₽/сут</t>
        </is>
      </c>
      <c r="E1609" t="n">
        <v>40</v>
      </c>
    </row>
    <row r="1610">
      <c r="A1610" t="inlineStr">
        <is>
          <t>CIAN</t>
        </is>
      </c>
      <c r="B1610" t="inlineStr">
        <is>
          <t>Новосибирск</t>
        </is>
      </c>
      <c r="C1610" t="inlineStr">
        <is>
          <t>Аренда · Загородная · Дом/Дача</t>
        </is>
      </c>
      <c r="D1610" t="inlineStr">
        <is>
          <t>Публикация, ₽/30 дн</t>
        </is>
      </c>
      <c r="E1610" t="n">
        <v>225</v>
      </c>
    </row>
    <row r="1611">
      <c r="A1611" t="inlineStr">
        <is>
          <t>CIAN</t>
        </is>
      </c>
      <c r="B1611" t="inlineStr">
        <is>
          <t>Новосибирск</t>
        </is>
      </c>
      <c r="C1611" t="inlineStr">
        <is>
          <t>Аренда · Загородная · Дом/Дача</t>
        </is>
      </c>
      <c r="D1611" t="inlineStr">
        <is>
          <t>Топ, ₽/сут</t>
        </is>
      </c>
      <c r="E1611" t="n">
        <v>490</v>
      </c>
    </row>
    <row r="1612">
      <c r="A1612" t="inlineStr">
        <is>
          <t>CIAN</t>
        </is>
      </c>
      <c r="B1612" t="inlineStr">
        <is>
          <t>Новосибирск</t>
        </is>
      </c>
      <c r="C1612" t="inlineStr">
        <is>
          <t>Аренда · Загородная · Дом/Дача</t>
        </is>
      </c>
      <c r="D1612" t="inlineStr">
        <is>
          <t>Премиум, ₽/сут</t>
        </is>
      </c>
      <c r="E1612" t="n">
        <v>208</v>
      </c>
    </row>
    <row r="1613">
      <c r="A1613" t="inlineStr">
        <is>
          <t>CIAN</t>
        </is>
      </c>
      <c r="B1613" t="inlineStr">
        <is>
          <t>Новосибирск</t>
        </is>
      </c>
      <c r="C1613" t="inlineStr">
        <is>
          <t>Аренда · Загородная · Дом/Дача</t>
        </is>
      </c>
      <c r="D1613" t="inlineStr">
        <is>
          <t>Стандарт, ₽/сут</t>
        </is>
      </c>
      <c r="E1613" t="n">
        <v>65</v>
      </c>
    </row>
    <row r="1614">
      <c r="A1614" t="inlineStr">
        <is>
          <t>CIAN</t>
        </is>
      </c>
      <c r="B1614" t="inlineStr">
        <is>
          <t>Екатеринбург</t>
        </is>
      </c>
      <c r="C1614" t="inlineStr">
        <is>
          <t>Аренда · Загородная · Дом/Дача</t>
        </is>
      </c>
      <c r="D1614" t="inlineStr">
        <is>
          <t>Публикация, ₽/30 дн</t>
        </is>
      </c>
      <c r="E1614" t="n">
        <v>312</v>
      </c>
    </row>
    <row r="1615">
      <c r="A1615" t="inlineStr">
        <is>
          <t>CIAN</t>
        </is>
      </c>
      <c r="B1615" t="inlineStr">
        <is>
          <t>Екатеринбург</t>
        </is>
      </c>
      <c r="C1615" t="inlineStr">
        <is>
          <t>Аренда · Загородная · Дом/Дача</t>
        </is>
      </c>
      <c r="D1615" t="inlineStr">
        <is>
          <t>Топ, ₽/сут</t>
        </is>
      </c>
      <c r="E1615" t="n">
        <v>456</v>
      </c>
    </row>
    <row r="1616">
      <c r="A1616" t="inlineStr">
        <is>
          <t>CIAN</t>
        </is>
      </c>
      <c r="B1616" t="inlineStr">
        <is>
          <t>Екатеринбург</t>
        </is>
      </c>
      <c r="C1616" t="inlineStr">
        <is>
          <t>Аренда · Загородная · Дом/Дача</t>
        </is>
      </c>
      <c r="D1616" t="inlineStr">
        <is>
          <t>Премиум, ₽/сут</t>
        </is>
      </c>
      <c r="E1616" t="n">
        <v>220</v>
      </c>
    </row>
    <row r="1617">
      <c r="A1617" t="inlineStr">
        <is>
          <t>CIAN</t>
        </is>
      </c>
      <c r="B1617" t="inlineStr">
        <is>
          <t>Екатеринбург</t>
        </is>
      </c>
      <c r="C1617" t="inlineStr">
        <is>
          <t>Аренда · Загородная · Дом/Дача</t>
        </is>
      </c>
      <c r="D1617" t="inlineStr">
        <is>
          <t>Стандарт, ₽/сут</t>
        </is>
      </c>
      <c r="E1617" t="n">
        <v>68</v>
      </c>
    </row>
    <row r="1618">
      <c r="A1618" t="inlineStr">
        <is>
          <t>CIAN</t>
        </is>
      </c>
      <c r="B1618" t="inlineStr">
        <is>
          <t>Казань</t>
        </is>
      </c>
      <c r="C1618" t="inlineStr">
        <is>
          <t>Аренда · Загородная · Дом/Дача</t>
        </is>
      </c>
      <c r="D1618" t="inlineStr">
        <is>
          <t>Публикация, ₽/30 дн</t>
        </is>
      </c>
      <c r="E1618" t="n">
        <v>63</v>
      </c>
    </row>
    <row r="1619">
      <c r="A1619" t="inlineStr">
        <is>
          <t>CIAN</t>
        </is>
      </c>
      <c r="B1619" t="inlineStr">
        <is>
          <t>Казань</t>
        </is>
      </c>
      <c r="C1619" t="inlineStr">
        <is>
          <t>Аренда · Загородная · Дом/Дача</t>
        </is>
      </c>
      <c r="D1619" t="inlineStr">
        <is>
          <t>Топ, ₽/сут</t>
        </is>
      </c>
      <c r="E1619" t="n">
        <v>152</v>
      </c>
    </row>
    <row r="1620">
      <c r="A1620" t="inlineStr">
        <is>
          <t>CIAN</t>
        </is>
      </c>
      <c r="B1620" t="inlineStr">
        <is>
          <t>Казань</t>
        </is>
      </c>
      <c r="C1620" t="inlineStr">
        <is>
          <t>Аренда · Загородная · Дом/Дача</t>
        </is>
      </c>
      <c r="D1620" t="inlineStr">
        <is>
          <t>Премиум, ₽/сут</t>
        </is>
      </c>
      <c r="E1620" t="n">
        <v>60</v>
      </c>
    </row>
    <row r="1621">
      <c r="A1621" t="inlineStr">
        <is>
          <t>CIAN</t>
        </is>
      </c>
      <c r="B1621" t="inlineStr">
        <is>
          <t>Казань</t>
        </is>
      </c>
      <c r="C1621" t="inlineStr">
        <is>
          <t>Аренда · Загородная · Дом/Дача</t>
        </is>
      </c>
      <c r="D1621" t="inlineStr">
        <is>
          <t>Стандарт, ₽/сут</t>
        </is>
      </c>
      <c r="E1621" t="n">
        <v>19</v>
      </c>
    </row>
    <row r="1622">
      <c r="A1622" t="inlineStr">
        <is>
          <t>CIAN</t>
        </is>
      </c>
      <c r="B1622" t="inlineStr">
        <is>
          <t>Красноярск</t>
        </is>
      </c>
      <c r="C1622" t="inlineStr">
        <is>
          <t>Аренда · Загородная · Дом/Дача</t>
        </is>
      </c>
      <c r="D1622" t="inlineStr">
        <is>
          <t>Публикация, ₽/30 дн</t>
        </is>
      </c>
      <c r="E1622" t="n">
        <v>294</v>
      </c>
    </row>
    <row r="1623">
      <c r="A1623" t="inlineStr">
        <is>
          <t>CIAN</t>
        </is>
      </c>
      <c r="B1623" t="inlineStr">
        <is>
          <t>Красноярск</t>
        </is>
      </c>
      <c r="C1623" t="inlineStr">
        <is>
          <t>Аренда · Загородная · Дом/Дача</t>
        </is>
      </c>
      <c r="D1623" t="inlineStr">
        <is>
          <t>Топ, ₽/сут</t>
        </is>
      </c>
      <c r="E1623" t="inlineStr">
        <is>
          <t>—</t>
        </is>
      </c>
    </row>
    <row r="1624">
      <c r="A1624" t="inlineStr">
        <is>
          <t>CIAN</t>
        </is>
      </c>
      <c r="B1624" t="inlineStr">
        <is>
          <t>Красноярск</t>
        </is>
      </c>
      <c r="C1624" t="inlineStr">
        <is>
          <t>Аренда · Загородная · Дом/Дача</t>
        </is>
      </c>
      <c r="D1624" t="inlineStr">
        <is>
          <t>Премиум, ₽/сут</t>
        </is>
      </c>
      <c r="E1624" t="inlineStr">
        <is>
          <t>—</t>
        </is>
      </c>
    </row>
    <row r="1625">
      <c r="A1625" t="inlineStr">
        <is>
          <t>CIAN</t>
        </is>
      </c>
      <c r="B1625" t="inlineStr">
        <is>
          <t>Красноярск</t>
        </is>
      </c>
      <c r="C1625" t="inlineStr">
        <is>
          <t>Аренда · Загородная · Дом/Дача</t>
        </is>
      </c>
      <c r="D1625" t="inlineStr">
        <is>
          <t>Стандарт, ₽/сут</t>
        </is>
      </c>
      <c r="E1625" t="inlineStr">
        <is>
          <t>—</t>
        </is>
      </c>
    </row>
    <row r="1626">
      <c r="A1626" t="inlineStr">
        <is>
          <t>CIAN</t>
        </is>
      </c>
      <c r="B1626" t="inlineStr">
        <is>
          <t>Нижний Новгород</t>
        </is>
      </c>
      <c r="C1626" t="inlineStr">
        <is>
          <t>Аренда · Загородная · Дом/Дача</t>
        </is>
      </c>
      <c r="D1626" t="inlineStr">
        <is>
          <t>Публикация, ₽/30 дн</t>
        </is>
      </c>
      <c r="E1626" t="n">
        <v>165</v>
      </c>
    </row>
    <row r="1627">
      <c r="A1627" t="inlineStr">
        <is>
          <t>CIAN</t>
        </is>
      </c>
      <c r="B1627" t="inlineStr">
        <is>
          <t>Нижний Новгород</t>
        </is>
      </c>
      <c r="C1627" t="inlineStr">
        <is>
          <t>Аренда · Загородная · Дом/Дача</t>
        </is>
      </c>
      <c r="D1627" t="inlineStr">
        <is>
          <t>Топ, ₽/сут</t>
        </is>
      </c>
      <c r="E1627" t="n">
        <v>148</v>
      </c>
    </row>
    <row r="1628">
      <c r="A1628" t="inlineStr">
        <is>
          <t>CIAN</t>
        </is>
      </c>
      <c r="B1628" t="inlineStr">
        <is>
          <t>Нижний Новгород</t>
        </is>
      </c>
      <c r="C1628" t="inlineStr">
        <is>
          <t>Аренда · Загородная · Дом/Дача</t>
        </is>
      </c>
      <c r="D1628" t="inlineStr">
        <is>
          <t>Премиум, ₽/сут</t>
        </is>
      </c>
      <c r="E1628" t="n">
        <v>66</v>
      </c>
    </row>
    <row r="1629">
      <c r="A1629" t="inlineStr">
        <is>
          <t>CIAN</t>
        </is>
      </c>
      <c r="B1629" t="inlineStr">
        <is>
          <t>Нижний Новгород</t>
        </is>
      </c>
      <c r="C1629" t="inlineStr">
        <is>
          <t>Аренда · Загородная · Дом/Дача</t>
        </is>
      </c>
      <c r="D1629" t="inlineStr">
        <is>
          <t>Стандарт, ₽/сут</t>
        </is>
      </c>
      <c r="E1629" t="n">
        <v>18</v>
      </c>
    </row>
    <row r="1630">
      <c r="A1630" t="inlineStr">
        <is>
          <t>CIAN</t>
        </is>
      </c>
      <c r="B1630" t="inlineStr">
        <is>
          <t>Челябинск</t>
        </is>
      </c>
      <c r="C1630" t="inlineStr">
        <is>
          <t>Аренда · Загородная · Дом/Дача</t>
        </is>
      </c>
      <c r="D1630" t="inlineStr">
        <is>
          <t>Публикация, ₽/30 дн</t>
        </is>
      </c>
      <c r="E1630" t="n">
        <v>222</v>
      </c>
    </row>
    <row r="1631">
      <c r="A1631" t="inlineStr">
        <is>
          <t>CIAN</t>
        </is>
      </c>
      <c r="B1631" t="inlineStr">
        <is>
          <t>Челябинск</t>
        </is>
      </c>
      <c r="C1631" t="inlineStr">
        <is>
          <t>Аренда · Загородная · Дом/Дача</t>
        </is>
      </c>
      <c r="D1631" t="inlineStr">
        <is>
          <t>Топ, ₽/сут</t>
        </is>
      </c>
      <c r="E1631" t="n">
        <v>220</v>
      </c>
    </row>
    <row r="1632">
      <c r="A1632" t="inlineStr">
        <is>
          <t>CIAN</t>
        </is>
      </c>
      <c r="B1632" t="inlineStr">
        <is>
          <t>Челябинск</t>
        </is>
      </c>
      <c r="C1632" t="inlineStr">
        <is>
          <t>Аренда · Загородная · Дом/Дача</t>
        </is>
      </c>
      <c r="D1632" t="inlineStr">
        <is>
          <t>Премиум, ₽/сут</t>
        </is>
      </c>
      <c r="E1632" t="n">
        <v>101</v>
      </c>
    </row>
    <row r="1633">
      <c r="A1633" t="inlineStr">
        <is>
          <t>CIAN</t>
        </is>
      </c>
      <c r="B1633" t="inlineStr">
        <is>
          <t>Челябинск</t>
        </is>
      </c>
      <c r="C1633" t="inlineStr">
        <is>
          <t>Аренда · Загородная · Дом/Дача</t>
        </is>
      </c>
      <c r="D1633" t="inlineStr">
        <is>
          <t>Стандарт, ₽/сут</t>
        </is>
      </c>
      <c r="E1633" t="n">
        <v>30</v>
      </c>
    </row>
    <row r="1634">
      <c r="A1634" t="inlineStr">
        <is>
          <t>CIAN</t>
        </is>
      </c>
      <c r="B1634" t="inlineStr">
        <is>
          <t>Уфа</t>
        </is>
      </c>
      <c r="C1634" t="inlineStr">
        <is>
          <t>Аренда · Загородная · Дом/Дача</t>
        </is>
      </c>
      <c r="D1634" t="inlineStr">
        <is>
          <t>Публикация, ₽/30 дн</t>
        </is>
      </c>
      <c r="E1634" t="n">
        <v>144</v>
      </c>
    </row>
    <row r="1635">
      <c r="A1635" t="inlineStr">
        <is>
          <t>CIAN</t>
        </is>
      </c>
      <c r="B1635" t="inlineStr">
        <is>
          <t>Уфа</t>
        </is>
      </c>
      <c r="C1635" t="inlineStr">
        <is>
          <t>Аренда · Загородная · Дом/Дача</t>
        </is>
      </c>
      <c r="D1635" t="inlineStr">
        <is>
          <t>Топ, ₽/сут</t>
        </is>
      </c>
      <c r="E1635" t="n">
        <v>133</v>
      </c>
    </row>
    <row r="1636">
      <c r="A1636" t="inlineStr">
        <is>
          <t>CIAN</t>
        </is>
      </c>
      <c r="B1636" t="inlineStr">
        <is>
          <t>Уфа</t>
        </is>
      </c>
      <c r="C1636" t="inlineStr">
        <is>
          <t>Аренда · Загородная · Дом/Дача</t>
        </is>
      </c>
      <c r="D1636" t="inlineStr">
        <is>
          <t>Премиум, ₽/сут</t>
        </is>
      </c>
      <c r="E1636" t="n">
        <v>53</v>
      </c>
    </row>
    <row r="1637">
      <c r="A1637" t="inlineStr">
        <is>
          <t>CIAN</t>
        </is>
      </c>
      <c r="B1637" t="inlineStr">
        <is>
          <t>Уфа</t>
        </is>
      </c>
      <c r="C1637" t="inlineStr">
        <is>
          <t>Аренда · Загородная · Дом/Дача</t>
        </is>
      </c>
      <c r="D1637" t="inlineStr">
        <is>
          <t>Стандарт, ₽/сут</t>
        </is>
      </c>
      <c r="E1637" t="n">
        <v>18</v>
      </c>
    </row>
    <row r="1638">
      <c r="A1638" t="inlineStr">
        <is>
          <t>CIAN</t>
        </is>
      </c>
      <c r="B1638" t="inlineStr">
        <is>
          <t>Краснодар</t>
        </is>
      </c>
      <c r="C1638" t="inlineStr">
        <is>
          <t>Аренда · Загородная · Дом/Дача</t>
        </is>
      </c>
      <c r="D1638" t="inlineStr">
        <is>
          <t>Публикация, ₽/30 дн</t>
        </is>
      </c>
      <c r="E1638" t="n">
        <v>162</v>
      </c>
    </row>
    <row r="1639">
      <c r="A1639" t="inlineStr">
        <is>
          <t>CIAN</t>
        </is>
      </c>
      <c r="B1639" t="inlineStr">
        <is>
          <t>Краснодар</t>
        </is>
      </c>
      <c r="C1639" t="inlineStr">
        <is>
          <t>Аренда · Загородная · Дом/Дача</t>
        </is>
      </c>
      <c r="D1639" t="inlineStr">
        <is>
          <t>Топ, ₽/сут</t>
        </is>
      </c>
      <c r="E1639" t="n">
        <v>182</v>
      </c>
    </row>
    <row r="1640">
      <c r="A1640" t="inlineStr">
        <is>
          <t>CIAN</t>
        </is>
      </c>
      <c r="B1640" t="inlineStr">
        <is>
          <t>Краснодар</t>
        </is>
      </c>
      <c r="C1640" t="inlineStr">
        <is>
          <t>Аренда · Загородная · Дом/Дача</t>
        </is>
      </c>
      <c r="D1640" t="inlineStr">
        <is>
          <t>Премиум, ₽/сут</t>
        </is>
      </c>
      <c r="E1640" t="n">
        <v>68</v>
      </c>
    </row>
    <row r="1641">
      <c r="A1641" t="inlineStr">
        <is>
          <t>CIAN</t>
        </is>
      </c>
      <c r="B1641" t="inlineStr">
        <is>
          <t>Краснодар</t>
        </is>
      </c>
      <c r="C1641" t="inlineStr">
        <is>
          <t>Аренда · Загородная · Дом/Дача</t>
        </is>
      </c>
      <c r="D1641" t="inlineStr">
        <is>
          <t>Стандарт, ₽/сут</t>
        </is>
      </c>
      <c r="E1641" t="n">
        <v>21</v>
      </c>
    </row>
    <row r="1642">
      <c r="A1642" t="inlineStr">
        <is>
          <t>CIAN</t>
        </is>
      </c>
      <c r="B1642" t="inlineStr">
        <is>
          <t>Самара</t>
        </is>
      </c>
      <c r="C1642" t="inlineStr">
        <is>
          <t>Аренда · Загородная · Дом/Дача</t>
        </is>
      </c>
      <c r="D1642" t="inlineStr">
        <is>
          <t>Публикация, ₽/30 дн</t>
        </is>
      </c>
      <c r="E1642" t="n">
        <v>141</v>
      </c>
    </row>
    <row r="1643">
      <c r="A1643" t="inlineStr">
        <is>
          <t>CIAN</t>
        </is>
      </c>
      <c r="B1643" t="inlineStr">
        <is>
          <t>Самара</t>
        </is>
      </c>
      <c r="C1643" t="inlineStr">
        <is>
          <t>Аренда · Загородная · Дом/Дача</t>
        </is>
      </c>
      <c r="D1643" t="inlineStr">
        <is>
          <t>Топ, ₽/сут</t>
        </is>
      </c>
      <c r="E1643" t="inlineStr">
        <is>
          <t>—</t>
        </is>
      </c>
    </row>
    <row r="1644">
      <c r="A1644" t="inlineStr">
        <is>
          <t>CIAN</t>
        </is>
      </c>
      <c r="B1644" t="inlineStr">
        <is>
          <t>Самара</t>
        </is>
      </c>
      <c r="C1644" t="inlineStr">
        <is>
          <t>Аренда · Загородная · Дом/Дача</t>
        </is>
      </c>
      <c r="D1644" t="inlineStr">
        <is>
          <t>Премиум, ₽/сут</t>
        </is>
      </c>
      <c r="E1644" t="inlineStr">
        <is>
          <t>—</t>
        </is>
      </c>
    </row>
    <row r="1645">
      <c r="A1645" t="inlineStr">
        <is>
          <t>CIAN</t>
        </is>
      </c>
      <c r="B1645" t="inlineStr">
        <is>
          <t>Самара</t>
        </is>
      </c>
      <c r="C1645" t="inlineStr">
        <is>
          <t>Аренда · Загородная · Дом/Дача</t>
        </is>
      </c>
      <c r="D1645" t="inlineStr">
        <is>
          <t>Стандарт, ₽/сут</t>
        </is>
      </c>
      <c r="E1645" t="inlineStr">
        <is>
          <t>—</t>
        </is>
      </c>
    </row>
    <row r="1646">
      <c r="A1646" t="inlineStr">
        <is>
          <t>CIAN</t>
        </is>
      </c>
      <c r="B1646" t="inlineStr">
        <is>
          <t>Ростов-на-Дону</t>
        </is>
      </c>
      <c r="C1646" t="inlineStr">
        <is>
          <t>Аренда · Загородная · Дом/Дача</t>
        </is>
      </c>
      <c r="D1646" t="inlineStr">
        <is>
          <t>Публикация, ₽/30 дн</t>
        </is>
      </c>
      <c r="E1646" t="n">
        <v>51</v>
      </c>
    </row>
    <row r="1647">
      <c r="A1647" t="inlineStr">
        <is>
          <t>CIAN</t>
        </is>
      </c>
      <c r="B1647" t="inlineStr">
        <is>
          <t>Ростов-на-Дону</t>
        </is>
      </c>
      <c r="C1647" t="inlineStr">
        <is>
          <t>Аренда · Загородная · Дом/Дача</t>
        </is>
      </c>
      <c r="D1647" t="inlineStr">
        <is>
          <t>Топ, ₽/сут</t>
        </is>
      </c>
      <c r="E1647" t="n">
        <v>179</v>
      </c>
    </row>
    <row r="1648">
      <c r="A1648" t="inlineStr">
        <is>
          <t>CIAN</t>
        </is>
      </c>
      <c r="B1648" t="inlineStr">
        <is>
          <t>Ростов-на-Дону</t>
        </is>
      </c>
      <c r="C1648" t="inlineStr">
        <is>
          <t>Аренда · Загородная · Дом/Дача</t>
        </is>
      </c>
      <c r="D1648" t="inlineStr">
        <is>
          <t>Премиум, ₽/сут</t>
        </is>
      </c>
      <c r="E1648" t="n">
        <v>70</v>
      </c>
    </row>
    <row r="1649">
      <c r="A1649" t="inlineStr">
        <is>
          <t>CIAN</t>
        </is>
      </c>
      <c r="B1649" t="inlineStr">
        <is>
          <t>Ростов-на-Дону</t>
        </is>
      </c>
      <c r="C1649" t="inlineStr">
        <is>
          <t>Аренда · Загородная · Дом/Дача</t>
        </is>
      </c>
      <c r="D1649" t="inlineStr">
        <is>
          <t>Стандарт, ₽/сут</t>
        </is>
      </c>
      <c r="E1649" t="n">
        <v>22</v>
      </c>
    </row>
    <row r="1650">
      <c r="A1650" t="inlineStr">
        <is>
          <t>CIAN</t>
        </is>
      </c>
      <c r="B1650" t="inlineStr">
        <is>
          <t>Омск</t>
        </is>
      </c>
      <c r="C1650" t="inlineStr">
        <is>
          <t>Аренда · Загородная · Дом/Дача</t>
        </is>
      </c>
      <c r="D1650" t="inlineStr">
        <is>
          <t>Публикация, ₽/30 дн</t>
        </is>
      </c>
      <c r="E1650" t="n">
        <v>45</v>
      </c>
    </row>
    <row r="1651">
      <c r="A1651" t="inlineStr">
        <is>
          <t>CIAN</t>
        </is>
      </c>
      <c r="B1651" t="inlineStr">
        <is>
          <t>Омск</t>
        </is>
      </c>
      <c r="C1651" t="inlineStr">
        <is>
          <t>Аренда · Загородная · Дом/Дача</t>
        </is>
      </c>
      <c r="D1651" t="inlineStr">
        <is>
          <t>Топ, ₽/сут</t>
        </is>
      </c>
      <c r="E1651" t="n">
        <v>171</v>
      </c>
    </row>
    <row r="1652">
      <c r="A1652" t="inlineStr">
        <is>
          <t>CIAN</t>
        </is>
      </c>
      <c r="B1652" t="inlineStr">
        <is>
          <t>Омск</t>
        </is>
      </c>
      <c r="C1652" t="inlineStr">
        <is>
          <t>Аренда · Загородная · Дом/Дача</t>
        </is>
      </c>
      <c r="D1652" t="inlineStr">
        <is>
          <t>Премиум, ₽/сут</t>
        </is>
      </c>
      <c r="E1652" t="n">
        <v>94</v>
      </c>
    </row>
    <row r="1653">
      <c r="A1653" t="inlineStr">
        <is>
          <t>CIAN</t>
        </is>
      </c>
      <c r="B1653" t="inlineStr">
        <is>
          <t>Омск</t>
        </is>
      </c>
      <c r="C1653" t="inlineStr">
        <is>
          <t>Аренда · Загородная · Дом/Дача</t>
        </is>
      </c>
      <c r="D1653" t="inlineStr">
        <is>
          <t>Стандарт, ₽/сут</t>
        </is>
      </c>
      <c r="E1653" t="n">
        <v>29</v>
      </c>
    </row>
    <row r="1654">
      <c r="A1654" t="inlineStr">
        <is>
          <t>CIAN</t>
        </is>
      </c>
      <c r="B1654" t="inlineStr">
        <is>
          <t>Воронеж</t>
        </is>
      </c>
      <c r="C1654" t="inlineStr">
        <is>
          <t>Аренда · Загородная · Дом/Дача</t>
        </is>
      </c>
      <c r="D1654" t="inlineStr">
        <is>
          <t>Публикация, ₽/30 дн</t>
        </is>
      </c>
      <c r="E1654" t="n">
        <v>24</v>
      </c>
    </row>
    <row r="1655">
      <c r="A1655" t="inlineStr">
        <is>
          <t>CIAN</t>
        </is>
      </c>
      <c r="B1655" t="inlineStr">
        <is>
          <t>Воронеж</t>
        </is>
      </c>
      <c r="C1655" t="inlineStr">
        <is>
          <t>Аренда · Загородная · Дом/Дача</t>
        </is>
      </c>
      <c r="D1655" t="inlineStr">
        <is>
          <t>Топ, ₽/сут</t>
        </is>
      </c>
      <c r="E1655" t="inlineStr">
        <is>
          <t>—</t>
        </is>
      </c>
    </row>
    <row r="1656">
      <c r="A1656" t="inlineStr">
        <is>
          <t>CIAN</t>
        </is>
      </c>
      <c r="B1656" t="inlineStr">
        <is>
          <t>Воронеж</t>
        </is>
      </c>
      <c r="C1656" t="inlineStr">
        <is>
          <t>Аренда · Загородная · Дом/Дача</t>
        </is>
      </c>
      <c r="D1656" t="inlineStr">
        <is>
          <t>Премиум, ₽/сут</t>
        </is>
      </c>
      <c r="E1656" t="inlineStr">
        <is>
          <t>—</t>
        </is>
      </c>
    </row>
    <row r="1657">
      <c r="A1657" t="inlineStr">
        <is>
          <t>CIAN</t>
        </is>
      </c>
      <c r="B1657" t="inlineStr">
        <is>
          <t>Воронеж</t>
        </is>
      </c>
      <c r="C1657" t="inlineStr">
        <is>
          <t>Аренда · Загородная · Дом/Дача</t>
        </is>
      </c>
      <c r="D1657" t="inlineStr">
        <is>
          <t>Стандарт, ₽/сут</t>
        </is>
      </c>
      <c r="E1657" t="inlineStr">
        <is>
          <t>—</t>
        </is>
      </c>
    </row>
    <row r="1658">
      <c r="A1658" t="inlineStr">
        <is>
          <t>CIAN</t>
        </is>
      </c>
      <c r="B1658" t="inlineStr">
        <is>
          <t>Пермь</t>
        </is>
      </c>
      <c r="C1658" t="inlineStr">
        <is>
          <t>Аренда · Загородная · Дом/Дача</t>
        </is>
      </c>
      <c r="D1658" t="inlineStr">
        <is>
          <t>Публикация, ₽/30 дн</t>
        </is>
      </c>
      <c r="E1658" t="n">
        <v>117</v>
      </c>
    </row>
    <row r="1659">
      <c r="A1659" t="inlineStr">
        <is>
          <t>CIAN</t>
        </is>
      </c>
      <c r="B1659" t="inlineStr">
        <is>
          <t>Пермь</t>
        </is>
      </c>
      <c r="C1659" t="inlineStr">
        <is>
          <t>Аренда · Загородная · Дом/Дача</t>
        </is>
      </c>
      <c r="D1659" t="inlineStr">
        <is>
          <t>Топ, ₽/сут</t>
        </is>
      </c>
      <c r="E1659" t="inlineStr">
        <is>
          <t>—</t>
        </is>
      </c>
    </row>
    <row r="1660">
      <c r="A1660" t="inlineStr">
        <is>
          <t>CIAN</t>
        </is>
      </c>
      <c r="B1660" t="inlineStr">
        <is>
          <t>Пермь</t>
        </is>
      </c>
      <c r="C1660" t="inlineStr">
        <is>
          <t>Аренда · Загородная · Дом/Дача</t>
        </is>
      </c>
      <c r="D1660" t="inlineStr">
        <is>
          <t>Премиум, ₽/сут</t>
        </is>
      </c>
      <c r="E1660" t="inlineStr">
        <is>
          <t>—</t>
        </is>
      </c>
    </row>
    <row r="1661">
      <c r="A1661" t="inlineStr">
        <is>
          <t>CIAN</t>
        </is>
      </c>
      <c r="B1661" t="inlineStr">
        <is>
          <t>Пермь</t>
        </is>
      </c>
      <c r="C1661" t="inlineStr">
        <is>
          <t>Аренда · Загородная · Дом/Дача</t>
        </is>
      </c>
      <c r="D1661" t="inlineStr">
        <is>
          <t>Стандарт, ₽/сут</t>
        </is>
      </c>
      <c r="E1661" t="inlineStr">
        <is>
          <t>—</t>
        </is>
      </c>
    </row>
    <row r="1662">
      <c r="A1662" t="inlineStr">
        <is>
          <t>CIAN</t>
        </is>
      </c>
      <c r="B1662" t="inlineStr">
        <is>
          <t>Волгоград</t>
        </is>
      </c>
      <c r="C1662" t="inlineStr">
        <is>
          <t>Аренда · Загородная · Дом/Дача</t>
        </is>
      </c>
      <c r="D1662" t="inlineStr">
        <is>
          <t>Публикация, ₽/30 дн</t>
        </is>
      </c>
      <c r="E1662" t="n">
        <v>117</v>
      </c>
    </row>
    <row r="1663">
      <c r="A1663" t="inlineStr">
        <is>
          <t>CIAN</t>
        </is>
      </c>
      <c r="B1663" t="inlineStr">
        <is>
          <t>Волгоград</t>
        </is>
      </c>
      <c r="C1663" t="inlineStr">
        <is>
          <t>Аренда · Загородная · Дом/Дача</t>
        </is>
      </c>
      <c r="D1663" t="inlineStr">
        <is>
          <t>Топ, ₽/сут</t>
        </is>
      </c>
      <c r="E1663" t="inlineStr">
        <is>
          <t>—</t>
        </is>
      </c>
    </row>
    <row r="1664">
      <c r="A1664" t="inlineStr">
        <is>
          <t>CIAN</t>
        </is>
      </c>
      <c r="B1664" t="inlineStr">
        <is>
          <t>Волгоград</t>
        </is>
      </c>
      <c r="C1664" t="inlineStr">
        <is>
          <t>Аренда · Загородная · Дом/Дача</t>
        </is>
      </c>
      <c r="D1664" t="inlineStr">
        <is>
          <t>Премиум, ₽/сут</t>
        </is>
      </c>
      <c r="E1664" t="inlineStr">
        <is>
          <t>—</t>
        </is>
      </c>
    </row>
    <row r="1665">
      <c r="A1665" t="inlineStr">
        <is>
          <t>CIAN</t>
        </is>
      </c>
      <c r="B1665" t="inlineStr">
        <is>
          <t>Волгоград</t>
        </is>
      </c>
      <c r="C1665" t="inlineStr">
        <is>
          <t>Аренда · Загородная · Дом/Дача</t>
        </is>
      </c>
      <c r="D1665" t="inlineStr">
        <is>
          <t>Стандарт, ₽/сут</t>
        </is>
      </c>
      <c r="E1665" t="inlineStr">
        <is>
          <t>—</t>
        </is>
      </c>
    </row>
    <row r="1666">
      <c r="A1666" t="inlineStr">
        <is>
          <t>CIAN</t>
        </is>
      </c>
      <c r="B1666" t="inlineStr">
        <is>
          <t>Москва</t>
        </is>
      </c>
      <c r="C1666" t="inlineStr">
        <is>
          <t>Аренда · Загородная · Таунхаус</t>
        </is>
      </c>
      <c r="D1666" t="inlineStr">
        <is>
          <t>Публикация, ₽/30 дн</t>
        </is>
      </c>
      <c r="E1666" t="n">
        <v>1326</v>
      </c>
    </row>
    <row r="1667">
      <c r="A1667" t="inlineStr">
        <is>
          <t>CIAN</t>
        </is>
      </c>
      <c r="B1667" t="inlineStr">
        <is>
          <t>Москва</t>
        </is>
      </c>
      <c r="C1667" t="inlineStr">
        <is>
          <t>Аренда · Загородная · Таунхаус</t>
        </is>
      </c>
      <c r="D1667" t="inlineStr">
        <is>
          <t>Топ, ₽/сут</t>
        </is>
      </c>
      <c r="E1667" t="n">
        <v>804</v>
      </c>
    </row>
    <row r="1668">
      <c r="A1668" t="inlineStr">
        <is>
          <t>CIAN</t>
        </is>
      </c>
      <c r="B1668" t="inlineStr">
        <is>
          <t>Москва</t>
        </is>
      </c>
      <c r="C1668" t="inlineStr">
        <is>
          <t>Аренда · Загородная · Таунхаус</t>
        </is>
      </c>
      <c r="D1668" t="inlineStr">
        <is>
          <t>Премиум, ₽/сут</t>
        </is>
      </c>
      <c r="E1668" t="n">
        <v>296</v>
      </c>
    </row>
    <row r="1669">
      <c r="A1669" t="inlineStr">
        <is>
          <t>CIAN</t>
        </is>
      </c>
      <c r="B1669" t="inlineStr">
        <is>
          <t>Москва</t>
        </is>
      </c>
      <c r="C1669" t="inlineStr">
        <is>
          <t>Аренда · Загородная · Таунхаус</t>
        </is>
      </c>
      <c r="D1669" t="inlineStr">
        <is>
          <t>Стандарт, ₽/сут</t>
        </is>
      </c>
      <c r="E1669" t="n">
        <v>90</v>
      </c>
    </row>
    <row r="1670">
      <c r="A1670" t="inlineStr">
        <is>
          <t>CIAN</t>
        </is>
      </c>
      <c r="B1670" t="inlineStr">
        <is>
          <t>Санкт-Петербург</t>
        </is>
      </c>
      <c r="C1670" t="inlineStr">
        <is>
          <t>Аренда · Загородная · Таунхаус</t>
        </is>
      </c>
      <c r="D1670" t="inlineStr">
        <is>
          <t>Публикация, ₽/30 дн</t>
        </is>
      </c>
      <c r="E1670" t="n">
        <v>276</v>
      </c>
    </row>
    <row r="1671">
      <c r="A1671" t="inlineStr">
        <is>
          <t>CIAN</t>
        </is>
      </c>
      <c r="B1671" t="inlineStr">
        <is>
          <t>Санкт-Петербург</t>
        </is>
      </c>
      <c r="C1671" t="inlineStr">
        <is>
          <t>Аренда · Загородная · Таунхаус</t>
        </is>
      </c>
      <c r="D1671" t="inlineStr">
        <is>
          <t>Топ, ₽/сут</t>
        </is>
      </c>
      <c r="E1671" t="n">
        <v>311</v>
      </c>
    </row>
    <row r="1672">
      <c r="A1672" t="inlineStr">
        <is>
          <t>CIAN</t>
        </is>
      </c>
      <c r="B1672" t="inlineStr">
        <is>
          <t>Санкт-Петербург</t>
        </is>
      </c>
      <c r="C1672" t="inlineStr">
        <is>
          <t>Аренда · Загородная · Таунхаус</t>
        </is>
      </c>
      <c r="D1672" t="inlineStr">
        <is>
          <t>Премиум, ₽/сут</t>
        </is>
      </c>
      <c r="E1672" t="n">
        <v>127</v>
      </c>
    </row>
    <row r="1673">
      <c r="A1673" t="inlineStr">
        <is>
          <t>CIAN</t>
        </is>
      </c>
      <c r="B1673" t="inlineStr">
        <is>
          <t>Санкт-Петербург</t>
        </is>
      </c>
      <c r="C1673" t="inlineStr">
        <is>
          <t>Аренда · Загородная · Таунхаус</t>
        </is>
      </c>
      <c r="D1673" t="inlineStr">
        <is>
          <t>Стандарт, ₽/сут</t>
        </is>
      </c>
      <c r="E1673" t="n">
        <v>39</v>
      </c>
    </row>
    <row r="1674">
      <c r="A1674" t="inlineStr">
        <is>
          <t>CIAN</t>
        </is>
      </c>
      <c r="B1674" t="inlineStr">
        <is>
          <t>Новосибирск</t>
        </is>
      </c>
      <c r="C1674" t="inlineStr">
        <is>
          <t>Аренда · Загородная · Таунхаус</t>
        </is>
      </c>
      <c r="D1674" t="inlineStr">
        <is>
          <t>Публикация, ₽/30 дн</t>
        </is>
      </c>
      <c r="E1674" t="n">
        <v>375</v>
      </c>
    </row>
    <row r="1675">
      <c r="A1675" t="inlineStr">
        <is>
          <t>CIAN</t>
        </is>
      </c>
      <c r="B1675" t="inlineStr">
        <is>
          <t>Новосибирск</t>
        </is>
      </c>
      <c r="C1675" t="inlineStr">
        <is>
          <t>Аренда · Загородная · Таунхаус</t>
        </is>
      </c>
      <c r="D1675" t="inlineStr">
        <is>
          <t>Топ, ₽/сут</t>
        </is>
      </c>
      <c r="E1675" t="n">
        <v>377</v>
      </c>
    </row>
    <row r="1676">
      <c r="A1676" t="inlineStr">
        <is>
          <t>CIAN</t>
        </is>
      </c>
      <c r="B1676" t="inlineStr">
        <is>
          <t>Новосибирск</t>
        </is>
      </c>
      <c r="C1676" t="inlineStr">
        <is>
          <t>Аренда · Загородная · Таунхаус</t>
        </is>
      </c>
      <c r="D1676" t="inlineStr">
        <is>
          <t>Премиум, ₽/сут</t>
        </is>
      </c>
      <c r="E1676" t="n">
        <v>174</v>
      </c>
    </row>
    <row r="1677">
      <c r="A1677" t="inlineStr">
        <is>
          <t>CIAN</t>
        </is>
      </c>
      <c r="B1677" t="inlineStr">
        <is>
          <t>Новосибирск</t>
        </is>
      </c>
      <c r="C1677" t="inlineStr">
        <is>
          <t>Аренда · Загородная · Таунхаус</t>
        </is>
      </c>
      <c r="D1677" t="inlineStr">
        <is>
          <t>Стандарт, ₽/сут</t>
        </is>
      </c>
      <c r="E1677" t="n">
        <v>53</v>
      </c>
    </row>
    <row r="1678">
      <c r="A1678" t="inlineStr">
        <is>
          <t>CIAN</t>
        </is>
      </c>
      <c r="B1678" t="inlineStr">
        <is>
          <t>Екатеринбург</t>
        </is>
      </c>
      <c r="C1678" t="inlineStr">
        <is>
          <t>Аренда · Загородная · Таунхаус</t>
        </is>
      </c>
      <c r="D1678" t="inlineStr">
        <is>
          <t>Публикация, ₽/30 дн</t>
        </is>
      </c>
      <c r="E1678" t="n">
        <v>390</v>
      </c>
    </row>
    <row r="1679">
      <c r="A1679" t="inlineStr">
        <is>
          <t>CIAN</t>
        </is>
      </c>
      <c r="B1679" t="inlineStr">
        <is>
          <t>Екатеринбург</t>
        </is>
      </c>
      <c r="C1679" t="inlineStr">
        <is>
          <t>Аренда · Загородная · Таунхаус</t>
        </is>
      </c>
      <c r="D1679" t="inlineStr">
        <is>
          <t>Топ, ₽/сут</t>
        </is>
      </c>
      <c r="E1679" t="n">
        <v>380</v>
      </c>
    </row>
    <row r="1680">
      <c r="A1680" t="inlineStr">
        <is>
          <t>CIAN</t>
        </is>
      </c>
      <c r="B1680" t="inlineStr">
        <is>
          <t>Екатеринбург</t>
        </is>
      </c>
      <c r="C1680" t="inlineStr">
        <is>
          <t>Аренда · Загородная · Таунхаус</t>
        </is>
      </c>
      <c r="D1680" t="inlineStr">
        <is>
          <t>Премиум, ₽/сут</t>
        </is>
      </c>
      <c r="E1680" t="n">
        <v>191</v>
      </c>
    </row>
    <row r="1681">
      <c r="A1681" t="inlineStr">
        <is>
          <t>CIAN</t>
        </is>
      </c>
      <c r="B1681" t="inlineStr">
        <is>
          <t>Екатеринбург</t>
        </is>
      </c>
      <c r="C1681" t="inlineStr">
        <is>
          <t>Аренда · Загородная · Таунхаус</t>
        </is>
      </c>
      <c r="D1681" t="inlineStr">
        <is>
          <t>Стандарт, ₽/сут</t>
        </is>
      </c>
      <c r="E1681" t="n">
        <v>58</v>
      </c>
    </row>
    <row r="1682">
      <c r="A1682" t="inlineStr">
        <is>
          <t>CIAN</t>
        </is>
      </c>
      <c r="B1682" t="inlineStr">
        <is>
          <t>Казань</t>
        </is>
      </c>
      <c r="C1682" t="inlineStr">
        <is>
          <t>Аренда · Загородная · Таунхаус</t>
        </is>
      </c>
      <c r="D1682" t="inlineStr">
        <is>
          <t>Публикация, ₽/30 дн</t>
        </is>
      </c>
      <c r="E1682" t="n">
        <v>81</v>
      </c>
    </row>
    <row r="1683">
      <c r="A1683" t="inlineStr">
        <is>
          <t>CIAN</t>
        </is>
      </c>
      <c r="B1683" t="inlineStr">
        <is>
          <t>Казань</t>
        </is>
      </c>
      <c r="C1683" t="inlineStr">
        <is>
          <t>Аренда · Загородная · Таунхаус</t>
        </is>
      </c>
      <c r="D1683" t="inlineStr">
        <is>
          <t>Топ, ₽/сут</t>
        </is>
      </c>
      <c r="E1683" t="n">
        <v>136</v>
      </c>
    </row>
    <row r="1684">
      <c r="A1684" t="inlineStr">
        <is>
          <t>CIAN</t>
        </is>
      </c>
      <c r="B1684" t="inlineStr">
        <is>
          <t>Казань</t>
        </is>
      </c>
      <c r="C1684" t="inlineStr">
        <is>
          <t>Аренда · Загородная · Таунхаус</t>
        </is>
      </c>
      <c r="D1684" t="inlineStr">
        <is>
          <t>Премиум, ₽/сут</t>
        </is>
      </c>
      <c r="E1684" t="n">
        <v>58</v>
      </c>
    </row>
    <row r="1685">
      <c r="A1685" t="inlineStr">
        <is>
          <t>CIAN</t>
        </is>
      </c>
      <c r="B1685" t="inlineStr">
        <is>
          <t>Казань</t>
        </is>
      </c>
      <c r="C1685" t="inlineStr">
        <is>
          <t>Аренда · Загородная · Таунхаус</t>
        </is>
      </c>
      <c r="D1685" t="inlineStr">
        <is>
          <t>Стандарт, ₽/сут</t>
        </is>
      </c>
      <c r="E1685" t="n">
        <v>18</v>
      </c>
    </row>
    <row r="1686">
      <c r="A1686" t="inlineStr">
        <is>
          <t>CIAN</t>
        </is>
      </c>
      <c r="B1686" t="inlineStr">
        <is>
          <t>Красноярск</t>
        </is>
      </c>
      <c r="C1686" t="inlineStr">
        <is>
          <t>Аренда · Загородная · Таунхаус</t>
        </is>
      </c>
      <c r="D1686" t="inlineStr">
        <is>
          <t>Публикация, ₽/30 дн</t>
        </is>
      </c>
      <c r="E1686" t="n">
        <v>294</v>
      </c>
    </row>
    <row r="1687">
      <c r="A1687" t="inlineStr">
        <is>
          <t>CIAN</t>
        </is>
      </c>
      <c r="B1687" t="inlineStr">
        <is>
          <t>Красноярск</t>
        </is>
      </c>
      <c r="C1687" t="inlineStr">
        <is>
          <t>Аренда · Загородная · Таунхаус</t>
        </is>
      </c>
      <c r="D1687" t="inlineStr">
        <is>
          <t>Топ, ₽/сут</t>
        </is>
      </c>
      <c r="E1687" t="inlineStr">
        <is>
          <t>—</t>
        </is>
      </c>
    </row>
    <row r="1688">
      <c r="A1688" t="inlineStr">
        <is>
          <t>CIAN</t>
        </is>
      </c>
      <c r="B1688" t="inlineStr">
        <is>
          <t>Красноярск</t>
        </is>
      </c>
      <c r="C1688" t="inlineStr">
        <is>
          <t>Аренда · Загородная · Таунхаус</t>
        </is>
      </c>
      <c r="D1688" t="inlineStr">
        <is>
          <t>Премиум, ₽/сут</t>
        </is>
      </c>
      <c r="E1688" t="inlineStr">
        <is>
          <t>—</t>
        </is>
      </c>
    </row>
    <row r="1689">
      <c r="A1689" t="inlineStr">
        <is>
          <t>CIAN</t>
        </is>
      </c>
      <c r="B1689" t="inlineStr">
        <is>
          <t>Красноярск</t>
        </is>
      </c>
      <c r="C1689" t="inlineStr">
        <is>
          <t>Аренда · Загородная · Таунхаус</t>
        </is>
      </c>
      <c r="D1689" t="inlineStr">
        <is>
          <t>Стандарт, ₽/сут</t>
        </is>
      </c>
      <c r="E1689" t="inlineStr">
        <is>
          <t>—</t>
        </is>
      </c>
    </row>
    <row r="1690">
      <c r="A1690" t="inlineStr">
        <is>
          <t>CIAN</t>
        </is>
      </c>
      <c r="B1690" t="inlineStr">
        <is>
          <t>Нижний Новгород</t>
        </is>
      </c>
      <c r="C1690" t="inlineStr">
        <is>
          <t>Аренда · Загородная · Таунхаус</t>
        </is>
      </c>
      <c r="D1690" t="inlineStr">
        <is>
          <t>Публикация, ₽/30 дн</t>
        </is>
      </c>
      <c r="E1690" t="n">
        <v>165</v>
      </c>
    </row>
    <row r="1691">
      <c r="A1691" t="inlineStr">
        <is>
          <t>CIAN</t>
        </is>
      </c>
      <c r="B1691" t="inlineStr">
        <is>
          <t>Нижний Новгород</t>
        </is>
      </c>
      <c r="C1691" t="inlineStr">
        <is>
          <t>Аренда · Загородная · Таунхаус</t>
        </is>
      </c>
      <c r="D1691" t="inlineStr">
        <is>
          <t>Топ, ₽/сут</t>
        </is>
      </c>
      <c r="E1691" t="n">
        <v>134</v>
      </c>
    </row>
    <row r="1692">
      <c r="A1692" t="inlineStr">
        <is>
          <t>CIAN</t>
        </is>
      </c>
      <c r="B1692" t="inlineStr">
        <is>
          <t>Нижний Новгород</t>
        </is>
      </c>
      <c r="C1692" t="inlineStr">
        <is>
          <t>Аренда · Загородная · Таунхаус</t>
        </is>
      </c>
      <c r="D1692" t="inlineStr">
        <is>
          <t>Премиум, ₽/сут</t>
        </is>
      </c>
      <c r="E1692" t="n">
        <v>58</v>
      </c>
    </row>
    <row r="1693">
      <c r="A1693" t="inlineStr">
        <is>
          <t>CIAN</t>
        </is>
      </c>
      <c r="B1693" t="inlineStr">
        <is>
          <t>Нижний Новгород</t>
        </is>
      </c>
      <c r="C1693" t="inlineStr">
        <is>
          <t>Аренда · Загородная · Таунхаус</t>
        </is>
      </c>
      <c r="D1693" t="inlineStr">
        <is>
          <t>Стандарт, ₽/сут</t>
        </is>
      </c>
      <c r="E1693" t="n">
        <v>17</v>
      </c>
    </row>
    <row r="1694">
      <c r="A1694" t="inlineStr">
        <is>
          <t>CIAN</t>
        </is>
      </c>
      <c r="B1694" t="inlineStr">
        <is>
          <t>Челябинск</t>
        </is>
      </c>
      <c r="C1694" t="inlineStr">
        <is>
          <t>Аренда · Загородная · Таунхаус</t>
        </is>
      </c>
      <c r="D1694" t="inlineStr">
        <is>
          <t>Публикация, ₽/30 дн</t>
        </is>
      </c>
      <c r="E1694" t="n">
        <v>600</v>
      </c>
    </row>
    <row r="1695">
      <c r="A1695" t="inlineStr">
        <is>
          <t>CIAN</t>
        </is>
      </c>
      <c r="B1695" t="inlineStr">
        <is>
          <t>Челябинск</t>
        </is>
      </c>
      <c r="C1695" t="inlineStr">
        <is>
          <t>Аренда · Загородная · Таунхаус</t>
        </is>
      </c>
      <c r="D1695" t="inlineStr">
        <is>
          <t>Топ, ₽/сут</t>
        </is>
      </c>
      <c r="E1695" t="n">
        <v>220</v>
      </c>
    </row>
    <row r="1696">
      <c r="A1696" t="inlineStr">
        <is>
          <t>CIAN</t>
        </is>
      </c>
      <c r="B1696" t="inlineStr">
        <is>
          <t>Челябинск</t>
        </is>
      </c>
      <c r="C1696" t="inlineStr">
        <is>
          <t>Аренда · Загородная · Таунхаус</t>
        </is>
      </c>
      <c r="D1696" t="inlineStr">
        <is>
          <t>Премиум, ₽/сут</t>
        </is>
      </c>
      <c r="E1696" t="n">
        <v>107</v>
      </c>
    </row>
    <row r="1697">
      <c r="A1697" t="inlineStr">
        <is>
          <t>CIAN</t>
        </is>
      </c>
      <c r="B1697" t="inlineStr">
        <is>
          <t>Челябинск</t>
        </is>
      </c>
      <c r="C1697" t="inlineStr">
        <is>
          <t>Аренда · Загородная · Таунхаус</t>
        </is>
      </c>
      <c r="D1697" t="inlineStr">
        <is>
          <t>Стандарт, ₽/сут</t>
        </is>
      </c>
      <c r="E1697" t="n">
        <v>32</v>
      </c>
    </row>
    <row r="1698">
      <c r="A1698" t="inlineStr">
        <is>
          <t>CIAN</t>
        </is>
      </c>
      <c r="B1698" t="inlineStr">
        <is>
          <t>Уфа</t>
        </is>
      </c>
      <c r="C1698" t="inlineStr">
        <is>
          <t>Аренда · Загородная · Таунхаус</t>
        </is>
      </c>
      <c r="D1698" t="inlineStr">
        <is>
          <t>Публикация, ₽/30 дн</t>
        </is>
      </c>
      <c r="E1698" t="n">
        <v>144</v>
      </c>
    </row>
    <row r="1699">
      <c r="A1699" t="inlineStr">
        <is>
          <t>CIAN</t>
        </is>
      </c>
      <c r="B1699" t="inlineStr">
        <is>
          <t>Уфа</t>
        </is>
      </c>
      <c r="C1699" t="inlineStr">
        <is>
          <t>Аренда · Загородная · Таунхаус</t>
        </is>
      </c>
      <c r="D1699" t="inlineStr">
        <is>
          <t>Топ, ₽/сут</t>
        </is>
      </c>
      <c r="E1699" t="n">
        <v>101</v>
      </c>
    </row>
    <row r="1700">
      <c r="A1700" t="inlineStr">
        <is>
          <t>CIAN</t>
        </is>
      </c>
      <c r="B1700" t="inlineStr">
        <is>
          <t>Уфа</t>
        </is>
      </c>
      <c r="C1700" t="inlineStr">
        <is>
          <t>Аренда · Загородная · Таунхаус</t>
        </is>
      </c>
      <c r="D1700" t="inlineStr">
        <is>
          <t>Премиум, ₽/сут</t>
        </is>
      </c>
      <c r="E1700" t="n">
        <v>44</v>
      </c>
    </row>
    <row r="1701">
      <c r="A1701" t="inlineStr">
        <is>
          <t>CIAN</t>
        </is>
      </c>
      <c r="B1701" t="inlineStr">
        <is>
          <t>Уфа</t>
        </is>
      </c>
      <c r="C1701" t="inlineStr">
        <is>
          <t>Аренда · Загородная · Таунхаус</t>
        </is>
      </c>
      <c r="D1701" t="inlineStr">
        <is>
          <t>Стандарт, ₽/сут</t>
        </is>
      </c>
      <c r="E1701" t="n">
        <v>15</v>
      </c>
    </row>
    <row r="1702">
      <c r="A1702" t="inlineStr">
        <is>
          <t>CIAN</t>
        </is>
      </c>
      <c r="B1702" t="inlineStr">
        <is>
          <t>Краснодар</t>
        </is>
      </c>
      <c r="C1702" t="inlineStr">
        <is>
          <t>Аренда · Загородная · Таунхаус</t>
        </is>
      </c>
      <c r="D1702" t="inlineStr">
        <is>
          <t>Публикация, ₽/30 дн</t>
        </is>
      </c>
      <c r="E1702" t="n">
        <v>198</v>
      </c>
    </row>
    <row r="1703">
      <c r="A1703" t="inlineStr">
        <is>
          <t>CIAN</t>
        </is>
      </c>
      <c r="B1703" t="inlineStr">
        <is>
          <t>Краснодар</t>
        </is>
      </c>
      <c r="C1703" t="inlineStr">
        <is>
          <t>Аренда · Загородная · Таунхаус</t>
        </is>
      </c>
      <c r="D1703" t="inlineStr">
        <is>
          <t>Топ, ₽/сут</t>
        </is>
      </c>
      <c r="E1703" t="n">
        <v>178</v>
      </c>
    </row>
    <row r="1704">
      <c r="A1704" t="inlineStr">
        <is>
          <t>CIAN</t>
        </is>
      </c>
      <c r="B1704" t="inlineStr">
        <is>
          <t>Краснодар</t>
        </is>
      </c>
      <c r="C1704" t="inlineStr">
        <is>
          <t>Аренда · Загородная · Таунхаус</t>
        </is>
      </c>
      <c r="D1704" t="inlineStr">
        <is>
          <t>Премиум, ₽/сут</t>
        </is>
      </c>
      <c r="E1704" t="n">
        <v>72</v>
      </c>
    </row>
    <row r="1705">
      <c r="A1705" t="inlineStr">
        <is>
          <t>CIAN</t>
        </is>
      </c>
      <c r="B1705" t="inlineStr">
        <is>
          <t>Краснодар</t>
        </is>
      </c>
      <c r="C1705" t="inlineStr">
        <is>
          <t>Аренда · Загородная · Таунхаус</t>
        </is>
      </c>
      <c r="D1705" t="inlineStr">
        <is>
          <t>Стандарт, ₽/сут</t>
        </is>
      </c>
      <c r="E1705" t="n">
        <v>21</v>
      </c>
    </row>
    <row r="1706">
      <c r="A1706" t="inlineStr">
        <is>
          <t>CIAN</t>
        </is>
      </c>
      <c r="B1706" t="inlineStr">
        <is>
          <t>Самара</t>
        </is>
      </c>
      <c r="C1706" t="inlineStr">
        <is>
          <t>Аренда · Загородная · Таунхаус</t>
        </is>
      </c>
      <c r="D1706" t="inlineStr">
        <is>
          <t>Публикация, ₽/30 дн</t>
        </is>
      </c>
      <c r="E1706" t="n">
        <v>54</v>
      </c>
    </row>
    <row r="1707">
      <c r="A1707" t="inlineStr">
        <is>
          <t>CIAN</t>
        </is>
      </c>
      <c r="B1707" t="inlineStr">
        <is>
          <t>Самара</t>
        </is>
      </c>
      <c r="C1707" t="inlineStr">
        <is>
          <t>Аренда · Загородная · Таунхаус</t>
        </is>
      </c>
      <c r="D1707" t="inlineStr">
        <is>
          <t>Топ, ₽/сут</t>
        </is>
      </c>
      <c r="E1707" t="inlineStr">
        <is>
          <t>—</t>
        </is>
      </c>
    </row>
    <row r="1708">
      <c r="A1708" t="inlineStr">
        <is>
          <t>CIAN</t>
        </is>
      </c>
      <c r="B1708" t="inlineStr">
        <is>
          <t>Самара</t>
        </is>
      </c>
      <c r="C1708" t="inlineStr">
        <is>
          <t>Аренда · Загородная · Таунхаус</t>
        </is>
      </c>
      <c r="D1708" t="inlineStr">
        <is>
          <t>Премиум, ₽/сут</t>
        </is>
      </c>
      <c r="E1708" t="inlineStr">
        <is>
          <t>—</t>
        </is>
      </c>
    </row>
    <row r="1709">
      <c r="A1709" t="inlineStr">
        <is>
          <t>CIAN</t>
        </is>
      </c>
      <c r="B1709" t="inlineStr">
        <is>
          <t>Самара</t>
        </is>
      </c>
      <c r="C1709" t="inlineStr">
        <is>
          <t>Аренда · Загородная · Таунхаус</t>
        </is>
      </c>
      <c r="D1709" t="inlineStr">
        <is>
          <t>Стандарт, ₽/сут</t>
        </is>
      </c>
      <c r="E1709" t="inlineStr">
        <is>
          <t>—</t>
        </is>
      </c>
    </row>
    <row r="1710">
      <c r="A1710" t="inlineStr">
        <is>
          <t>CIAN</t>
        </is>
      </c>
      <c r="B1710" t="inlineStr">
        <is>
          <t>Ростов-на-Дону</t>
        </is>
      </c>
      <c r="C1710" t="inlineStr">
        <is>
          <t>Аренда · Загородная · Таунхаус</t>
        </is>
      </c>
      <c r="D1710" t="inlineStr">
        <is>
          <t>Публикация, ₽/30 дн</t>
        </is>
      </c>
      <c r="E1710" t="n">
        <v>153</v>
      </c>
    </row>
    <row r="1711">
      <c r="A1711" t="inlineStr">
        <is>
          <t>CIAN</t>
        </is>
      </c>
      <c r="B1711" t="inlineStr">
        <is>
          <t>Ростов-на-Дону</t>
        </is>
      </c>
      <c r="C1711" t="inlineStr">
        <is>
          <t>Аренда · Загородная · Таунхаус</t>
        </is>
      </c>
      <c r="D1711" t="inlineStr">
        <is>
          <t>Топ, ₽/сут</t>
        </is>
      </c>
      <c r="E1711" t="n">
        <v>136</v>
      </c>
    </row>
    <row r="1712">
      <c r="A1712" t="inlineStr">
        <is>
          <t>CIAN</t>
        </is>
      </c>
      <c r="B1712" t="inlineStr">
        <is>
          <t>Ростов-на-Дону</t>
        </is>
      </c>
      <c r="C1712" t="inlineStr">
        <is>
          <t>Аренда · Загородная · Таунхаус</t>
        </is>
      </c>
      <c r="D1712" t="inlineStr">
        <is>
          <t>Премиум, ₽/сут</t>
        </is>
      </c>
      <c r="E1712" t="n">
        <v>58</v>
      </c>
    </row>
    <row r="1713">
      <c r="A1713" t="inlineStr">
        <is>
          <t>CIAN</t>
        </is>
      </c>
      <c r="B1713" t="inlineStr">
        <is>
          <t>Ростов-на-Дону</t>
        </is>
      </c>
      <c r="C1713" t="inlineStr">
        <is>
          <t>Аренда · Загородная · Таунхаус</t>
        </is>
      </c>
      <c r="D1713" t="inlineStr">
        <is>
          <t>Стандарт, ₽/сут</t>
        </is>
      </c>
      <c r="E1713" t="n">
        <v>18</v>
      </c>
    </row>
    <row r="1714">
      <c r="A1714" t="inlineStr">
        <is>
          <t>CIAN</t>
        </is>
      </c>
      <c r="B1714" t="inlineStr">
        <is>
          <t>Омск</t>
        </is>
      </c>
      <c r="C1714" t="inlineStr">
        <is>
          <t>Аренда · Загородная · Таунхаус</t>
        </is>
      </c>
      <c r="D1714" t="inlineStr">
        <is>
          <t>Публикация, ₽/30 дн</t>
        </is>
      </c>
      <c r="E1714" t="n">
        <v>99</v>
      </c>
    </row>
    <row r="1715">
      <c r="A1715" t="inlineStr">
        <is>
          <t>CIAN</t>
        </is>
      </c>
      <c r="B1715" t="inlineStr">
        <is>
          <t>Омск</t>
        </is>
      </c>
      <c r="C1715" t="inlineStr">
        <is>
          <t>Аренда · Загородная · Таунхаус</t>
        </is>
      </c>
      <c r="D1715" t="inlineStr">
        <is>
          <t>Топ, ₽/сут</t>
        </is>
      </c>
      <c r="E1715" t="n">
        <v>171</v>
      </c>
    </row>
    <row r="1716">
      <c r="A1716" t="inlineStr">
        <is>
          <t>CIAN</t>
        </is>
      </c>
      <c r="B1716" t="inlineStr">
        <is>
          <t>Омск</t>
        </is>
      </c>
      <c r="C1716" t="inlineStr">
        <is>
          <t>Аренда · Загородная · Таунхаус</t>
        </is>
      </c>
      <c r="D1716" t="inlineStr">
        <is>
          <t>Премиум, ₽/сут</t>
        </is>
      </c>
      <c r="E1716" t="n">
        <v>94</v>
      </c>
    </row>
    <row r="1717">
      <c r="A1717" t="inlineStr">
        <is>
          <t>CIAN</t>
        </is>
      </c>
      <c r="B1717" t="inlineStr">
        <is>
          <t>Омск</t>
        </is>
      </c>
      <c r="C1717" t="inlineStr">
        <is>
          <t>Аренда · Загородная · Таунхаус</t>
        </is>
      </c>
      <c r="D1717" t="inlineStr">
        <is>
          <t>Стандарт, ₽/сут</t>
        </is>
      </c>
      <c r="E1717" t="n">
        <v>29</v>
      </c>
    </row>
    <row r="1718">
      <c r="A1718" t="inlineStr">
        <is>
          <t>CIAN</t>
        </is>
      </c>
      <c r="B1718" t="inlineStr">
        <is>
          <t>Воронеж</t>
        </is>
      </c>
      <c r="C1718" t="inlineStr">
        <is>
          <t>Аренда · Загородная · Таунхаус</t>
        </is>
      </c>
      <c r="D1718" t="inlineStr">
        <is>
          <t>Публикация, ₽/30 дн</t>
        </is>
      </c>
      <c r="E1718" t="n">
        <v>144</v>
      </c>
    </row>
    <row r="1719">
      <c r="A1719" t="inlineStr">
        <is>
          <t>CIAN</t>
        </is>
      </c>
      <c r="B1719" t="inlineStr">
        <is>
          <t>Воронеж</t>
        </is>
      </c>
      <c r="C1719" t="inlineStr">
        <is>
          <t>Аренда · Загородная · Таунхаус</t>
        </is>
      </c>
      <c r="D1719" t="inlineStr">
        <is>
          <t>Топ, ₽/сут</t>
        </is>
      </c>
      <c r="E1719" t="inlineStr">
        <is>
          <t>—</t>
        </is>
      </c>
    </row>
    <row r="1720">
      <c r="A1720" t="inlineStr">
        <is>
          <t>CIAN</t>
        </is>
      </c>
      <c r="B1720" t="inlineStr">
        <is>
          <t>Воронеж</t>
        </is>
      </c>
      <c r="C1720" t="inlineStr">
        <is>
          <t>Аренда · Загородная · Таунхаус</t>
        </is>
      </c>
      <c r="D1720" t="inlineStr">
        <is>
          <t>Премиум, ₽/сут</t>
        </is>
      </c>
      <c r="E1720" t="inlineStr">
        <is>
          <t>—</t>
        </is>
      </c>
    </row>
    <row r="1721">
      <c r="A1721" t="inlineStr">
        <is>
          <t>CIAN</t>
        </is>
      </c>
      <c r="B1721" t="inlineStr">
        <is>
          <t>Воронеж</t>
        </is>
      </c>
      <c r="C1721" t="inlineStr">
        <is>
          <t>Аренда · Загородная · Таунхаус</t>
        </is>
      </c>
      <c r="D1721" t="inlineStr">
        <is>
          <t>Стандарт, ₽/сут</t>
        </is>
      </c>
      <c r="E1721" t="inlineStr">
        <is>
          <t>—</t>
        </is>
      </c>
    </row>
    <row r="1722">
      <c r="A1722" t="inlineStr">
        <is>
          <t>CIAN</t>
        </is>
      </c>
      <c r="B1722" t="inlineStr">
        <is>
          <t>Пермь</t>
        </is>
      </c>
      <c r="C1722" t="inlineStr">
        <is>
          <t>Аренда · Загородная · Таунхаус</t>
        </is>
      </c>
      <c r="D1722" t="inlineStr">
        <is>
          <t>Публикация, ₽/30 дн</t>
        </is>
      </c>
      <c r="E1722" t="n">
        <v>36</v>
      </c>
    </row>
    <row r="1723">
      <c r="A1723" t="inlineStr">
        <is>
          <t>CIAN</t>
        </is>
      </c>
      <c r="B1723" t="inlineStr">
        <is>
          <t>Пермь</t>
        </is>
      </c>
      <c r="C1723" t="inlineStr">
        <is>
          <t>Аренда · Загородная · Таунхаус</t>
        </is>
      </c>
      <c r="D1723" t="inlineStr">
        <is>
          <t>Топ, ₽/сут</t>
        </is>
      </c>
      <c r="E1723" t="inlineStr">
        <is>
          <t>—</t>
        </is>
      </c>
    </row>
    <row r="1724">
      <c r="A1724" t="inlineStr">
        <is>
          <t>CIAN</t>
        </is>
      </c>
      <c r="B1724" t="inlineStr">
        <is>
          <t>Пермь</t>
        </is>
      </c>
      <c r="C1724" t="inlineStr">
        <is>
          <t>Аренда · Загородная · Таунхаус</t>
        </is>
      </c>
      <c r="D1724" t="inlineStr">
        <is>
          <t>Премиум, ₽/сут</t>
        </is>
      </c>
      <c r="E1724" t="inlineStr">
        <is>
          <t>—</t>
        </is>
      </c>
    </row>
    <row r="1725">
      <c r="A1725" t="inlineStr">
        <is>
          <t>CIAN</t>
        </is>
      </c>
      <c r="B1725" t="inlineStr">
        <is>
          <t>Пермь</t>
        </is>
      </c>
      <c r="C1725" t="inlineStr">
        <is>
          <t>Аренда · Загородная · Таунхаус</t>
        </is>
      </c>
      <c r="D1725" t="inlineStr">
        <is>
          <t>Стандарт, ₽/сут</t>
        </is>
      </c>
      <c r="E1725" t="inlineStr">
        <is>
          <t>—</t>
        </is>
      </c>
    </row>
    <row r="1726">
      <c r="A1726" t="inlineStr">
        <is>
          <t>CIAN</t>
        </is>
      </c>
      <c r="B1726" t="inlineStr">
        <is>
          <t>Волгоград</t>
        </is>
      </c>
      <c r="C1726" t="inlineStr">
        <is>
          <t>Аренда · Загородная · Таунхаус</t>
        </is>
      </c>
      <c r="D1726" t="inlineStr">
        <is>
          <t>Публикация, ₽/30 дн</t>
        </is>
      </c>
      <c r="E1726" t="n">
        <v>117</v>
      </c>
    </row>
    <row r="1727">
      <c r="A1727" t="inlineStr">
        <is>
          <t>CIAN</t>
        </is>
      </c>
      <c r="B1727" t="inlineStr">
        <is>
          <t>Волгоград</t>
        </is>
      </c>
      <c r="C1727" t="inlineStr">
        <is>
          <t>Аренда · Загородная · Таунхаус</t>
        </is>
      </c>
      <c r="D1727" t="inlineStr">
        <is>
          <t>Топ, ₽/сут</t>
        </is>
      </c>
      <c r="E1727" t="inlineStr">
        <is>
          <t>—</t>
        </is>
      </c>
    </row>
    <row r="1728">
      <c r="A1728" t="inlineStr">
        <is>
          <t>CIAN</t>
        </is>
      </c>
      <c r="B1728" t="inlineStr">
        <is>
          <t>Волгоград</t>
        </is>
      </c>
      <c r="C1728" t="inlineStr">
        <is>
          <t>Аренда · Загородная · Таунхаус</t>
        </is>
      </c>
      <c r="D1728" t="inlineStr">
        <is>
          <t>Премиум, ₽/сут</t>
        </is>
      </c>
      <c r="E1728" t="inlineStr">
        <is>
          <t>—</t>
        </is>
      </c>
    </row>
    <row r="1729">
      <c r="A1729" t="inlineStr">
        <is>
          <t>CIAN</t>
        </is>
      </c>
      <c r="B1729" t="inlineStr">
        <is>
          <t>Волгоград</t>
        </is>
      </c>
      <c r="C1729" t="inlineStr">
        <is>
          <t>Аренда · Загородная · Таунхаус</t>
        </is>
      </c>
      <c r="D1729" t="inlineStr">
        <is>
          <t>Стандарт, ₽/сут</t>
        </is>
      </c>
      <c r="E1729" t="inlineStr">
        <is>
          <t>—</t>
        </is>
      </c>
    </row>
    <row r="1730">
      <c r="A1730" t="inlineStr">
        <is>
          <t>CIAN</t>
        </is>
      </c>
      <c r="B1730" t="inlineStr">
        <is>
          <t>Москва</t>
        </is>
      </c>
      <c r="C1730" t="inlineStr">
        <is>
          <t>Аренда · Загородная · Часть дома</t>
        </is>
      </c>
      <c r="D1730" t="inlineStr">
        <is>
          <t>Публикация, ₽/30 дн</t>
        </is>
      </c>
      <c r="E1730" t="n">
        <v>1326</v>
      </c>
    </row>
    <row r="1731">
      <c r="A1731" t="inlineStr">
        <is>
          <t>CIAN</t>
        </is>
      </c>
      <c r="B1731" t="inlineStr">
        <is>
          <t>Москва</t>
        </is>
      </c>
      <c r="C1731" t="inlineStr">
        <is>
          <t>Аренда · Загородная · Часть дома</t>
        </is>
      </c>
      <c r="D1731" t="inlineStr">
        <is>
          <t>Топ, ₽/сут</t>
        </is>
      </c>
      <c r="E1731" t="n">
        <v>772</v>
      </c>
    </row>
    <row r="1732">
      <c r="A1732" t="inlineStr">
        <is>
          <t>CIAN</t>
        </is>
      </c>
      <c r="B1732" t="inlineStr">
        <is>
          <t>Москва</t>
        </is>
      </c>
      <c r="C1732" t="inlineStr">
        <is>
          <t>Аренда · Загородная · Часть дома</t>
        </is>
      </c>
      <c r="D1732" t="inlineStr">
        <is>
          <t>Премиум, ₽/сут</t>
        </is>
      </c>
      <c r="E1732" t="n">
        <v>284</v>
      </c>
    </row>
    <row r="1733">
      <c r="A1733" t="inlineStr">
        <is>
          <t>CIAN</t>
        </is>
      </c>
      <c r="B1733" t="inlineStr">
        <is>
          <t>Москва</t>
        </is>
      </c>
      <c r="C1733" t="inlineStr">
        <is>
          <t>Аренда · Загородная · Часть дома</t>
        </is>
      </c>
      <c r="D1733" t="inlineStr">
        <is>
          <t>Стандарт, ₽/сут</t>
        </is>
      </c>
      <c r="E1733" t="n">
        <v>155</v>
      </c>
    </row>
    <row r="1734">
      <c r="A1734" t="inlineStr">
        <is>
          <t>CIAN</t>
        </is>
      </c>
      <c r="B1734" t="inlineStr">
        <is>
          <t>Санкт-Петербург</t>
        </is>
      </c>
      <c r="C1734" t="inlineStr">
        <is>
          <t>Аренда · Загородная · Часть дома</t>
        </is>
      </c>
      <c r="D1734" t="inlineStr">
        <is>
          <t>Публикация, ₽/30 дн</t>
        </is>
      </c>
      <c r="E1734" t="n">
        <v>168</v>
      </c>
    </row>
    <row r="1735">
      <c r="A1735" t="inlineStr">
        <is>
          <t>CIAN</t>
        </is>
      </c>
      <c r="B1735" t="inlineStr">
        <is>
          <t>Санкт-Петербург</t>
        </is>
      </c>
      <c r="C1735" t="inlineStr">
        <is>
          <t>Аренда · Загородная · Часть дома</t>
        </is>
      </c>
      <c r="D1735" t="inlineStr">
        <is>
          <t>Топ, ₽/сут</t>
        </is>
      </c>
      <c r="E1735" t="n">
        <v>297</v>
      </c>
    </row>
    <row r="1736">
      <c r="A1736" t="inlineStr">
        <is>
          <t>CIAN</t>
        </is>
      </c>
      <c r="B1736" t="inlineStr">
        <is>
          <t>Санкт-Петербург</t>
        </is>
      </c>
      <c r="C1736" t="inlineStr">
        <is>
          <t>Аренда · Загородная · Часть дома</t>
        </is>
      </c>
      <c r="D1736" t="inlineStr">
        <is>
          <t>Премиум, ₽/сут</t>
        </is>
      </c>
      <c r="E1736" t="n">
        <v>116</v>
      </c>
    </row>
    <row r="1737">
      <c r="A1737" t="inlineStr">
        <is>
          <t>CIAN</t>
        </is>
      </c>
      <c r="B1737" t="inlineStr">
        <is>
          <t>Санкт-Петербург</t>
        </is>
      </c>
      <c r="C1737" t="inlineStr">
        <is>
          <t>Аренда · Загородная · Часть дома</t>
        </is>
      </c>
      <c r="D1737" t="inlineStr">
        <is>
          <t>Стандарт, ₽/сут</t>
        </is>
      </c>
      <c r="E1737" t="n">
        <v>37</v>
      </c>
    </row>
    <row r="1738">
      <c r="A1738" t="inlineStr">
        <is>
          <t>CIAN</t>
        </is>
      </c>
      <c r="B1738" t="inlineStr">
        <is>
          <t>Новосибирск</t>
        </is>
      </c>
      <c r="C1738" t="inlineStr">
        <is>
          <t>Аренда · Загородная · Часть дома</t>
        </is>
      </c>
      <c r="D1738" t="inlineStr">
        <is>
          <t>Публикация, ₽/30 дн</t>
        </is>
      </c>
      <c r="E1738" t="n">
        <v>225</v>
      </c>
    </row>
    <row r="1739">
      <c r="A1739" t="inlineStr">
        <is>
          <t>CIAN</t>
        </is>
      </c>
      <c r="B1739" t="inlineStr">
        <is>
          <t>Новосибирск</t>
        </is>
      </c>
      <c r="C1739" t="inlineStr">
        <is>
          <t>Аренда · Загородная · Часть дома</t>
        </is>
      </c>
      <c r="D1739" t="inlineStr">
        <is>
          <t>Топ, ₽/сут</t>
        </is>
      </c>
      <c r="E1739" t="n">
        <v>490</v>
      </c>
    </row>
    <row r="1740">
      <c r="A1740" t="inlineStr">
        <is>
          <t>CIAN</t>
        </is>
      </c>
      <c r="B1740" t="inlineStr">
        <is>
          <t>Новосибирск</t>
        </is>
      </c>
      <c r="C1740" t="inlineStr">
        <is>
          <t>Аренда · Загородная · Часть дома</t>
        </is>
      </c>
      <c r="D1740" t="inlineStr">
        <is>
          <t>Премиум, ₽/сут</t>
        </is>
      </c>
      <c r="E1740" t="n">
        <v>208</v>
      </c>
    </row>
    <row r="1741">
      <c r="A1741" t="inlineStr">
        <is>
          <t>CIAN</t>
        </is>
      </c>
      <c r="B1741" t="inlineStr">
        <is>
          <t>Новосибирск</t>
        </is>
      </c>
      <c r="C1741" t="inlineStr">
        <is>
          <t>Аренда · Загородная · Часть дома</t>
        </is>
      </c>
      <c r="D1741" t="inlineStr">
        <is>
          <t>Стандарт, ₽/сут</t>
        </is>
      </c>
      <c r="E1741" t="n">
        <v>65</v>
      </c>
    </row>
    <row r="1742">
      <c r="A1742" t="inlineStr">
        <is>
          <t>CIAN</t>
        </is>
      </c>
      <c r="B1742" t="inlineStr">
        <is>
          <t>Екатеринбург</t>
        </is>
      </c>
      <c r="C1742" t="inlineStr">
        <is>
          <t>Аренда · Загородная · Часть дома</t>
        </is>
      </c>
      <c r="D1742" t="inlineStr">
        <is>
          <t>Публикация, ₽/30 дн</t>
        </is>
      </c>
      <c r="E1742" t="n">
        <v>312</v>
      </c>
    </row>
    <row r="1743">
      <c r="A1743" t="inlineStr">
        <is>
          <t>CIAN</t>
        </is>
      </c>
      <c r="B1743" t="inlineStr">
        <is>
          <t>Екатеринбург</t>
        </is>
      </c>
      <c r="C1743" t="inlineStr">
        <is>
          <t>Аренда · Загородная · Часть дома</t>
        </is>
      </c>
      <c r="D1743" t="inlineStr">
        <is>
          <t>Топ, ₽/сут</t>
        </is>
      </c>
      <c r="E1743" t="n">
        <v>456</v>
      </c>
    </row>
    <row r="1744">
      <c r="A1744" t="inlineStr">
        <is>
          <t>CIAN</t>
        </is>
      </c>
      <c r="B1744" t="inlineStr">
        <is>
          <t>Екатеринбург</t>
        </is>
      </c>
      <c r="C1744" t="inlineStr">
        <is>
          <t>Аренда · Загородная · Часть дома</t>
        </is>
      </c>
      <c r="D1744" t="inlineStr">
        <is>
          <t>Премиум, ₽/сут</t>
        </is>
      </c>
      <c r="E1744" t="n">
        <v>220</v>
      </c>
    </row>
    <row r="1745">
      <c r="A1745" t="inlineStr">
        <is>
          <t>CIAN</t>
        </is>
      </c>
      <c r="B1745" t="inlineStr">
        <is>
          <t>Екатеринбург</t>
        </is>
      </c>
      <c r="C1745" t="inlineStr">
        <is>
          <t>Аренда · Загородная · Часть дома</t>
        </is>
      </c>
      <c r="D1745" t="inlineStr">
        <is>
          <t>Стандарт, ₽/сут</t>
        </is>
      </c>
      <c r="E1745" t="n">
        <v>68</v>
      </c>
    </row>
    <row r="1746">
      <c r="A1746" t="inlineStr">
        <is>
          <t>CIAN</t>
        </is>
      </c>
      <c r="B1746" t="inlineStr">
        <is>
          <t>Казань</t>
        </is>
      </c>
      <c r="C1746" t="inlineStr">
        <is>
          <t>Аренда · Загородная · Часть дома</t>
        </is>
      </c>
      <c r="D1746" t="inlineStr">
        <is>
          <t>Публикация, ₽/30 дн</t>
        </is>
      </c>
      <c r="E1746" t="n">
        <v>63</v>
      </c>
    </row>
    <row r="1747">
      <c r="A1747" t="inlineStr">
        <is>
          <t>CIAN</t>
        </is>
      </c>
      <c r="B1747" t="inlineStr">
        <is>
          <t>Казань</t>
        </is>
      </c>
      <c r="C1747" t="inlineStr">
        <is>
          <t>Аренда · Загородная · Часть дома</t>
        </is>
      </c>
      <c r="D1747" t="inlineStr">
        <is>
          <t>Топ, ₽/сут</t>
        </is>
      </c>
      <c r="E1747" t="n">
        <v>179</v>
      </c>
    </row>
    <row r="1748">
      <c r="A1748" t="inlineStr">
        <is>
          <t>CIAN</t>
        </is>
      </c>
      <c r="B1748" t="inlineStr">
        <is>
          <t>Казань</t>
        </is>
      </c>
      <c r="C1748" t="inlineStr">
        <is>
          <t>Аренда · Загородная · Часть дома</t>
        </is>
      </c>
      <c r="D1748" t="inlineStr">
        <is>
          <t>Премиум, ₽/сут</t>
        </is>
      </c>
      <c r="E1748" t="n">
        <v>70</v>
      </c>
    </row>
    <row r="1749">
      <c r="A1749" t="inlineStr">
        <is>
          <t>CIAN</t>
        </is>
      </c>
      <c r="B1749" t="inlineStr">
        <is>
          <t>Казань</t>
        </is>
      </c>
      <c r="C1749" t="inlineStr">
        <is>
          <t>Аренда · Загородная · Часть дома</t>
        </is>
      </c>
      <c r="D1749" t="inlineStr">
        <is>
          <t>Стандарт, ₽/сут</t>
        </is>
      </c>
      <c r="E1749" t="n">
        <v>22</v>
      </c>
    </row>
    <row r="1750">
      <c r="A1750" t="inlineStr">
        <is>
          <t>CIAN</t>
        </is>
      </c>
      <c r="B1750" t="inlineStr">
        <is>
          <t>Красноярск</t>
        </is>
      </c>
      <c r="C1750" t="inlineStr">
        <is>
          <t>Аренда · Загородная · Часть дома</t>
        </is>
      </c>
      <c r="D1750" t="inlineStr">
        <is>
          <t>Публикация, ₽/30 дн</t>
        </is>
      </c>
      <c r="E1750" t="n">
        <v>294</v>
      </c>
    </row>
    <row r="1751">
      <c r="A1751" t="inlineStr">
        <is>
          <t>CIAN</t>
        </is>
      </c>
      <c r="B1751" t="inlineStr">
        <is>
          <t>Красноярск</t>
        </is>
      </c>
      <c r="C1751" t="inlineStr">
        <is>
          <t>Аренда · Загородная · Часть дома</t>
        </is>
      </c>
      <c r="D1751" t="inlineStr">
        <is>
          <t>Топ, ₽/сут</t>
        </is>
      </c>
      <c r="E1751" t="inlineStr">
        <is>
          <t>—</t>
        </is>
      </c>
    </row>
    <row r="1752">
      <c r="A1752" t="inlineStr">
        <is>
          <t>CIAN</t>
        </is>
      </c>
      <c r="B1752" t="inlineStr">
        <is>
          <t>Красноярск</t>
        </is>
      </c>
      <c r="C1752" t="inlineStr">
        <is>
          <t>Аренда · Загородная · Часть дома</t>
        </is>
      </c>
      <c r="D1752" t="inlineStr">
        <is>
          <t>Премиум, ₽/сут</t>
        </is>
      </c>
      <c r="E1752" t="inlineStr">
        <is>
          <t>—</t>
        </is>
      </c>
    </row>
    <row r="1753">
      <c r="A1753" t="inlineStr">
        <is>
          <t>CIAN</t>
        </is>
      </c>
      <c r="B1753" t="inlineStr">
        <is>
          <t>Красноярск</t>
        </is>
      </c>
      <c r="C1753" t="inlineStr">
        <is>
          <t>Аренда · Загородная · Часть дома</t>
        </is>
      </c>
      <c r="D1753" t="inlineStr">
        <is>
          <t>Стандарт, ₽/сут</t>
        </is>
      </c>
      <c r="E1753" t="inlineStr">
        <is>
          <t>—</t>
        </is>
      </c>
    </row>
    <row r="1754">
      <c r="A1754" t="inlineStr">
        <is>
          <t>CIAN</t>
        </is>
      </c>
      <c r="B1754" t="inlineStr">
        <is>
          <t>Нижний Новгород</t>
        </is>
      </c>
      <c r="C1754" t="inlineStr">
        <is>
          <t>Аренда · Загородная · Часть дома</t>
        </is>
      </c>
      <c r="D1754" t="inlineStr">
        <is>
          <t>Публикация, ₽/30 дн</t>
        </is>
      </c>
      <c r="E1754" t="n">
        <v>165</v>
      </c>
    </row>
    <row r="1755">
      <c r="A1755" t="inlineStr">
        <is>
          <t>CIAN</t>
        </is>
      </c>
      <c r="B1755" t="inlineStr">
        <is>
          <t>Нижний Новгород</t>
        </is>
      </c>
      <c r="C1755" t="inlineStr">
        <is>
          <t>Аренда · Загородная · Часть дома</t>
        </is>
      </c>
      <c r="D1755" t="inlineStr">
        <is>
          <t>Топ, ₽/сут</t>
        </is>
      </c>
      <c r="E1755" t="n">
        <v>148</v>
      </c>
    </row>
    <row r="1756">
      <c r="A1756" t="inlineStr">
        <is>
          <t>CIAN</t>
        </is>
      </c>
      <c r="B1756" t="inlineStr">
        <is>
          <t>Нижний Новгород</t>
        </is>
      </c>
      <c r="C1756" t="inlineStr">
        <is>
          <t>Аренда · Загородная · Часть дома</t>
        </is>
      </c>
      <c r="D1756" t="inlineStr">
        <is>
          <t>Премиум, ₽/сут</t>
        </is>
      </c>
      <c r="E1756" t="n">
        <v>63</v>
      </c>
    </row>
    <row r="1757">
      <c r="A1757" t="inlineStr">
        <is>
          <t>CIAN</t>
        </is>
      </c>
      <c r="B1757" t="inlineStr">
        <is>
          <t>Нижний Новгород</t>
        </is>
      </c>
      <c r="C1757" t="inlineStr">
        <is>
          <t>Аренда · Загородная · Часть дома</t>
        </is>
      </c>
      <c r="D1757" t="inlineStr">
        <is>
          <t>Стандарт, ₽/сут</t>
        </is>
      </c>
      <c r="E1757" t="n">
        <v>18</v>
      </c>
    </row>
    <row r="1758">
      <c r="A1758" t="inlineStr">
        <is>
          <t>CIAN</t>
        </is>
      </c>
      <c r="B1758" t="inlineStr">
        <is>
          <t>Челябинск</t>
        </is>
      </c>
      <c r="C1758" t="inlineStr">
        <is>
          <t>Аренда · Загородная · Часть дома</t>
        </is>
      </c>
      <c r="D1758" t="inlineStr">
        <is>
          <t>Публикация, ₽/30 дн</t>
        </is>
      </c>
      <c r="E1758" t="n">
        <v>222</v>
      </c>
    </row>
    <row r="1759">
      <c r="A1759" t="inlineStr">
        <is>
          <t>CIAN</t>
        </is>
      </c>
      <c r="B1759" t="inlineStr">
        <is>
          <t>Челябинск</t>
        </is>
      </c>
      <c r="C1759" t="inlineStr">
        <is>
          <t>Аренда · Загородная · Часть дома</t>
        </is>
      </c>
      <c r="D1759" t="inlineStr">
        <is>
          <t>Топ, ₽/сут</t>
        </is>
      </c>
      <c r="E1759" t="n">
        <v>220</v>
      </c>
    </row>
    <row r="1760">
      <c r="A1760" t="inlineStr">
        <is>
          <t>CIAN</t>
        </is>
      </c>
      <c r="B1760" t="inlineStr">
        <is>
          <t>Челябинск</t>
        </is>
      </c>
      <c r="C1760" t="inlineStr">
        <is>
          <t>Аренда · Загородная · Часть дома</t>
        </is>
      </c>
      <c r="D1760" t="inlineStr">
        <is>
          <t>Премиум, ₽/сут</t>
        </is>
      </c>
      <c r="E1760" t="n">
        <v>101</v>
      </c>
    </row>
    <row r="1761">
      <c r="A1761" t="inlineStr">
        <is>
          <t>CIAN</t>
        </is>
      </c>
      <c r="B1761" t="inlineStr">
        <is>
          <t>Челябинск</t>
        </is>
      </c>
      <c r="C1761" t="inlineStr">
        <is>
          <t>Аренда · Загородная · Часть дома</t>
        </is>
      </c>
      <c r="D1761" t="inlineStr">
        <is>
          <t>Стандарт, ₽/сут</t>
        </is>
      </c>
      <c r="E1761" t="n">
        <v>30</v>
      </c>
    </row>
    <row r="1762">
      <c r="A1762" t="inlineStr">
        <is>
          <t>CIAN</t>
        </is>
      </c>
      <c r="B1762" t="inlineStr">
        <is>
          <t>Уфа</t>
        </is>
      </c>
      <c r="C1762" t="inlineStr">
        <is>
          <t>Аренда · Загородная · Часть дома</t>
        </is>
      </c>
      <c r="D1762" t="inlineStr">
        <is>
          <t>Публикация, ₽/30 дн</t>
        </is>
      </c>
      <c r="E1762" t="n">
        <v>144</v>
      </c>
    </row>
    <row r="1763">
      <c r="A1763" t="inlineStr">
        <is>
          <t>CIAN</t>
        </is>
      </c>
      <c r="B1763" t="inlineStr">
        <is>
          <t>Уфа</t>
        </is>
      </c>
      <c r="C1763" t="inlineStr">
        <is>
          <t>Аренда · Загородная · Часть дома</t>
        </is>
      </c>
      <c r="D1763" t="inlineStr">
        <is>
          <t>Топ, ₽/сут</t>
        </is>
      </c>
      <c r="E1763" t="n">
        <v>133</v>
      </c>
    </row>
    <row r="1764">
      <c r="A1764" t="inlineStr">
        <is>
          <t>CIAN</t>
        </is>
      </c>
      <c r="B1764" t="inlineStr">
        <is>
          <t>Уфа</t>
        </is>
      </c>
      <c r="C1764" t="inlineStr">
        <is>
          <t>Аренда · Загородная · Часть дома</t>
        </is>
      </c>
      <c r="D1764" t="inlineStr">
        <is>
          <t>Премиум, ₽/сут</t>
        </is>
      </c>
      <c r="E1764" t="n">
        <v>53</v>
      </c>
    </row>
    <row r="1765">
      <c r="A1765" t="inlineStr">
        <is>
          <t>CIAN</t>
        </is>
      </c>
      <c r="B1765" t="inlineStr">
        <is>
          <t>Уфа</t>
        </is>
      </c>
      <c r="C1765" t="inlineStr">
        <is>
          <t>Аренда · Загородная · Часть дома</t>
        </is>
      </c>
      <c r="D1765" t="inlineStr">
        <is>
          <t>Стандарт, ₽/сут</t>
        </is>
      </c>
      <c r="E1765" t="n">
        <v>18</v>
      </c>
    </row>
    <row r="1766">
      <c r="A1766" t="inlineStr">
        <is>
          <t>CIAN</t>
        </is>
      </c>
      <c r="B1766" t="inlineStr">
        <is>
          <t>Краснодар</t>
        </is>
      </c>
      <c r="C1766" t="inlineStr">
        <is>
          <t>Аренда · Загородная · Часть дома</t>
        </is>
      </c>
      <c r="D1766" t="inlineStr">
        <is>
          <t>Публикация, ₽/30 дн</t>
        </is>
      </c>
      <c r="E1766" t="n">
        <v>162</v>
      </c>
    </row>
    <row r="1767">
      <c r="A1767" t="inlineStr">
        <is>
          <t>CIAN</t>
        </is>
      </c>
      <c r="B1767" t="inlineStr">
        <is>
          <t>Краснодар</t>
        </is>
      </c>
      <c r="C1767" t="inlineStr">
        <is>
          <t>Аренда · Загородная · Часть дома</t>
        </is>
      </c>
      <c r="D1767" t="inlineStr">
        <is>
          <t>Топ, ₽/сут</t>
        </is>
      </c>
      <c r="E1767" t="n">
        <v>178</v>
      </c>
    </row>
    <row r="1768">
      <c r="A1768" t="inlineStr">
        <is>
          <t>CIAN</t>
        </is>
      </c>
      <c r="B1768" t="inlineStr">
        <is>
          <t>Краснодар</t>
        </is>
      </c>
      <c r="C1768" t="inlineStr">
        <is>
          <t>Аренда · Загородная · Часть дома</t>
        </is>
      </c>
      <c r="D1768" t="inlineStr">
        <is>
          <t>Премиум, ₽/сут</t>
        </is>
      </c>
      <c r="E1768" t="n">
        <v>66</v>
      </c>
    </row>
    <row r="1769">
      <c r="A1769" t="inlineStr">
        <is>
          <t>CIAN</t>
        </is>
      </c>
      <c r="B1769" t="inlineStr">
        <is>
          <t>Краснодар</t>
        </is>
      </c>
      <c r="C1769" t="inlineStr">
        <is>
          <t>Аренда · Загородная · Часть дома</t>
        </is>
      </c>
      <c r="D1769" t="inlineStr">
        <is>
          <t>Стандарт, ₽/сут</t>
        </is>
      </c>
      <c r="E1769" t="n">
        <v>20</v>
      </c>
    </row>
    <row r="1770">
      <c r="A1770" t="inlineStr">
        <is>
          <t>CIAN</t>
        </is>
      </c>
      <c r="B1770" t="inlineStr">
        <is>
          <t>Самара</t>
        </is>
      </c>
      <c r="C1770" t="inlineStr">
        <is>
          <t>Аренда · Загородная · Часть дома</t>
        </is>
      </c>
      <c r="D1770" t="inlineStr">
        <is>
          <t>Публикация, ₽/30 дн</t>
        </is>
      </c>
      <c r="E1770" t="n">
        <v>141</v>
      </c>
    </row>
    <row r="1771">
      <c r="A1771" t="inlineStr">
        <is>
          <t>CIAN</t>
        </is>
      </c>
      <c r="B1771" t="inlineStr">
        <is>
          <t>Самара</t>
        </is>
      </c>
      <c r="C1771" t="inlineStr">
        <is>
          <t>Аренда · Загородная · Часть дома</t>
        </is>
      </c>
      <c r="D1771" t="inlineStr">
        <is>
          <t>Топ, ₽/сут</t>
        </is>
      </c>
      <c r="E1771" t="inlineStr">
        <is>
          <t>—</t>
        </is>
      </c>
    </row>
    <row r="1772">
      <c r="A1772" t="inlineStr">
        <is>
          <t>CIAN</t>
        </is>
      </c>
      <c r="B1772" t="inlineStr">
        <is>
          <t>Самара</t>
        </is>
      </c>
      <c r="C1772" t="inlineStr">
        <is>
          <t>Аренда · Загородная · Часть дома</t>
        </is>
      </c>
      <c r="D1772" t="inlineStr">
        <is>
          <t>Премиум, ₽/сут</t>
        </is>
      </c>
      <c r="E1772" t="inlineStr">
        <is>
          <t>—</t>
        </is>
      </c>
    </row>
    <row r="1773">
      <c r="A1773" t="inlineStr">
        <is>
          <t>CIAN</t>
        </is>
      </c>
      <c r="B1773" t="inlineStr">
        <is>
          <t>Самара</t>
        </is>
      </c>
      <c r="C1773" t="inlineStr">
        <is>
          <t>Аренда · Загородная · Часть дома</t>
        </is>
      </c>
      <c r="D1773" t="inlineStr">
        <is>
          <t>Стандарт, ₽/сут</t>
        </is>
      </c>
      <c r="E1773" t="inlineStr">
        <is>
          <t>—</t>
        </is>
      </c>
    </row>
    <row r="1774">
      <c r="A1774" t="inlineStr">
        <is>
          <t>CIAN</t>
        </is>
      </c>
      <c r="B1774" t="inlineStr">
        <is>
          <t>Ростов-на-Дону</t>
        </is>
      </c>
      <c r="C1774" t="inlineStr">
        <is>
          <t>Аренда · Загородная · Часть дома</t>
        </is>
      </c>
      <c r="D1774" t="inlineStr">
        <is>
          <t>Публикация, ₽/30 дн</t>
        </is>
      </c>
      <c r="E1774" t="n">
        <v>51</v>
      </c>
    </row>
    <row r="1775">
      <c r="A1775" t="inlineStr">
        <is>
          <t>CIAN</t>
        </is>
      </c>
      <c r="B1775" t="inlineStr">
        <is>
          <t>Ростов-на-Дону</t>
        </is>
      </c>
      <c r="C1775" t="inlineStr">
        <is>
          <t>Аренда · Загородная · Часть дома</t>
        </is>
      </c>
      <c r="D1775" t="inlineStr">
        <is>
          <t>Топ, ₽/сут</t>
        </is>
      </c>
      <c r="E1775" t="n">
        <v>179</v>
      </c>
    </row>
    <row r="1776">
      <c r="A1776" t="inlineStr">
        <is>
          <t>CIAN</t>
        </is>
      </c>
      <c r="B1776" t="inlineStr">
        <is>
          <t>Ростов-на-Дону</t>
        </is>
      </c>
      <c r="C1776" t="inlineStr">
        <is>
          <t>Аренда · Загородная · Часть дома</t>
        </is>
      </c>
      <c r="D1776" t="inlineStr">
        <is>
          <t>Премиум, ₽/сут</t>
        </is>
      </c>
      <c r="E1776" t="n">
        <v>70</v>
      </c>
    </row>
    <row r="1777">
      <c r="A1777" t="inlineStr">
        <is>
          <t>CIAN</t>
        </is>
      </c>
      <c r="B1777" t="inlineStr">
        <is>
          <t>Ростов-на-Дону</t>
        </is>
      </c>
      <c r="C1777" t="inlineStr">
        <is>
          <t>Аренда · Загородная · Часть дома</t>
        </is>
      </c>
      <c r="D1777" t="inlineStr">
        <is>
          <t>Стандарт, ₽/сут</t>
        </is>
      </c>
      <c r="E1777" t="n">
        <v>22</v>
      </c>
    </row>
    <row r="1778">
      <c r="A1778" t="inlineStr">
        <is>
          <t>CIAN</t>
        </is>
      </c>
      <c r="B1778" t="inlineStr">
        <is>
          <t>Омск</t>
        </is>
      </c>
      <c r="C1778" t="inlineStr">
        <is>
          <t>Аренда · Загородная · Часть дома</t>
        </is>
      </c>
      <c r="D1778" t="inlineStr">
        <is>
          <t>Публикация, ₽/30 дн</t>
        </is>
      </c>
      <c r="E1778" t="n">
        <v>45</v>
      </c>
    </row>
    <row r="1779">
      <c r="A1779" t="inlineStr">
        <is>
          <t>CIAN</t>
        </is>
      </c>
      <c r="B1779" t="inlineStr">
        <is>
          <t>Омск</t>
        </is>
      </c>
      <c r="C1779" t="inlineStr">
        <is>
          <t>Аренда · Загородная · Часть дома</t>
        </is>
      </c>
      <c r="D1779" t="inlineStr">
        <is>
          <t>Топ, ₽/сут</t>
        </is>
      </c>
      <c r="E1779" t="n">
        <v>171</v>
      </c>
    </row>
    <row r="1780">
      <c r="A1780" t="inlineStr">
        <is>
          <t>CIAN</t>
        </is>
      </c>
      <c r="B1780" t="inlineStr">
        <is>
          <t>Омск</t>
        </is>
      </c>
      <c r="C1780" t="inlineStr">
        <is>
          <t>Аренда · Загородная · Часть дома</t>
        </is>
      </c>
      <c r="D1780" t="inlineStr">
        <is>
          <t>Премиум, ₽/сут</t>
        </is>
      </c>
      <c r="E1780" t="n">
        <v>94</v>
      </c>
    </row>
    <row r="1781">
      <c r="A1781" t="inlineStr">
        <is>
          <t>CIAN</t>
        </is>
      </c>
      <c r="B1781" t="inlineStr">
        <is>
          <t>Омск</t>
        </is>
      </c>
      <c r="C1781" t="inlineStr">
        <is>
          <t>Аренда · Загородная · Часть дома</t>
        </is>
      </c>
      <c r="D1781" t="inlineStr">
        <is>
          <t>Стандарт, ₽/сут</t>
        </is>
      </c>
      <c r="E1781" t="n">
        <v>29</v>
      </c>
    </row>
    <row r="1782">
      <c r="A1782" t="inlineStr">
        <is>
          <t>CIAN</t>
        </is>
      </c>
      <c r="B1782" t="inlineStr">
        <is>
          <t>Воронеж</t>
        </is>
      </c>
      <c r="C1782" t="inlineStr">
        <is>
          <t>Аренда · Загородная · Часть дома</t>
        </is>
      </c>
      <c r="D1782" t="inlineStr">
        <is>
          <t>Публикация, ₽/30 дн</t>
        </is>
      </c>
      <c r="E1782" t="n">
        <v>24</v>
      </c>
    </row>
    <row r="1783">
      <c r="A1783" t="inlineStr">
        <is>
          <t>CIAN</t>
        </is>
      </c>
      <c r="B1783" t="inlineStr">
        <is>
          <t>Воронеж</t>
        </is>
      </c>
      <c r="C1783" t="inlineStr">
        <is>
          <t>Аренда · Загородная · Часть дома</t>
        </is>
      </c>
      <c r="D1783" t="inlineStr">
        <is>
          <t>Топ, ₽/сут</t>
        </is>
      </c>
      <c r="E1783" t="inlineStr">
        <is>
          <t>—</t>
        </is>
      </c>
    </row>
    <row r="1784">
      <c r="A1784" t="inlineStr">
        <is>
          <t>CIAN</t>
        </is>
      </c>
      <c r="B1784" t="inlineStr">
        <is>
          <t>Воронеж</t>
        </is>
      </c>
      <c r="C1784" t="inlineStr">
        <is>
          <t>Аренда · Загородная · Часть дома</t>
        </is>
      </c>
      <c r="D1784" t="inlineStr">
        <is>
          <t>Премиум, ₽/сут</t>
        </is>
      </c>
      <c r="E1784" t="inlineStr">
        <is>
          <t>—</t>
        </is>
      </c>
    </row>
    <row r="1785">
      <c r="A1785" t="inlineStr">
        <is>
          <t>CIAN</t>
        </is>
      </c>
      <c r="B1785" t="inlineStr">
        <is>
          <t>Воронеж</t>
        </is>
      </c>
      <c r="C1785" t="inlineStr">
        <is>
          <t>Аренда · Загородная · Часть дома</t>
        </is>
      </c>
      <c r="D1785" t="inlineStr">
        <is>
          <t>Стандарт, ₽/сут</t>
        </is>
      </c>
      <c r="E1785" t="inlineStr">
        <is>
          <t>—</t>
        </is>
      </c>
    </row>
    <row r="1786">
      <c r="A1786" t="inlineStr">
        <is>
          <t>CIAN</t>
        </is>
      </c>
      <c r="B1786" t="inlineStr">
        <is>
          <t>Пермь</t>
        </is>
      </c>
      <c r="C1786" t="inlineStr">
        <is>
          <t>Аренда · Загородная · Часть дома</t>
        </is>
      </c>
      <c r="D1786" t="inlineStr">
        <is>
          <t>Публикация, ₽/30 дн</t>
        </is>
      </c>
      <c r="E1786" t="n">
        <v>117</v>
      </c>
    </row>
    <row r="1787">
      <c r="A1787" t="inlineStr">
        <is>
          <t>CIAN</t>
        </is>
      </c>
      <c r="B1787" t="inlineStr">
        <is>
          <t>Пермь</t>
        </is>
      </c>
      <c r="C1787" t="inlineStr">
        <is>
          <t>Аренда · Загородная · Часть дома</t>
        </is>
      </c>
      <c r="D1787" t="inlineStr">
        <is>
          <t>Топ, ₽/сут</t>
        </is>
      </c>
      <c r="E1787" t="inlineStr">
        <is>
          <t>—</t>
        </is>
      </c>
    </row>
    <row r="1788">
      <c r="A1788" t="inlineStr">
        <is>
          <t>CIAN</t>
        </is>
      </c>
      <c r="B1788" t="inlineStr">
        <is>
          <t>Пермь</t>
        </is>
      </c>
      <c r="C1788" t="inlineStr">
        <is>
          <t>Аренда · Загородная · Часть дома</t>
        </is>
      </c>
      <c r="D1788" t="inlineStr">
        <is>
          <t>Премиум, ₽/сут</t>
        </is>
      </c>
      <c r="E1788" t="inlineStr">
        <is>
          <t>—</t>
        </is>
      </c>
    </row>
    <row r="1789">
      <c r="A1789" t="inlineStr">
        <is>
          <t>CIAN</t>
        </is>
      </c>
      <c r="B1789" t="inlineStr">
        <is>
          <t>Пермь</t>
        </is>
      </c>
      <c r="C1789" t="inlineStr">
        <is>
          <t>Аренда · Загородная · Часть дома</t>
        </is>
      </c>
      <c r="D1789" t="inlineStr">
        <is>
          <t>Стандарт, ₽/сут</t>
        </is>
      </c>
      <c r="E1789" t="inlineStr">
        <is>
          <t>—</t>
        </is>
      </c>
    </row>
    <row r="1790">
      <c r="A1790" t="inlineStr">
        <is>
          <t>CIAN</t>
        </is>
      </c>
      <c r="B1790" t="inlineStr">
        <is>
          <t>Волгоград</t>
        </is>
      </c>
      <c r="C1790" t="inlineStr">
        <is>
          <t>Аренда · Загородная · Часть дома</t>
        </is>
      </c>
      <c r="D1790" t="inlineStr">
        <is>
          <t>Публикация, ₽/30 дн</t>
        </is>
      </c>
      <c r="E1790" t="n">
        <v>117</v>
      </c>
    </row>
    <row r="1791">
      <c r="A1791" t="inlineStr">
        <is>
          <t>CIAN</t>
        </is>
      </c>
      <c r="B1791" t="inlineStr">
        <is>
          <t>Волгоград</t>
        </is>
      </c>
      <c r="C1791" t="inlineStr">
        <is>
          <t>Аренда · Загородная · Часть дома</t>
        </is>
      </c>
      <c r="D1791" t="inlineStr">
        <is>
          <t>Топ, ₽/сут</t>
        </is>
      </c>
      <c r="E1791" t="inlineStr">
        <is>
          <t>—</t>
        </is>
      </c>
    </row>
    <row r="1792">
      <c r="A1792" t="inlineStr">
        <is>
          <t>CIAN</t>
        </is>
      </c>
      <c r="B1792" t="inlineStr">
        <is>
          <t>Волгоград</t>
        </is>
      </c>
      <c r="C1792" t="inlineStr">
        <is>
          <t>Аренда · Загородная · Часть дома</t>
        </is>
      </c>
      <c r="D1792" t="inlineStr">
        <is>
          <t>Премиум, ₽/сут</t>
        </is>
      </c>
      <c r="E1792" t="inlineStr">
        <is>
          <t>—</t>
        </is>
      </c>
    </row>
    <row r="1793">
      <c r="A1793" t="inlineStr">
        <is>
          <t>CIAN</t>
        </is>
      </c>
      <c r="B1793" t="inlineStr">
        <is>
          <t>Волгоград</t>
        </is>
      </c>
      <c r="C1793" t="inlineStr">
        <is>
          <t>Аренда · Загородная · Часть дома</t>
        </is>
      </c>
      <c r="D1793" t="inlineStr">
        <is>
          <t>Стандарт, ₽/сут</t>
        </is>
      </c>
      <c r="E1793" t="inlineStr">
        <is>
          <t>—</t>
        </is>
      </c>
    </row>
    <row r="1794">
      <c r="A1794" t="inlineStr">
        <is>
          <t>CIAN</t>
        </is>
      </c>
      <c r="B1794" t="inlineStr">
        <is>
          <t>Москва</t>
        </is>
      </c>
      <c r="C1794" t="inlineStr">
        <is>
          <t>Аренда · Коммерческая · Офис</t>
        </is>
      </c>
      <c r="D1794" t="inlineStr">
        <is>
          <t>Публикация, ₽/30 дн</t>
        </is>
      </c>
      <c r="E1794" t="n">
        <v>3120</v>
      </c>
    </row>
    <row r="1795">
      <c r="A1795" t="inlineStr">
        <is>
          <t>CIAN</t>
        </is>
      </c>
      <c r="B1795" t="inlineStr">
        <is>
          <t>Москва</t>
        </is>
      </c>
      <c r="C1795" t="inlineStr">
        <is>
          <t>Аренда · Коммерческая · Офис</t>
        </is>
      </c>
      <c r="D1795" t="inlineStr">
        <is>
          <t>Топ, ₽/сут</t>
        </is>
      </c>
      <c r="E1795" t="n">
        <v>1001</v>
      </c>
    </row>
    <row r="1796">
      <c r="A1796" t="inlineStr">
        <is>
          <t>CIAN</t>
        </is>
      </c>
      <c r="B1796" t="inlineStr">
        <is>
          <t>Москва</t>
        </is>
      </c>
      <c r="C1796" t="inlineStr">
        <is>
          <t>Аренда · Коммерческая · Офис</t>
        </is>
      </c>
      <c r="D1796" t="inlineStr">
        <is>
          <t>Премиум, ₽/сут</t>
        </is>
      </c>
      <c r="E1796" t="n">
        <v>588</v>
      </c>
    </row>
    <row r="1797">
      <c r="A1797" t="inlineStr">
        <is>
          <t>CIAN</t>
        </is>
      </c>
      <c r="B1797" t="inlineStr">
        <is>
          <t>Москва</t>
        </is>
      </c>
      <c r="C1797" t="inlineStr">
        <is>
          <t>Аренда · Коммерческая · Офис</t>
        </is>
      </c>
      <c r="D1797" t="inlineStr">
        <is>
          <t>Стандарт, ₽/сут</t>
        </is>
      </c>
      <c r="E1797" t="n">
        <v>222</v>
      </c>
    </row>
    <row r="1798">
      <c r="A1798" t="inlineStr">
        <is>
          <t>CIAN</t>
        </is>
      </c>
      <c r="B1798" t="inlineStr">
        <is>
          <t>Санкт-Петербург</t>
        </is>
      </c>
      <c r="C1798" t="inlineStr">
        <is>
          <t>Аренда · Коммерческая · Офис</t>
        </is>
      </c>
      <c r="D1798" t="inlineStr">
        <is>
          <t>Публикация, ₽/30 дн</t>
        </is>
      </c>
      <c r="E1798" t="n">
        <v>1356</v>
      </c>
    </row>
    <row r="1799">
      <c r="A1799" t="inlineStr">
        <is>
          <t>CIAN</t>
        </is>
      </c>
      <c r="B1799" t="inlineStr">
        <is>
          <t>Санкт-Петербург</t>
        </is>
      </c>
      <c r="C1799" t="inlineStr">
        <is>
          <t>Аренда · Коммерческая · Офис</t>
        </is>
      </c>
      <c r="D1799" t="inlineStr">
        <is>
          <t>Топ, ₽/сут</t>
        </is>
      </c>
      <c r="E1799" t="n">
        <v>721</v>
      </c>
    </row>
    <row r="1800">
      <c r="A1800" t="inlineStr">
        <is>
          <t>CIAN</t>
        </is>
      </c>
      <c r="B1800" t="inlineStr">
        <is>
          <t>Санкт-Петербург</t>
        </is>
      </c>
      <c r="C1800" t="inlineStr">
        <is>
          <t>Аренда · Коммерческая · Офис</t>
        </is>
      </c>
      <c r="D1800" t="inlineStr">
        <is>
          <t>Премиум, ₽/сут</t>
        </is>
      </c>
      <c r="E1800" t="n">
        <v>306</v>
      </c>
    </row>
    <row r="1801">
      <c r="A1801" t="inlineStr">
        <is>
          <t>CIAN</t>
        </is>
      </c>
      <c r="B1801" t="inlineStr">
        <is>
          <t>Санкт-Петербург</t>
        </is>
      </c>
      <c r="C1801" t="inlineStr">
        <is>
          <t>Аренда · Коммерческая · Офис</t>
        </is>
      </c>
      <c r="D1801" t="inlineStr">
        <is>
          <t>Стандарт, ₽/сут</t>
        </is>
      </c>
      <c r="E1801" t="n">
        <v>193</v>
      </c>
    </row>
    <row r="1802">
      <c r="A1802" t="inlineStr">
        <is>
          <t>CIAN</t>
        </is>
      </c>
      <c r="B1802" t="inlineStr">
        <is>
          <t>Новосибирск</t>
        </is>
      </c>
      <c r="C1802" t="inlineStr">
        <is>
          <t>Аренда · Коммерческая · Офис</t>
        </is>
      </c>
      <c r="D1802" t="inlineStr">
        <is>
          <t>Публикация, ₽/30 дн</t>
        </is>
      </c>
      <c r="E1802" t="n">
        <v>471</v>
      </c>
    </row>
    <row r="1803">
      <c r="A1803" t="inlineStr">
        <is>
          <t>CIAN</t>
        </is>
      </c>
      <c r="B1803" t="inlineStr">
        <is>
          <t>Новосибирск</t>
        </is>
      </c>
      <c r="C1803" t="inlineStr">
        <is>
          <t>Аренда · Коммерческая · Офис</t>
        </is>
      </c>
      <c r="D1803" t="inlineStr">
        <is>
          <t>Топ, ₽/сут</t>
        </is>
      </c>
      <c r="E1803" t="n">
        <v>385</v>
      </c>
    </row>
    <row r="1804">
      <c r="A1804" t="inlineStr">
        <is>
          <t>CIAN</t>
        </is>
      </c>
      <c r="B1804" t="inlineStr">
        <is>
          <t>Новосибирск</t>
        </is>
      </c>
      <c r="C1804" t="inlineStr">
        <is>
          <t>Аренда · Коммерческая · Офис</t>
        </is>
      </c>
      <c r="D1804" t="inlineStr">
        <is>
          <t>Премиум, ₽/сут</t>
        </is>
      </c>
      <c r="E1804" t="n">
        <v>171</v>
      </c>
    </row>
    <row r="1805">
      <c r="A1805" t="inlineStr">
        <is>
          <t>CIAN</t>
        </is>
      </c>
      <c r="B1805" t="inlineStr">
        <is>
          <t>Новосибирск</t>
        </is>
      </c>
      <c r="C1805" t="inlineStr">
        <is>
          <t>Аренда · Коммерческая · Офис</t>
        </is>
      </c>
      <c r="D1805" t="inlineStr">
        <is>
          <t>Стандарт, ₽/сут</t>
        </is>
      </c>
      <c r="E1805" t="n">
        <v>52</v>
      </c>
    </row>
    <row r="1806">
      <c r="A1806" t="inlineStr">
        <is>
          <t>CIAN</t>
        </is>
      </c>
      <c r="B1806" t="inlineStr">
        <is>
          <t>Екатеринбург</t>
        </is>
      </c>
      <c r="C1806" t="inlineStr">
        <is>
          <t>Аренда · Коммерческая · Офис</t>
        </is>
      </c>
      <c r="D1806" t="inlineStr">
        <is>
          <t>Публикация, ₽/30 дн</t>
        </is>
      </c>
      <c r="E1806" t="n">
        <v>444</v>
      </c>
    </row>
    <row r="1807">
      <c r="A1807" t="inlineStr">
        <is>
          <t>CIAN</t>
        </is>
      </c>
      <c r="B1807" t="inlineStr">
        <is>
          <t>Екатеринбург</t>
        </is>
      </c>
      <c r="C1807" t="inlineStr">
        <is>
          <t>Аренда · Коммерческая · Офис</t>
        </is>
      </c>
      <c r="D1807" t="inlineStr">
        <is>
          <t>Топ, ₽/сут</t>
        </is>
      </c>
      <c r="E1807" t="n">
        <v>542</v>
      </c>
    </row>
    <row r="1808">
      <c r="A1808" t="inlineStr">
        <is>
          <t>CIAN</t>
        </is>
      </c>
      <c r="B1808" t="inlineStr">
        <is>
          <t>Екатеринбург</t>
        </is>
      </c>
      <c r="C1808" t="inlineStr">
        <is>
          <t>Аренда · Коммерческая · Офис</t>
        </is>
      </c>
      <c r="D1808" t="inlineStr">
        <is>
          <t>Премиум, ₽/сут</t>
        </is>
      </c>
      <c r="E1808" t="n">
        <v>267</v>
      </c>
    </row>
    <row r="1809">
      <c r="A1809" t="inlineStr">
        <is>
          <t>CIAN</t>
        </is>
      </c>
      <c r="B1809" t="inlineStr">
        <is>
          <t>Екатеринбург</t>
        </is>
      </c>
      <c r="C1809" t="inlineStr">
        <is>
          <t>Аренда · Коммерческая · Офис</t>
        </is>
      </c>
      <c r="D1809" t="inlineStr">
        <is>
          <t>Стандарт, ₽/сут</t>
        </is>
      </c>
      <c r="E1809" t="n">
        <v>105</v>
      </c>
    </row>
    <row r="1810">
      <c r="A1810" t="inlineStr">
        <is>
          <t>CIAN</t>
        </is>
      </c>
      <c r="B1810" t="inlineStr">
        <is>
          <t>Казань</t>
        </is>
      </c>
      <c r="C1810" t="inlineStr">
        <is>
          <t>Аренда · Коммерческая · Офис</t>
        </is>
      </c>
      <c r="D1810" t="inlineStr">
        <is>
          <t>Публикация, ₽/30 дн</t>
        </is>
      </c>
      <c r="E1810" t="n">
        <v>168</v>
      </c>
    </row>
    <row r="1811">
      <c r="A1811" t="inlineStr">
        <is>
          <t>CIAN</t>
        </is>
      </c>
      <c r="B1811" t="inlineStr">
        <is>
          <t>Казань</t>
        </is>
      </c>
      <c r="C1811" t="inlineStr">
        <is>
          <t>Аренда · Коммерческая · Офис</t>
        </is>
      </c>
      <c r="D1811" t="inlineStr">
        <is>
          <t>Топ, ₽/сут</t>
        </is>
      </c>
      <c r="E1811" t="n">
        <v>155</v>
      </c>
    </row>
    <row r="1812">
      <c r="A1812" t="inlineStr">
        <is>
          <t>CIAN</t>
        </is>
      </c>
      <c r="B1812" t="inlineStr">
        <is>
          <t>Казань</t>
        </is>
      </c>
      <c r="C1812" t="inlineStr">
        <is>
          <t>Аренда · Коммерческая · Офис</t>
        </is>
      </c>
      <c r="D1812" t="inlineStr">
        <is>
          <t>Премиум, ₽/сут</t>
        </is>
      </c>
      <c r="E1812" t="n">
        <v>68</v>
      </c>
    </row>
    <row r="1813">
      <c r="A1813" t="inlineStr">
        <is>
          <t>CIAN</t>
        </is>
      </c>
      <c r="B1813" t="inlineStr">
        <is>
          <t>Казань</t>
        </is>
      </c>
      <c r="C1813" t="inlineStr">
        <is>
          <t>Аренда · Коммерческая · Офис</t>
        </is>
      </c>
      <c r="D1813" t="inlineStr">
        <is>
          <t>Стандарт, ₽/сут</t>
        </is>
      </c>
      <c r="E1813" t="n">
        <v>22</v>
      </c>
    </row>
    <row r="1814">
      <c r="A1814" t="inlineStr">
        <is>
          <t>CIAN</t>
        </is>
      </c>
      <c r="B1814" t="inlineStr">
        <is>
          <t>Красноярск</t>
        </is>
      </c>
      <c r="C1814" t="inlineStr">
        <is>
          <t>Аренда · Коммерческая · Офис</t>
        </is>
      </c>
      <c r="D1814" t="inlineStr">
        <is>
          <t>Публикация, ₽/30 дн</t>
        </is>
      </c>
      <c r="E1814" t="n">
        <v>642</v>
      </c>
    </row>
    <row r="1815">
      <c r="A1815" t="inlineStr">
        <is>
          <t>CIAN</t>
        </is>
      </c>
      <c r="B1815" t="inlineStr">
        <is>
          <t>Красноярск</t>
        </is>
      </c>
      <c r="C1815" t="inlineStr">
        <is>
          <t>Аренда · Коммерческая · Офис</t>
        </is>
      </c>
      <c r="D1815" t="inlineStr">
        <is>
          <t>Топ, ₽/сут</t>
        </is>
      </c>
      <c r="E1815" t="inlineStr">
        <is>
          <t>—</t>
        </is>
      </c>
    </row>
    <row r="1816">
      <c r="A1816" t="inlineStr">
        <is>
          <t>CIAN</t>
        </is>
      </c>
      <c r="B1816" t="inlineStr">
        <is>
          <t>Красноярск</t>
        </is>
      </c>
      <c r="C1816" t="inlineStr">
        <is>
          <t>Аренда · Коммерческая · Офис</t>
        </is>
      </c>
      <c r="D1816" t="inlineStr">
        <is>
          <t>Премиум, ₽/сут</t>
        </is>
      </c>
      <c r="E1816" t="inlineStr">
        <is>
          <t>—</t>
        </is>
      </c>
    </row>
    <row r="1817">
      <c r="A1817" t="inlineStr">
        <is>
          <t>CIAN</t>
        </is>
      </c>
      <c r="B1817" t="inlineStr">
        <is>
          <t>Красноярск</t>
        </is>
      </c>
      <c r="C1817" t="inlineStr">
        <is>
          <t>Аренда · Коммерческая · Офис</t>
        </is>
      </c>
      <c r="D1817" t="inlineStr">
        <is>
          <t>Стандарт, ₽/сут</t>
        </is>
      </c>
      <c r="E1817" t="inlineStr">
        <is>
          <t>—</t>
        </is>
      </c>
    </row>
    <row r="1818">
      <c r="A1818" t="inlineStr">
        <is>
          <t>CIAN</t>
        </is>
      </c>
      <c r="B1818" t="inlineStr">
        <is>
          <t>Нижний Новгород</t>
        </is>
      </c>
      <c r="C1818" t="inlineStr">
        <is>
          <t>Аренда · Коммерческая · Офис</t>
        </is>
      </c>
      <c r="D1818" t="inlineStr">
        <is>
          <t>Публикация, ₽/30 дн</t>
        </is>
      </c>
      <c r="E1818" t="n">
        <v>303</v>
      </c>
    </row>
    <row r="1819">
      <c r="A1819" t="inlineStr">
        <is>
          <t>CIAN</t>
        </is>
      </c>
      <c r="B1819" t="inlineStr">
        <is>
          <t>Нижний Новгород</t>
        </is>
      </c>
      <c r="C1819" t="inlineStr">
        <is>
          <t>Аренда · Коммерческая · Офис</t>
        </is>
      </c>
      <c r="D1819" t="inlineStr">
        <is>
          <t>Топ, ₽/сут</t>
        </is>
      </c>
      <c r="E1819" t="n">
        <v>176</v>
      </c>
    </row>
    <row r="1820">
      <c r="A1820" t="inlineStr">
        <is>
          <t>CIAN</t>
        </is>
      </c>
      <c r="B1820" t="inlineStr">
        <is>
          <t>Нижний Новгород</t>
        </is>
      </c>
      <c r="C1820" t="inlineStr">
        <is>
          <t>Аренда · Коммерческая · Офис</t>
        </is>
      </c>
      <c r="D1820" t="inlineStr">
        <is>
          <t>Премиум, ₽/сут</t>
        </is>
      </c>
      <c r="E1820" t="n">
        <v>74</v>
      </c>
    </row>
    <row r="1821">
      <c r="A1821" t="inlineStr">
        <is>
          <t>CIAN</t>
        </is>
      </c>
      <c r="B1821" t="inlineStr">
        <is>
          <t>Нижний Новгород</t>
        </is>
      </c>
      <c r="C1821" t="inlineStr">
        <is>
          <t>Аренда · Коммерческая · Офис</t>
        </is>
      </c>
      <c r="D1821" t="inlineStr">
        <is>
          <t>Стандарт, ₽/сут</t>
        </is>
      </c>
      <c r="E1821" t="n">
        <v>23</v>
      </c>
    </row>
    <row r="1822">
      <c r="A1822" t="inlineStr">
        <is>
          <t>CIAN</t>
        </is>
      </c>
      <c r="B1822" t="inlineStr">
        <is>
          <t>Челябинск</t>
        </is>
      </c>
      <c r="C1822" t="inlineStr">
        <is>
          <t>Аренда · Коммерческая · Офис</t>
        </is>
      </c>
      <c r="D1822" t="inlineStr">
        <is>
          <t>Публикация, ₽/30 дн</t>
        </is>
      </c>
      <c r="E1822" t="n">
        <v>225</v>
      </c>
    </row>
    <row r="1823">
      <c r="A1823" t="inlineStr">
        <is>
          <t>CIAN</t>
        </is>
      </c>
      <c r="B1823" t="inlineStr">
        <is>
          <t>Челябинск</t>
        </is>
      </c>
      <c r="C1823" t="inlineStr">
        <is>
          <t>Аренда · Коммерческая · Офис</t>
        </is>
      </c>
      <c r="D1823" t="inlineStr">
        <is>
          <t>Топ, ₽/сут</t>
        </is>
      </c>
      <c r="E1823" t="n">
        <v>225</v>
      </c>
    </row>
    <row r="1824">
      <c r="A1824" t="inlineStr">
        <is>
          <t>CIAN</t>
        </is>
      </c>
      <c r="B1824" t="inlineStr">
        <is>
          <t>Челябинск</t>
        </is>
      </c>
      <c r="C1824" t="inlineStr">
        <is>
          <t>Аренда · Коммерческая · Офис</t>
        </is>
      </c>
      <c r="D1824" t="inlineStr">
        <is>
          <t>Премиум, ₽/сут</t>
        </is>
      </c>
      <c r="E1824" t="n">
        <v>105</v>
      </c>
    </row>
    <row r="1825">
      <c r="A1825" t="inlineStr">
        <is>
          <t>CIAN</t>
        </is>
      </c>
      <c r="B1825" t="inlineStr">
        <is>
          <t>Челябинск</t>
        </is>
      </c>
      <c r="C1825" t="inlineStr">
        <is>
          <t>Аренда · Коммерческая · Офис</t>
        </is>
      </c>
      <c r="D1825" t="inlineStr">
        <is>
          <t>Стандарт, ₽/сут</t>
        </is>
      </c>
      <c r="E1825" t="n">
        <v>33</v>
      </c>
    </row>
    <row r="1826">
      <c r="A1826" t="inlineStr">
        <is>
          <t>CIAN</t>
        </is>
      </c>
      <c r="B1826" t="inlineStr">
        <is>
          <t>Уфа</t>
        </is>
      </c>
      <c r="C1826" t="inlineStr">
        <is>
          <t>Аренда · Коммерческая · Офис</t>
        </is>
      </c>
      <c r="D1826" t="inlineStr">
        <is>
          <t>Публикация, ₽/30 дн</t>
        </is>
      </c>
      <c r="E1826" t="n">
        <v>450</v>
      </c>
    </row>
    <row r="1827">
      <c r="A1827" t="inlineStr">
        <is>
          <t>CIAN</t>
        </is>
      </c>
      <c r="B1827" t="inlineStr">
        <is>
          <t>Уфа</t>
        </is>
      </c>
      <c r="C1827" t="inlineStr">
        <is>
          <t>Аренда · Коммерческая · Офис</t>
        </is>
      </c>
      <c r="D1827" t="inlineStr">
        <is>
          <t>Топ, ₽/сут</t>
        </is>
      </c>
      <c r="E1827" t="n">
        <v>112</v>
      </c>
    </row>
    <row r="1828">
      <c r="A1828" t="inlineStr">
        <is>
          <t>CIAN</t>
        </is>
      </c>
      <c r="B1828" t="inlineStr">
        <is>
          <t>Уфа</t>
        </is>
      </c>
      <c r="C1828" t="inlineStr">
        <is>
          <t>Аренда · Коммерческая · Офис</t>
        </is>
      </c>
      <c r="D1828" t="inlineStr">
        <is>
          <t>Премиум, ₽/сут</t>
        </is>
      </c>
      <c r="E1828" t="n">
        <v>49</v>
      </c>
    </row>
    <row r="1829">
      <c r="A1829" t="inlineStr">
        <is>
          <t>CIAN</t>
        </is>
      </c>
      <c r="B1829" t="inlineStr">
        <is>
          <t>Уфа</t>
        </is>
      </c>
      <c r="C1829" t="inlineStr">
        <is>
          <t>Аренда · Коммерческая · Офис</t>
        </is>
      </c>
      <c r="D1829" t="inlineStr">
        <is>
          <t>Стандарт, ₽/сут</t>
        </is>
      </c>
      <c r="E1829" t="n">
        <v>14</v>
      </c>
    </row>
    <row r="1830">
      <c r="A1830" t="inlineStr">
        <is>
          <t>CIAN</t>
        </is>
      </c>
      <c r="B1830" t="inlineStr">
        <is>
          <t>Краснодар</t>
        </is>
      </c>
      <c r="C1830" t="inlineStr">
        <is>
          <t>Аренда · Коммерческая · Офис</t>
        </is>
      </c>
      <c r="D1830" t="inlineStr">
        <is>
          <t>Публикация, ₽/30 дн</t>
        </is>
      </c>
      <c r="E1830" t="n">
        <v>147</v>
      </c>
    </row>
    <row r="1831">
      <c r="A1831" t="inlineStr">
        <is>
          <t>CIAN</t>
        </is>
      </c>
      <c r="B1831" t="inlineStr">
        <is>
          <t>Краснодар</t>
        </is>
      </c>
      <c r="C1831" t="inlineStr">
        <is>
          <t>Аренда · Коммерческая · Офис</t>
        </is>
      </c>
      <c r="D1831" t="inlineStr">
        <is>
          <t>Топ, ₽/сут</t>
        </is>
      </c>
      <c r="E1831" t="n">
        <v>143</v>
      </c>
    </row>
    <row r="1832">
      <c r="A1832" t="inlineStr">
        <is>
          <t>CIAN</t>
        </is>
      </c>
      <c r="B1832" t="inlineStr">
        <is>
          <t>Краснодар</t>
        </is>
      </c>
      <c r="C1832" t="inlineStr">
        <is>
          <t>Аренда · Коммерческая · Офис</t>
        </is>
      </c>
      <c r="D1832" t="inlineStr">
        <is>
          <t>Премиум, ₽/сут</t>
        </is>
      </c>
      <c r="E1832" t="n">
        <v>63</v>
      </c>
    </row>
    <row r="1833">
      <c r="A1833" t="inlineStr">
        <is>
          <t>CIAN</t>
        </is>
      </c>
      <c r="B1833" t="inlineStr">
        <is>
          <t>Краснодар</t>
        </is>
      </c>
      <c r="C1833" t="inlineStr">
        <is>
          <t>Аренда · Коммерческая · Офис</t>
        </is>
      </c>
      <c r="D1833" t="inlineStr">
        <is>
          <t>Стандарт, ₽/сут</t>
        </is>
      </c>
      <c r="E1833" t="n">
        <v>18</v>
      </c>
    </row>
    <row r="1834">
      <c r="A1834" t="inlineStr">
        <is>
          <t>CIAN</t>
        </is>
      </c>
      <c r="B1834" t="inlineStr">
        <is>
          <t>Самара</t>
        </is>
      </c>
      <c r="C1834" t="inlineStr">
        <is>
          <t>Аренда · Коммерческая · Офис</t>
        </is>
      </c>
      <c r="D1834" t="inlineStr">
        <is>
          <t>Публикация, ₽/30 дн</t>
        </is>
      </c>
      <c r="E1834" t="n">
        <v>108</v>
      </c>
    </row>
    <row r="1835">
      <c r="A1835" t="inlineStr">
        <is>
          <t>CIAN</t>
        </is>
      </c>
      <c r="B1835" t="inlineStr">
        <is>
          <t>Самара</t>
        </is>
      </c>
      <c r="C1835" t="inlineStr">
        <is>
          <t>Аренда · Коммерческая · Офис</t>
        </is>
      </c>
      <c r="D1835" t="inlineStr">
        <is>
          <t>Топ, ₽/сут</t>
        </is>
      </c>
      <c r="E1835" t="inlineStr">
        <is>
          <t>—</t>
        </is>
      </c>
    </row>
    <row r="1836">
      <c r="A1836" t="inlineStr">
        <is>
          <t>CIAN</t>
        </is>
      </c>
      <c r="B1836" t="inlineStr">
        <is>
          <t>Самара</t>
        </is>
      </c>
      <c r="C1836" t="inlineStr">
        <is>
          <t>Аренда · Коммерческая · Офис</t>
        </is>
      </c>
      <c r="D1836" t="inlineStr">
        <is>
          <t>Премиум, ₽/сут</t>
        </is>
      </c>
      <c r="E1836" t="inlineStr">
        <is>
          <t>—</t>
        </is>
      </c>
    </row>
    <row r="1837">
      <c r="A1837" t="inlineStr">
        <is>
          <t>CIAN</t>
        </is>
      </c>
      <c r="B1837" t="inlineStr">
        <is>
          <t>Самара</t>
        </is>
      </c>
      <c r="C1837" t="inlineStr">
        <is>
          <t>Аренда · Коммерческая · Офис</t>
        </is>
      </c>
      <c r="D1837" t="inlineStr">
        <is>
          <t>Стандарт, ₽/сут</t>
        </is>
      </c>
      <c r="E1837" t="inlineStr">
        <is>
          <t>—</t>
        </is>
      </c>
    </row>
    <row r="1838">
      <c r="A1838" t="inlineStr">
        <is>
          <t>CIAN</t>
        </is>
      </c>
      <c r="B1838" t="inlineStr">
        <is>
          <t>Ростов-на-Дону</t>
        </is>
      </c>
      <c r="C1838" t="inlineStr">
        <is>
          <t>Аренда · Коммерческая · Офис</t>
        </is>
      </c>
      <c r="D1838" t="inlineStr">
        <is>
          <t>Публикация, ₽/30 дн</t>
        </is>
      </c>
      <c r="E1838" t="n">
        <v>267</v>
      </c>
    </row>
    <row r="1839">
      <c r="A1839" t="inlineStr">
        <is>
          <t>CIAN</t>
        </is>
      </c>
      <c r="B1839" t="inlineStr">
        <is>
          <t>Ростов-на-Дону</t>
        </is>
      </c>
      <c r="C1839" t="inlineStr">
        <is>
          <t>Аренда · Коммерческая · Офис</t>
        </is>
      </c>
      <c r="D1839" t="inlineStr">
        <is>
          <t>Топ, ₽/сут</t>
        </is>
      </c>
      <c r="E1839" t="n">
        <v>145</v>
      </c>
    </row>
    <row r="1840">
      <c r="A1840" t="inlineStr">
        <is>
          <t>CIAN</t>
        </is>
      </c>
      <c r="B1840" t="inlineStr">
        <is>
          <t>Ростов-на-Дону</t>
        </is>
      </c>
      <c r="C1840" t="inlineStr">
        <is>
          <t>Аренда · Коммерческая · Офис</t>
        </is>
      </c>
      <c r="D1840" t="inlineStr">
        <is>
          <t>Премиум, ₽/сут</t>
        </is>
      </c>
      <c r="E1840" t="n">
        <v>61</v>
      </c>
    </row>
    <row r="1841">
      <c r="A1841" t="inlineStr">
        <is>
          <t>CIAN</t>
        </is>
      </c>
      <c r="B1841" t="inlineStr">
        <is>
          <t>Ростов-на-Дону</t>
        </is>
      </c>
      <c r="C1841" t="inlineStr">
        <is>
          <t>Аренда · Коммерческая · Офис</t>
        </is>
      </c>
      <c r="D1841" t="inlineStr">
        <is>
          <t>Стандарт, ₽/сут</t>
        </is>
      </c>
      <c r="E1841" t="n">
        <v>17</v>
      </c>
    </row>
    <row r="1842">
      <c r="A1842" t="inlineStr">
        <is>
          <t>CIAN</t>
        </is>
      </c>
      <c r="B1842" t="inlineStr">
        <is>
          <t>Омск</t>
        </is>
      </c>
      <c r="C1842" t="inlineStr">
        <is>
          <t>Аренда · Коммерческая · Офис</t>
        </is>
      </c>
      <c r="D1842" t="inlineStr">
        <is>
          <t>Публикация, ₽/30 дн</t>
        </is>
      </c>
      <c r="E1842" t="n">
        <v>366</v>
      </c>
    </row>
    <row r="1843">
      <c r="A1843" t="inlineStr">
        <is>
          <t>CIAN</t>
        </is>
      </c>
      <c r="B1843" t="inlineStr">
        <is>
          <t>Омск</t>
        </is>
      </c>
      <c r="C1843" t="inlineStr">
        <is>
          <t>Аренда · Коммерческая · Офис</t>
        </is>
      </c>
      <c r="D1843" t="inlineStr">
        <is>
          <t>Топ, ₽/сут</t>
        </is>
      </c>
      <c r="E1843" t="n">
        <v>205</v>
      </c>
    </row>
    <row r="1844">
      <c r="A1844" t="inlineStr">
        <is>
          <t>CIAN</t>
        </is>
      </c>
      <c r="B1844" t="inlineStr">
        <is>
          <t>Омск</t>
        </is>
      </c>
      <c r="C1844" t="inlineStr">
        <is>
          <t>Аренда · Коммерческая · Офис</t>
        </is>
      </c>
      <c r="D1844" t="inlineStr">
        <is>
          <t>Премиум, ₽/сут</t>
        </is>
      </c>
      <c r="E1844" t="n">
        <v>114</v>
      </c>
    </row>
    <row r="1845">
      <c r="A1845" t="inlineStr">
        <is>
          <t>CIAN</t>
        </is>
      </c>
      <c r="B1845" t="inlineStr">
        <is>
          <t>Омск</t>
        </is>
      </c>
      <c r="C1845" t="inlineStr">
        <is>
          <t>Аренда · Коммерческая · Офис</t>
        </is>
      </c>
      <c r="D1845" t="inlineStr">
        <is>
          <t>Стандарт, ₽/сут</t>
        </is>
      </c>
      <c r="E1845" t="n">
        <v>36</v>
      </c>
    </row>
    <row r="1846">
      <c r="A1846" t="inlineStr">
        <is>
          <t>CIAN</t>
        </is>
      </c>
      <c r="B1846" t="inlineStr">
        <is>
          <t>Воронеж</t>
        </is>
      </c>
      <c r="C1846" t="inlineStr">
        <is>
          <t>Аренда · Коммерческая · Офис</t>
        </is>
      </c>
      <c r="D1846" t="inlineStr">
        <is>
          <t>Публикация, ₽/30 дн</t>
        </is>
      </c>
      <c r="E1846" t="n">
        <v>114</v>
      </c>
    </row>
    <row r="1847">
      <c r="A1847" t="inlineStr">
        <is>
          <t>CIAN</t>
        </is>
      </c>
      <c r="B1847" t="inlineStr">
        <is>
          <t>Воронеж</t>
        </is>
      </c>
      <c r="C1847" t="inlineStr">
        <is>
          <t>Аренда · Коммерческая · Офис</t>
        </is>
      </c>
      <c r="D1847" t="inlineStr">
        <is>
          <t>Топ, ₽/сут</t>
        </is>
      </c>
      <c r="E1847" t="inlineStr">
        <is>
          <t>—</t>
        </is>
      </c>
    </row>
    <row r="1848">
      <c r="A1848" t="inlineStr">
        <is>
          <t>CIAN</t>
        </is>
      </c>
      <c r="B1848" t="inlineStr">
        <is>
          <t>Воронеж</t>
        </is>
      </c>
      <c r="C1848" t="inlineStr">
        <is>
          <t>Аренда · Коммерческая · Офис</t>
        </is>
      </c>
      <c r="D1848" t="inlineStr">
        <is>
          <t>Премиум, ₽/сут</t>
        </is>
      </c>
      <c r="E1848" t="inlineStr">
        <is>
          <t>—</t>
        </is>
      </c>
    </row>
    <row r="1849">
      <c r="A1849" t="inlineStr">
        <is>
          <t>CIAN</t>
        </is>
      </c>
      <c r="B1849" t="inlineStr">
        <is>
          <t>Воронеж</t>
        </is>
      </c>
      <c r="C1849" t="inlineStr">
        <is>
          <t>Аренда · Коммерческая · Офис</t>
        </is>
      </c>
      <c r="D1849" t="inlineStr">
        <is>
          <t>Стандарт, ₽/сут</t>
        </is>
      </c>
      <c r="E1849" t="inlineStr">
        <is>
          <t>—</t>
        </is>
      </c>
    </row>
    <row r="1850">
      <c r="A1850" t="inlineStr">
        <is>
          <t>CIAN</t>
        </is>
      </c>
      <c r="B1850" t="inlineStr">
        <is>
          <t>Пермь</t>
        </is>
      </c>
      <c r="C1850" t="inlineStr">
        <is>
          <t>Аренда · Коммерческая · Офис</t>
        </is>
      </c>
      <c r="D1850" t="inlineStr">
        <is>
          <t>Публикация, ₽/30 дн</t>
        </is>
      </c>
      <c r="E1850" t="n">
        <v>24</v>
      </c>
    </row>
    <row r="1851">
      <c r="A1851" t="inlineStr">
        <is>
          <t>CIAN</t>
        </is>
      </c>
      <c r="B1851" t="inlineStr">
        <is>
          <t>Пермь</t>
        </is>
      </c>
      <c r="C1851" t="inlineStr">
        <is>
          <t>Аренда · Коммерческая · Офис</t>
        </is>
      </c>
      <c r="D1851" t="inlineStr">
        <is>
          <t>Топ, ₽/сут</t>
        </is>
      </c>
      <c r="E1851" t="inlineStr">
        <is>
          <t>—</t>
        </is>
      </c>
    </row>
    <row r="1852">
      <c r="A1852" t="inlineStr">
        <is>
          <t>CIAN</t>
        </is>
      </c>
      <c r="B1852" t="inlineStr">
        <is>
          <t>Пермь</t>
        </is>
      </c>
      <c r="C1852" t="inlineStr">
        <is>
          <t>Аренда · Коммерческая · Офис</t>
        </is>
      </c>
      <c r="D1852" t="inlineStr">
        <is>
          <t>Премиум, ₽/сут</t>
        </is>
      </c>
      <c r="E1852" t="inlineStr">
        <is>
          <t>—</t>
        </is>
      </c>
    </row>
    <row r="1853">
      <c r="A1853" t="inlineStr">
        <is>
          <t>CIAN</t>
        </is>
      </c>
      <c r="B1853" t="inlineStr">
        <is>
          <t>Пермь</t>
        </is>
      </c>
      <c r="C1853" t="inlineStr">
        <is>
          <t>Аренда · Коммерческая · Офис</t>
        </is>
      </c>
      <c r="D1853" t="inlineStr">
        <is>
          <t>Стандарт, ₽/сут</t>
        </is>
      </c>
      <c r="E1853" t="inlineStr">
        <is>
          <t>—</t>
        </is>
      </c>
    </row>
    <row r="1854">
      <c r="A1854" t="inlineStr">
        <is>
          <t>CIAN</t>
        </is>
      </c>
      <c r="B1854" t="inlineStr">
        <is>
          <t>Волгоград</t>
        </is>
      </c>
      <c r="C1854" t="inlineStr">
        <is>
          <t>Аренда · Коммерческая · Офис</t>
        </is>
      </c>
      <c r="D1854" t="inlineStr">
        <is>
          <t>Публикация, ₽/30 дн</t>
        </is>
      </c>
      <c r="E1854" t="n">
        <v>204</v>
      </c>
    </row>
    <row r="1855">
      <c r="A1855" t="inlineStr">
        <is>
          <t>CIAN</t>
        </is>
      </c>
      <c r="B1855" t="inlineStr">
        <is>
          <t>Волгоград</t>
        </is>
      </c>
      <c r="C1855" t="inlineStr">
        <is>
          <t>Аренда · Коммерческая · Офис</t>
        </is>
      </c>
      <c r="D1855" t="inlineStr">
        <is>
          <t>Топ, ₽/сут</t>
        </is>
      </c>
      <c r="E1855" t="inlineStr">
        <is>
          <t>—</t>
        </is>
      </c>
    </row>
    <row r="1856">
      <c r="A1856" t="inlineStr">
        <is>
          <t>CIAN</t>
        </is>
      </c>
      <c r="B1856" t="inlineStr">
        <is>
          <t>Волгоград</t>
        </is>
      </c>
      <c r="C1856" t="inlineStr">
        <is>
          <t>Аренда · Коммерческая · Офис</t>
        </is>
      </c>
      <c r="D1856" t="inlineStr">
        <is>
          <t>Премиум, ₽/сут</t>
        </is>
      </c>
      <c r="E1856" t="inlineStr">
        <is>
          <t>—</t>
        </is>
      </c>
    </row>
    <row r="1857">
      <c r="A1857" t="inlineStr">
        <is>
          <t>CIAN</t>
        </is>
      </c>
      <c r="B1857" t="inlineStr">
        <is>
          <t>Волгоград</t>
        </is>
      </c>
      <c r="C1857" t="inlineStr">
        <is>
          <t>Аренда · Коммерческая · Офис</t>
        </is>
      </c>
      <c r="D1857" t="inlineStr">
        <is>
          <t>Стандарт, ₽/сут</t>
        </is>
      </c>
      <c r="E1857" t="inlineStr">
        <is>
          <t>—</t>
        </is>
      </c>
    </row>
    <row r="1858">
      <c r="A1858" t="inlineStr">
        <is>
          <t>CIAN</t>
        </is>
      </c>
      <c r="B1858" t="inlineStr">
        <is>
          <t>Москва</t>
        </is>
      </c>
      <c r="C1858" t="inlineStr">
        <is>
          <t>Аренда · Коммерческая · Здание</t>
        </is>
      </c>
      <c r="D1858" t="inlineStr">
        <is>
          <t>Публикация, ₽/30 дн</t>
        </is>
      </c>
      <c r="E1858" t="n">
        <v>3570</v>
      </c>
    </row>
    <row r="1859">
      <c r="A1859" t="inlineStr">
        <is>
          <t>CIAN</t>
        </is>
      </c>
      <c r="B1859" t="inlineStr">
        <is>
          <t>Москва</t>
        </is>
      </c>
      <c r="C1859" t="inlineStr">
        <is>
          <t>Аренда · Коммерческая · Здание</t>
        </is>
      </c>
      <c r="D1859" t="inlineStr">
        <is>
          <t>Топ, ₽/сут</t>
        </is>
      </c>
      <c r="E1859" t="n">
        <v>1090</v>
      </c>
    </row>
    <row r="1860">
      <c r="A1860" t="inlineStr">
        <is>
          <t>CIAN</t>
        </is>
      </c>
      <c r="B1860" t="inlineStr">
        <is>
          <t>Москва</t>
        </is>
      </c>
      <c r="C1860" t="inlineStr">
        <is>
          <t>Аренда · Коммерческая · Здание</t>
        </is>
      </c>
      <c r="D1860" t="inlineStr">
        <is>
          <t>Премиум, ₽/сут</t>
        </is>
      </c>
      <c r="E1860" t="n">
        <v>429</v>
      </c>
    </row>
    <row r="1861">
      <c r="A1861" t="inlineStr">
        <is>
          <t>CIAN</t>
        </is>
      </c>
      <c r="B1861" t="inlineStr">
        <is>
          <t>Москва</t>
        </is>
      </c>
      <c r="C1861" t="inlineStr">
        <is>
          <t>Аренда · Коммерческая · Здание</t>
        </is>
      </c>
      <c r="D1861" t="inlineStr">
        <is>
          <t>Стандарт, ₽/сут</t>
        </is>
      </c>
      <c r="E1861" t="n">
        <v>129</v>
      </c>
    </row>
    <row r="1862">
      <c r="A1862" t="inlineStr">
        <is>
          <t>CIAN</t>
        </is>
      </c>
      <c r="B1862" t="inlineStr">
        <is>
          <t>Санкт-Петербург</t>
        </is>
      </c>
      <c r="C1862" t="inlineStr">
        <is>
          <t>Аренда · Коммерческая · Здание</t>
        </is>
      </c>
      <c r="D1862" t="inlineStr">
        <is>
          <t>Публикация, ₽/30 дн</t>
        </is>
      </c>
      <c r="E1862" t="n">
        <v>1476</v>
      </c>
    </row>
    <row r="1863">
      <c r="A1863" t="inlineStr">
        <is>
          <t>CIAN</t>
        </is>
      </c>
      <c r="B1863" t="inlineStr">
        <is>
          <t>Санкт-Петербург</t>
        </is>
      </c>
      <c r="C1863" t="inlineStr">
        <is>
          <t>Аренда · Коммерческая · Здание</t>
        </is>
      </c>
      <c r="D1863" t="inlineStr">
        <is>
          <t>Топ, ₽/сут</t>
        </is>
      </c>
      <c r="E1863" t="n">
        <v>721</v>
      </c>
    </row>
    <row r="1864">
      <c r="A1864" t="inlineStr">
        <is>
          <t>CIAN</t>
        </is>
      </c>
      <c r="B1864" t="inlineStr">
        <is>
          <t>Санкт-Петербург</t>
        </is>
      </c>
      <c r="C1864" t="inlineStr">
        <is>
          <t>Аренда · Коммерческая · Здание</t>
        </is>
      </c>
      <c r="D1864" t="inlineStr">
        <is>
          <t>Премиум, ₽/сут</t>
        </is>
      </c>
      <c r="E1864" t="n">
        <v>306</v>
      </c>
    </row>
    <row r="1865">
      <c r="A1865" t="inlineStr">
        <is>
          <t>CIAN</t>
        </is>
      </c>
      <c r="B1865" t="inlineStr">
        <is>
          <t>Санкт-Петербург</t>
        </is>
      </c>
      <c r="C1865" t="inlineStr">
        <is>
          <t>Аренда · Коммерческая · Здание</t>
        </is>
      </c>
      <c r="D1865" t="inlineStr">
        <is>
          <t>Стандарт, ₽/сут</t>
        </is>
      </c>
      <c r="E1865" t="n">
        <v>92</v>
      </c>
    </row>
    <row r="1866">
      <c r="A1866" t="inlineStr">
        <is>
          <t>CIAN</t>
        </is>
      </c>
      <c r="B1866" t="inlineStr">
        <is>
          <t>Новосибирск</t>
        </is>
      </c>
      <c r="C1866" t="inlineStr">
        <is>
          <t>Аренда · Коммерческая · Здание</t>
        </is>
      </c>
      <c r="D1866" t="inlineStr">
        <is>
          <t>Публикация, ₽/30 дн</t>
        </is>
      </c>
      <c r="E1866" t="n">
        <v>1500</v>
      </c>
    </row>
    <row r="1867">
      <c r="A1867" t="inlineStr">
        <is>
          <t>CIAN</t>
        </is>
      </c>
      <c r="B1867" t="inlineStr">
        <is>
          <t>Новосибирск</t>
        </is>
      </c>
      <c r="C1867" t="inlineStr">
        <is>
          <t>Аренда · Коммерческая · Здание</t>
        </is>
      </c>
      <c r="D1867" t="inlineStr">
        <is>
          <t>Топ, ₽/сут</t>
        </is>
      </c>
      <c r="E1867" t="n">
        <v>351</v>
      </c>
    </row>
    <row r="1868">
      <c r="A1868" t="inlineStr">
        <is>
          <t>CIAN</t>
        </is>
      </c>
      <c r="B1868" t="inlineStr">
        <is>
          <t>Новосибирск</t>
        </is>
      </c>
      <c r="C1868" t="inlineStr">
        <is>
          <t>Аренда · Коммерческая · Здание</t>
        </is>
      </c>
      <c r="D1868" t="inlineStr">
        <is>
          <t>Премиум, ₽/сут</t>
        </is>
      </c>
      <c r="E1868" t="n">
        <v>173</v>
      </c>
    </row>
    <row r="1869">
      <c r="A1869" t="inlineStr">
        <is>
          <t>CIAN</t>
        </is>
      </c>
      <c r="B1869" t="inlineStr">
        <is>
          <t>Новосибирск</t>
        </is>
      </c>
      <c r="C1869" t="inlineStr">
        <is>
          <t>Аренда · Коммерческая · Здание</t>
        </is>
      </c>
      <c r="D1869" t="inlineStr">
        <is>
          <t>Стандарт, ₽/сут</t>
        </is>
      </c>
      <c r="E1869" t="n">
        <v>52</v>
      </c>
    </row>
    <row r="1870">
      <c r="A1870" t="inlineStr">
        <is>
          <t>CIAN</t>
        </is>
      </c>
      <c r="B1870" t="inlineStr">
        <is>
          <t>Екатеринбург</t>
        </is>
      </c>
      <c r="C1870" t="inlineStr">
        <is>
          <t>Аренда · Коммерческая · Здание</t>
        </is>
      </c>
      <c r="D1870" t="inlineStr">
        <is>
          <t>Публикация, ₽/30 дн</t>
        </is>
      </c>
      <c r="E1870" t="n">
        <v>1470</v>
      </c>
    </row>
    <row r="1871">
      <c r="A1871" t="inlineStr">
        <is>
          <t>CIAN</t>
        </is>
      </c>
      <c r="B1871" t="inlineStr">
        <is>
          <t>Екатеринбург</t>
        </is>
      </c>
      <c r="C1871" t="inlineStr">
        <is>
          <t>Аренда · Коммерческая · Здание</t>
        </is>
      </c>
      <c r="D1871" t="inlineStr">
        <is>
          <t>Топ, ₽/сут</t>
        </is>
      </c>
      <c r="E1871" t="n">
        <v>416</v>
      </c>
    </row>
    <row r="1872">
      <c r="A1872" t="inlineStr">
        <is>
          <t>CIAN</t>
        </is>
      </c>
      <c r="B1872" t="inlineStr">
        <is>
          <t>Екатеринбург</t>
        </is>
      </c>
      <c r="C1872" t="inlineStr">
        <is>
          <t>Аренда · Коммерческая · Здание</t>
        </is>
      </c>
      <c r="D1872" t="inlineStr">
        <is>
          <t>Премиум, ₽/сут</t>
        </is>
      </c>
      <c r="E1872" t="n">
        <v>211</v>
      </c>
    </row>
    <row r="1873">
      <c r="A1873" t="inlineStr">
        <is>
          <t>CIAN</t>
        </is>
      </c>
      <c r="B1873" t="inlineStr">
        <is>
          <t>Екатеринбург</t>
        </is>
      </c>
      <c r="C1873" t="inlineStr">
        <is>
          <t>Аренда · Коммерческая · Здание</t>
        </is>
      </c>
      <c r="D1873" t="inlineStr">
        <is>
          <t>Стандарт, ₽/сут</t>
        </is>
      </c>
      <c r="E1873" t="n">
        <v>65</v>
      </c>
    </row>
    <row r="1874">
      <c r="A1874" t="inlineStr">
        <is>
          <t>CIAN</t>
        </is>
      </c>
      <c r="B1874" t="inlineStr">
        <is>
          <t>Казань</t>
        </is>
      </c>
      <c r="C1874" t="inlineStr">
        <is>
          <t>Аренда · Коммерческая · Здание</t>
        </is>
      </c>
      <c r="D1874" t="inlineStr">
        <is>
          <t>Публикация, ₽/30 дн</t>
        </is>
      </c>
      <c r="E1874" t="n">
        <v>642</v>
      </c>
    </row>
    <row r="1875">
      <c r="A1875" t="inlineStr">
        <is>
          <t>CIAN</t>
        </is>
      </c>
      <c r="B1875" t="inlineStr">
        <is>
          <t>Казань</t>
        </is>
      </c>
      <c r="C1875" t="inlineStr">
        <is>
          <t>Аренда · Коммерческая · Здание</t>
        </is>
      </c>
      <c r="D1875" t="inlineStr">
        <is>
          <t>Топ, ₽/сут</t>
        </is>
      </c>
      <c r="E1875" t="n">
        <v>123</v>
      </c>
    </row>
    <row r="1876">
      <c r="A1876" t="inlineStr">
        <is>
          <t>CIAN</t>
        </is>
      </c>
      <c r="B1876" t="inlineStr">
        <is>
          <t>Казань</t>
        </is>
      </c>
      <c r="C1876" t="inlineStr">
        <is>
          <t>Аренда · Коммерческая · Здание</t>
        </is>
      </c>
      <c r="D1876" t="inlineStr">
        <is>
          <t>Премиум, ₽/сут</t>
        </is>
      </c>
      <c r="E1876" t="n">
        <v>55</v>
      </c>
    </row>
    <row r="1877">
      <c r="A1877" t="inlineStr">
        <is>
          <t>CIAN</t>
        </is>
      </c>
      <c r="B1877" t="inlineStr">
        <is>
          <t>Казань</t>
        </is>
      </c>
      <c r="C1877" t="inlineStr">
        <is>
          <t>Аренда · Коммерческая · Здание</t>
        </is>
      </c>
      <c r="D1877" t="inlineStr">
        <is>
          <t>Стандарт, ₽/сут</t>
        </is>
      </c>
      <c r="E1877" t="n">
        <v>18</v>
      </c>
    </row>
    <row r="1878">
      <c r="A1878" t="inlineStr">
        <is>
          <t>CIAN</t>
        </is>
      </c>
      <c r="B1878" t="inlineStr">
        <is>
          <t>Красноярск</t>
        </is>
      </c>
      <c r="C1878" t="inlineStr">
        <is>
          <t>Аренда · Коммерческая · Здание</t>
        </is>
      </c>
      <c r="D1878" t="inlineStr">
        <is>
          <t>Публикация, ₽/30 дн</t>
        </is>
      </c>
      <c r="E1878" t="n">
        <v>741</v>
      </c>
    </row>
    <row r="1879">
      <c r="A1879" t="inlineStr">
        <is>
          <t>CIAN</t>
        </is>
      </c>
      <c r="B1879" t="inlineStr">
        <is>
          <t>Красноярск</t>
        </is>
      </c>
      <c r="C1879" t="inlineStr">
        <is>
          <t>Аренда · Коммерческая · Здание</t>
        </is>
      </c>
      <c r="D1879" t="inlineStr">
        <is>
          <t>Топ, ₽/сут</t>
        </is>
      </c>
      <c r="E1879" t="inlineStr">
        <is>
          <t>—</t>
        </is>
      </c>
    </row>
    <row r="1880">
      <c r="A1880" t="inlineStr">
        <is>
          <t>CIAN</t>
        </is>
      </c>
      <c r="B1880" t="inlineStr">
        <is>
          <t>Красноярск</t>
        </is>
      </c>
      <c r="C1880" t="inlineStr">
        <is>
          <t>Аренда · Коммерческая · Здание</t>
        </is>
      </c>
      <c r="D1880" t="inlineStr">
        <is>
          <t>Премиум, ₽/сут</t>
        </is>
      </c>
      <c r="E1880" t="inlineStr">
        <is>
          <t>—</t>
        </is>
      </c>
    </row>
    <row r="1881">
      <c r="A1881" t="inlineStr">
        <is>
          <t>CIAN</t>
        </is>
      </c>
      <c r="B1881" t="inlineStr">
        <is>
          <t>Красноярск</t>
        </is>
      </c>
      <c r="C1881" t="inlineStr">
        <is>
          <t>Аренда · Коммерческая · Здание</t>
        </is>
      </c>
      <c r="D1881" t="inlineStr">
        <is>
          <t>Стандарт, ₽/сут</t>
        </is>
      </c>
      <c r="E1881" t="inlineStr">
        <is>
          <t>—</t>
        </is>
      </c>
    </row>
    <row r="1882">
      <c r="A1882" t="inlineStr">
        <is>
          <t>CIAN</t>
        </is>
      </c>
      <c r="B1882" t="inlineStr">
        <is>
          <t>Нижний Новгород</t>
        </is>
      </c>
      <c r="C1882" t="inlineStr">
        <is>
          <t>Аренда · Коммерческая · Здание</t>
        </is>
      </c>
      <c r="D1882" t="inlineStr">
        <is>
          <t>Публикация, ₽/30 дн</t>
        </is>
      </c>
      <c r="E1882" t="n">
        <v>330</v>
      </c>
    </row>
    <row r="1883">
      <c r="A1883" t="inlineStr">
        <is>
          <t>CIAN</t>
        </is>
      </c>
      <c r="B1883" t="inlineStr">
        <is>
          <t>Нижний Новгород</t>
        </is>
      </c>
      <c r="C1883" t="inlineStr">
        <is>
          <t>Аренда · Коммерческая · Здание</t>
        </is>
      </c>
      <c r="D1883" t="inlineStr">
        <is>
          <t>Топ, ₽/сут</t>
        </is>
      </c>
      <c r="E1883" t="n">
        <v>123</v>
      </c>
    </row>
    <row r="1884">
      <c r="A1884" t="inlineStr">
        <is>
          <t>CIAN</t>
        </is>
      </c>
      <c r="B1884" t="inlineStr">
        <is>
          <t>Нижний Новгород</t>
        </is>
      </c>
      <c r="C1884" t="inlineStr">
        <is>
          <t>Аренда · Коммерческая · Здание</t>
        </is>
      </c>
      <c r="D1884" t="inlineStr">
        <is>
          <t>Премиум, ₽/сут</t>
        </is>
      </c>
      <c r="E1884" t="n">
        <v>55</v>
      </c>
    </row>
    <row r="1885">
      <c r="A1885" t="inlineStr">
        <is>
          <t>CIAN</t>
        </is>
      </c>
      <c r="B1885" t="inlineStr">
        <is>
          <t>Нижний Новгород</t>
        </is>
      </c>
      <c r="C1885" t="inlineStr">
        <is>
          <t>Аренда · Коммерческая · Здание</t>
        </is>
      </c>
      <c r="D1885" t="inlineStr">
        <is>
          <t>Стандарт, ₽/сут</t>
        </is>
      </c>
      <c r="E1885" t="n">
        <v>18</v>
      </c>
    </row>
    <row r="1886">
      <c r="A1886" t="inlineStr">
        <is>
          <t>CIAN</t>
        </is>
      </c>
      <c r="B1886" t="inlineStr">
        <is>
          <t>Челябинск</t>
        </is>
      </c>
      <c r="C1886" t="inlineStr">
        <is>
          <t>Аренда · Коммерческая · Здание</t>
        </is>
      </c>
      <c r="D1886" t="inlineStr">
        <is>
          <t>Публикация, ₽/30 дн</t>
        </is>
      </c>
      <c r="E1886" t="n">
        <v>585</v>
      </c>
    </row>
    <row r="1887">
      <c r="A1887" t="inlineStr">
        <is>
          <t>CIAN</t>
        </is>
      </c>
      <c r="B1887" t="inlineStr">
        <is>
          <t>Челябинск</t>
        </is>
      </c>
      <c r="C1887" t="inlineStr">
        <is>
          <t>Аренда · Коммерческая · Здание</t>
        </is>
      </c>
      <c r="D1887" t="inlineStr">
        <is>
          <t>Топ, ₽/сут</t>
        </is>
      </c>
      <c r="E1887" t="n">
        <v>254</v>
      </c>
    </row>
    <row r="1888">
      <c r="A1888" t="inlineStr">
        <is>
          <t>CIAN</t>
        </is>
      </c>
      <c r="B1888" t="inlineStr">
        <is>
          <t>Челябинск</t>
        </is>
      </c>
      <c r="C1888" t="inlineStr">
        <is>
          <t>Аренда · Коммерческая · Здание</t>
        </is>
      </c>
      <c r="D1888" t="inlineStr">
        <is>
          <t>Премиум, ₽/сут</t>
        </is>
      </c>
      <c r="E1888" t="n">
        <v>124</v>
      </c>
    </row>
    <row r="1889">
      <c r="A1889" t="inlineStr">
        <is>
          <t>CIAN</t>
        </is>
      </c>
      <c r="B1889" t="inlineStr">
        <is>
          <t>Челябинск</t>
        </is>
      </c>
      <c r="C1889" t="inlineStr">
        <is>
          <t>Аренда · Коммерческая · Здание</t>
        </is>
      </c>
      <c r="D1889" t="inlineStr">
        <is>
          <t>Стандарт, ₽/сут</t>
        </is>
      </c>
      <c r="E1889" t="n">
        <v>39</v>
      </c>
    </row>
    <row r="1890">
      <c r="A1890" t="inlineStr">
        <is>
          <t>CIAN</t>
        </is>
      </c>
      <c r="B1890" t="inlineStr">
        <is>
          <t>Уфа</t>
        </is>
      </c>
      <c r="C1890" t="inlineStr">
        <is>
          <t>Аренда · Коммерческая · Здание</t>
        </is>
      </c>
      <c r="D1890" t="inlineStr">
        <is>
          <t>Публикация, ₽/30 дн</t>
        </is>
      </c>
      <c r="E1890" t="n">
        <v>648</v>
      </c>
    </row>
    <row r="1891">
      <c r="A1891" t="inlineStr">
        <is>
          <t>CIAN</t>
        </is>
      </c>
      <c r="B1891" t="inlineStr">
        <is>
          <t>Уфа</t>
        </is>
      </c>
      <c r="C1891" t="inlineStr">
        <is>
          <t>Аренда · Коммерческая · Здание</t>
        </is>
      </c>
      <c r="D1891" t="inlineStr">
        <is>
          <t>Топ, ₽/сут</t>
        </is>
      </c>
      <c r="E1891" t="n">
        <v>124</v>
      </c>
    </row>
    <row r="1892">
      <c r="A1892" t="inlineStr">
        <is>
          <t>CIAN</t>
        </is>
      </c>
      <c r="B1892" t="inlineStr">
        <is>
          <t>Уфа</t>
        </is>
      </c>
      <c r="C1892" t="inlineStr">
        <is>
          <t>Аренда · Коммерческая · Здание</t>
        </is>
      </c>
      <c r="D1892" t="inlineStr">
        <is>
          <t>Премиум, ₽/сут</t>
        </is>
      </c>
      <c r="E1892" t="n">
        <v>53</v>
      </c>
    </row>
    <row r="1893">
      <c r="A1893" t="inlineStr">
        <is>
          <t>CIAN</t>
        </is>
      </c>
      <c r="B1893" t="inlineStr">
        <is>
          <t>Уфа</t>
        </is>
      </c>
      <c r="C1893" t="inlineStr">
        <is>
          <t>Аренда · Коммерческая · Здание</t>
        </is>
      </c>
      <c r="D1893" t="inlineStr">
        <is>
          <t>Стандарт, ₽/сут</t>
        </is>
      </c>
      <c r="E1893" t="n">
        <v>17</v>
      </c>
    </row>
    <row r="1894">
      <c r="A1894" t="inlineStr">
        <is>
          <t>CIAN</t>
        </is>
      </c>
      <c r="B1894" t="inlineStr">
        <is>
          <t>Краснодар</t>
        </is>
      </c>
      <c r="C1894" t="inlineStr">
        <is>
          <t>Аренда · Коммерческая · Здание</t>
        </is>
      </c>
      <c r="D1894" t="inlineStr">
        <is>
          <t>Публикация, ₽/30 дн</t>
        </is>
      </c>
      <c r="E1894" t="n">
        <v>570</v>
      </c>
    </row>
    <row r="1895">
      <c r="A1895" t="inlineStr">
        <is>
          <t>CIAN</t>
        </is>
      </c>
      <c r="B1895" t="inlineStr">
        <is>
          <t>Краснодар</t>
        </is>
      </c>
      <c r="C1895" t="inlineStr">
        <is>
          <t>Аренда · Коммерческая · Здание</t>
        </is>
      </c>
      <c r="D1895" t="inlineStr">
        <is>
          <t>Топ, ₽/сут</t>
        </is>
      </c>
      <c r="E1895" t="n">
        <v>130</v>
      </c>
    </row>
    <row r="1896">
      <c r="A1896" t="inlineStr">
        <is>
          <t>CIAN</t>
        </is>
      </c>
      <c r="B1896" t="inlineStr">
        <is>
          <t>Краснодар</t>
        </is>
      </c>
      <c r="C1896" t="inlineStr">
        <is>
          <t>Аренда · Коммерческая · Здание</t>
        </is>
      </c>
      <c r="D1896" t="inlineStr">
        <is>
          <t>Премиум, ₽/сут</t>
        </is>
      </c>
      <c r="E1896" t="n">
        <v>55</v>
      </c>
    </row>
    <row r="1897">
      <c r="A1897" t="inlineStr">
        <is>
          <t>CIAN</t>
        </is>
      </c>
      <c r="B1897" t="inlineStr">
        <is>
          <t>Краснодар</t>
        </is>
      </c>
      <c r="C1897" t="inlineStr">
        <is>
          <t>Аренда · Коммерческая · Здание</t>
        </is>
      </c>
      <c r="D1897" t="inlineStr">
        <is>
          <t>Стандарт, ₽/сут</t>
        </is>
      </c>
      <c r="E1897" t="n">
        <v>17</v>
      </c>
    </row>
    <row r="1898">
      <c r="A1898" t="inlineStr">
        <is>
          <t>CIAN</t>
        </is>
      </c>
      <c r="B1898" t="inlineStr">
        <is>
          <t>Самара</t>
        </is>
      </c>
      <c r="C1898" t="inlineStr">
        <is>
          <t>Аренда · Коммерческая · Здание</t>
        </is>
      </c>
      <c r="D1898" t="inlineStr">
        <is>
          <t>Публикация, ₽/30 дн</t>
        </is>
      </c>
      <c r="E1898" t="n">
        <v>372</v>
      </c>
    </row>
    <row r="1899">
      <c r="A1899" t="inlineStr">
        <is>
          <t>CIAN</t>
        </is>
      </c>
      <c r="B1899" t="inlineStr">
        <is>
          <t>Самара</t>
        </is>
      </c>
      <c r="C1899" t="inlineStr">
        <is>
          <t>Аренда · Коммерческая · Здание</t>
        </is>
      </c>
      <c r="D1899" t="inlineStr">
        <is>
          <t>Топ, ₽/сут</t>
        </is>
      </c>
      <c r="E1899" t="inlineStr">
        <is>
          <t>—</t>
        </is>
      </c>
    </row>
    <row r="1900">
      <c r="A1900" t="inlineStr">
        <is>
          <t>CIAN</t>
        </is>
      </c>
      <c r="B1900" t="inlineStr">
        <is>
          <t>Самара</t>
        </is>
      </c>
      <c r="C1900" t="inlineStr">
        <is>
          <t>Аренда · Коммерческая · Здание</t>
        </is>
      </c>
      <c r="D1900" t="inlineStr">
        <is>
          <t>Премиум, ₽/сут</t>
        </is>
      </c>
      <c r="E1900" t="inlineStr">
        <is>
          <t>—</t>
        </is>
      </c>
    </row>
    <row r="1901">
      <c r="A1901" t="inlineStr">
        <is>
          <t>CIAN</t>
        </is>
      </c>
      <c r="B1901" t="inlineStr">
        <is>
          <t>Самара</t>
        </is>
      </c>
      <c r="C1901" t="inlineStr">
        <is>
          <t>Аренда · Коммерческая · Здание</t>
        </is>
      </c>
      <c r="D1901" t="inlineStr">
        <is>
          <t>Стандарт, ₽/сут</t>
        </is>
      </c>
      <c r="E1901" t="inlineStr">
        <is>
          <t>—</t>
        </is>
      </c>
    </row>
    <row r="1902">
      <c r="A1902" t="inlineStr">
        <is>
          <t>CIAN</t>
        </is>
      </c>
      <c r="B1902" t="inlineStr">
        <is>
          <t>Ростов-на-Дону</t>
        </is>
      </c>
      <c r="C1902" t="inlineStr">
        <is>
          <t>Аренда · Коммерческая · Здание</t>
        </is>
      </c>
      <c r="D1902" t="inlineStr">
        <is>
          <t>Публикация, ₽/30 дн</t>
        </is>
      </c>
      <c r="E1902" t="n">
        <v>513</v>
      </c>
    </row>
    <row r="1903">
      <c r="A1903" t="inlineStr">
        <is>
          <t>CIAN</t>
        </is>
      </c>
      <c r="B1903" t="inlineStr">
        <is>
          <t>Ростов-на-Дону</t>
        </is>
      </c>
      <c r="C1903" t="inlineStr">
        <is>
          <t>Аренда · Коммерческая · Здание</t>
        </is>
      </c>
      <c r="D1903" t="inlineStr">
        <is>
          <t>Топ, ₽/сут</t>
        </is>
      </c>
      <c r="E1903" t="n">
        <v>132</v>
      </c>
    </row>
    <row r="1904">
      <c r="A1904" t="inlineStr">
        <is>
          <t>CIAN</t>
        </is>
      </c>
      <c r="B1904" t="inlineStr">
        <is>
          <t>Ростов-на-Дону</t>
        </is>
      </c>
      <c r="C1904" t="inlineStr">
        <is>
          <t>Аренда · Коммерческая · Здание</t>
        </is>
      </c>
      <c r="D1904" t="inlineStr">
        <is>
          <t>Премиум, ₽/сут</t>
        </is>
      </c>
      <c r="E1904" t="n">
        <v>54</v>
      </c>
    </row>
    <row r="1905">
      <c r="A1905" t="inlineStr">
        <is>
          <t>CIAN</t>
        </is>
      </c>
      <c r="B1905" t="inlineStr">
        <is>
          <t>Ростов-на-Дону</t>
        </is>
      </c>
      <c r="C1905" t="inlineStr">
        <is>
          <t>Аренда · Коммерческая · Здание</t>
        </is>
      </c>
      <c r="D1905" t="inlineStr">
        <is>
          <t>Стандарт, ₽/сут</t>
        </is>
      </c>
      <c r="E1905" t="n">
        <v>16</v>
      </c>
    </row>
    <row r="1906">
      <c r="A1906" t="inlineStr">
        <is>
          <t>CIAN</t>
        </is>
      </c>
      <c r="B1906" t="inlineStr">
        <is>
          <t>Омск</t>
        </is>
      </c>
      <c r="C1906" t="inlineStr">
        <is>
          <t>Аренда · Коммерческая · Здание</t>
        </is>
      </c>
      <c r="D1906" t="inlineStr">
        <is>
          <t>Публикация, ₽/30 дн</t>
        </is>
      </c>
      <c r="E1906" t="n">
        <v>642</v>
      </c>
    </row>
    <row r="1907">
      <c r="A1907" t="inlineStr">
        <is>
          <t>CIAN</t>
        </is>
      </c>
      <c r="B1907" t="inlineStr">
        <is>
          <t>Омск</t>
        </is>
      </c>
      <c r="C1907" t="inlineStr">
        <is>
          <t>Аренда · Коммерческая · Здание</t>
        </is>
      </c>
      <c r="D1907" t="inlineStr">
        <is>
          <t>Топ, ₽/сут</t>
        </is>
      </c>
      <c r="E1907" t="n">
        <v>206</v>
      </c>
    </row>
    <row r="1908">
      <c r="A1908" t="inlineStr">
        <is>
          <t>CIAN</t>
        </is>
      </c>
      <c r="B1908" t="inlineStr">
        <is>
          <t>Омск</t>
        </is>
      </c>
      <c r="C1908" t="inlineStr">
        <is>
          <t>Аренда · Коммерческая · Здание</t>
        </is>
      </c>
      <c r="D1908" t="inlineStr">
        <is>
          <t>Премиум, ₽/сут</t>
        </is>
      </c>
      <c r="E1908" t="n">
        <v>114</v>
      </c>
    </row>
    <row r="1909">
      <c r="A1909" t="inlineStr">
        <is>
          <t>CIAN</t>
        </is>
      </c>
      <c r="B1909" t="inlineStr">
        <is>
          <t>Омск</t>
        </is>
      </c>
      <c r="C1909" t="inlineStr">
        <is>
          <t>Аренда · Коммерческая · Здание</t>
        </is>
      </c>
      <c r="D1909" t="inlineStr">
        <is>
          <t>Стандарт, ₽/сут</t>
        </is>
      </c>
      <c r="E1909" t="n">
        <v>36</v>
      </c>
    </row>
    <row r="1910">
      <c r="A1910" t="inlineStr">
        <is>
          <t>CIAN</t>
        </is>
      </c>
      <c r="B1910" t="inlineStr">
        <is>
          <t>Воронеж</t>
        </is>
      </c>
      <c r="C1910" t="inlineStr">
        <is>
          <t>Аренда · Коммерческая · Здание</t>
        </is>
      </c>
      <c r="D1910" t="inlineStr">
        <is>
          <t>Публикация, ₽/30 дн</t>
        </is>
      </c>
      <c r="E1910" t="n">
        <v>174</v>
      </c>
    </row>
    <row r="1911">
      <c r="A1911" t="inlineStr">
        <is>
          <t>CIAN</t>
        </is>
      </c>
      <c r="B1911" t="inlineStr">
        <is>
          <t>Воронеж</t>
        </is>
      </c>
      <c r="C1911" t="inlineStr">
        <is>
          <t>Аренда · Коммерческая · Здание</t>
        </is>
      </c>
      <c r="D1911" t="inlineStr">
        <is>
          <t>Топ, ₽/сут</t>
        </is>
      </c>
      <c r="E1911" t="inlineStr">
        <is>
          <t>—</t>
        </is>
      </c>
    </row>
    <row r="1912">
      <c r="A1912" t="inlineStr">
        <is>
          <t>CIAN</t>
        </is>
      </c>
      <c r="B1912" t="inlineStr">
        <is>
          <t>Воронеж</t>
        </is>
      </c>
      <c r="C1912" t="inlineStr">
        <is>
          <t>Аренда · Коммерческая · Здание</t>
        </is>
      </c>
      <c r="D1912" t="inlineStr">
        <is>
          <t>Премиум, ₽/сут</t>
        </is>
      </c>
      <c r="E1912" t="inlineStr">
        <is>
          <t>—</t>
        </is>
      </c>
    </row>
    <row r="1913">
      <c r="A1913" t="inlineStr">
        <is>
          <t>CIAN</t>
        </is>
      </c>
      <c r="B1913" t="inlineStr">
        <is>
          <t>Воронеж</t>
        </is>
      </c>
      <c r="C1913" t="inlineStr">
        <is>
          <t>Аренда · Коммерческая · Здание</t>
        </is>
      </c>
      <c r="D1913" t="inlineStr">
        <is>
          <t>Стандарт, ₽/сут</t>
        </is>
      </c>
      <c r="E1913" t="inlineStr">
        <is>
          <t>—</t>
        </is>
      </c>
    </row>
    <row r="1914">
      <c r="A1914" t="inlineStr">
        <is>
          <t>CIAN</t>
        </is>
      </c>
      <c r="B1914" t="inlineStr">
        <is>
          <t>Пермь</t>
        </is>
      </c>
      <c r="C1914" t="inlineStr">
        <is>
          <t>Аренда · Коммерческая · Здание</t>
        </is>
      </c>
      <c r="D1914" t="inlineStr">
        <is>
          <t>Публикация, ₽/30 дн</t>
        </is>
      </c>
      <c r="E1914" t="n">
        <v>108</v>
      </c>
    </row>
    <row r="1915">
      <c r="A1915" t="inlineStr">
        <is>
          <t>CIAN</t>
        </is>
      </c>
      <c r="B1915" t="inlineStr">
        <is>
          <t>Пермь</t>
        </is>
      </c>
      <c r="C1915" t="inlineStr">
        <is>
          <t>Аренда · Коммерческая · Здание</t>
        </is>
      </c>
      <c r="D1915" t="inlineStr">
        <is>
          <t>Топ, ₽/сут</t>
        </is>
      </c>
      <c r="E1915" t="inlineStr">
        <is>
          <t>—</t>
        </is>
      </c>
    </row>
    <row r="1916">
      <c r="A1916" t="inlineStr">
        <is>
          <t>CIAN</t>
        </is>
      </c>
      <c r="B1916" t="inlineStr">
        <is>
          <t>Пермь</t>
        </is>
      </c>
      <c r="C1916" t="inlineStr">
        <is>
          <t>Аренда · Коммерческая · Здание</t>
        </is>
      </c>
      <c r="D1916" t="inlineStr">
        <is>
          <t>Премиум, ₽/сут</t>
        </is>
      </c>
      <c r="E1916" t="inlineStr">
        <is>
          <t>—</t>
        </is>
      </c>
    </row>
    <row r="1917">
      <c r="A1917" t="inlineStr">
        <is>
          <t>CIAN</t>
        </is>
      </c>
      <c r="B1917" t="inlineStr">
        <is>
          <t>Пермь</t>
        </is>
      </c>
      <c r="C1917" t="inlineStr">
        <is>
          <t>Аренда · Коммерческая · Здание</t>
        </is>
      </c>
      <c r="D1917" t="inlineStr">
        <is>
          <t>Стандарт, ₽/сут</t>
        </is>
      </c>
      <c r="E1917" t="inlineStr">
        <is>
          <t>—</t>
        </is>
      </c>
    </row>
    <row r="1918">
      <c r="A1918" t="inlineStr">
        <is>
          <t>CIAN</t>
        </is>
      </c>
      <c r="B1918" t="inlineStr">
        <is>
          <t>Волгоград</t>
        </is>
      </c>
      <c r="C1918" t="inlineStr">
        <is>
          <t>Аренда · Коммерческая · Здание</t>
        </is>
      </c>
      <c r="D1918" t="inlineStr">
        <is>
          <t>Публикация, ₽/30 дн</t>
        </is>
      </c>
      <c r="E1918" t="n">
        <v>234</v>
      </c>
    </row>
    <row r="1919">
      <c r="A1919" t="inlineStr">
        <is>
          <t>CIAN</t>
        </is>
      </c>
      <c r="B1919" t="inlineStr">
        <is>
          <t>Волгоград</t>
        </is>
      </c>
      <c r="C1919" t="inlineStr">
        <is>
          <t>Аренда · Коммерческая · Здание</t>
        </is>
      </c>
      <c r="D1919" t="inlineStr">
        <is>
          <t>Топ, ₽/сут</t>
        </is>
      </c>
      <c r="E1919" t="inlineStr">
        <is>
          <t>—</t>
        </is>
      </c>
    </row>
    <row r="1920">
      <c r="A1920" t="inlineStr">
        <is>
          <t>CIAN</t>
        </is>
      </c>
      <c r="B1920" t="inlineStr">
        <is>
          <t>Волгоград</t>
        </is>
      </c>
      <c r="C1920" t="inlineStr">
        <is>
          <t>Аренда · Коммерческая · Здание</t>
        </is>
      </c>
      <c r="D1920" t="inlineStr">
        <is>
          <t>Премиум, ₽/сут</t>
        </is>
      </c>
      <c r="E1920" t="inlineStr">
        <is>
          <t>—</t>
        </is>
      </c>
    </row>
    <row r="1921">
      <c r="A1921" t="inlineStr">
        <is>
          <t>CIAN</t>
        </is>
      </c>
      <c r="B1921" t="inlineStr">
        <is>
          <t>Волгоград</t>
        </is>
      </c>
      <c r="C1921" t="inlineStr">
        <is>
          <t>Аренда · Коммерческая · Здание</t>
        </is>
      </c>
      <c r="D1921" t="inlineStr">
        <is>
          <t>Стандарт, ₽/сут</t>
        </is>
      </c>
      <c r="E1921" t="inlineStr">
        <is>
          <t>—</t>
        </is>
      </c>
    </row>
    <row r="1922">
      <c r="A1922" t="inlineStr">
        <is>
          <t>CIAN</t>
        </is>
      </c>
      <c r="B1922" t="inlineStr">
        <is>
          <t>Москва</t>
        </is>
      </c>
      <c r="C1922" t="inlineStr">
        <is>
          <t>Аренда · Коммерческая · Торговая площадь</t>
        </is>
      </c>
      <c r="D1922" t="inlineStr">
        <is>
          <t>Публикация, ₽/30 дн</t>
        </is>
      </c>
      <c r="E1922" t="n">
        <v>1710</v>
      </c>
    </row>
    <row r="1923">
      <c r="A1923" t="inlineStr">
        <is>
          <t>CIAN</t>
        </is>
      </c>
      <c r="B1923" t="inlineStr">
        <is>
          <t>Москва</t>
        </is>
      </c>
      <c r="C1923" t="inlineStr">
        <is>
          <t>Аренда · Коммерческая · Торговая площадь</t>
        </is>
      </c>
      <c r="D1923" t="inlineStr">
        <is>
          <t>Топ, ₽/сут</t>
        </is>
      </c>
      <c r="E1923" t="n">
        <v>1002</v>
      </c>
    </row>
    <row r="1924">
      <c r="A1924" t="inlineStr">
        <is>
          <t>CIAN</t>
        </is>
      </c>
      <c r="B1924" t="inlineStr">
        <is>
          <t>Москва</t>
        </is>
      </c>
      <c r="C1924" t="inlineStr">
        <is>
          <t>Аренда · Коммерческая · Торговая площадь</t>
        </is>
      </c>
      <c r="D1924" t="inlineStr">
        <is>
          <t>Премиум, ₽/сут</t>
        </is>
      </c>
      <c r="E1924" t="n">
        <v>409</v>
      </c>
    </row>
    <row r="1925">
      <c r="A1925" t="inlineStr">
        <is>
          <t>CIAN</t>
        </is>
      </c>
      <c r="B1925" t="inlineStr">
        <is>
          <t>Москва</t>
        </is>
      </c>
      <c r="C1925" t="inlineStr">
        <is>
          <t>Аренда · Коммерческая · Торговая площадь</t>
        </is>
      </c>
      <c r="D1925" t="inlineStr">
        <is>
          <t>Стандарт, ₽/сут</t>
        </is>
      </c>
      <c r="E1925" t="n">
        <v>124</v>
      </c>
    </row>
    <row r="1926">
      <c r="A1926" t="inlineStr">
        <is>
          <t>CIAN</t>
        </is>
      </c>
      <c r="B1926" t="inlineStr">
        <is>
          <t>Санкт-Петербург</t>
        </is>
      </c>
      <c r="C1926" t="inlineStr">
        <is>
          <t>Аренда · Коммерческая · Торговая площадь</t>
        </is>
      </c>
      <c r="D1926" t="inlineStr">
        <is>
          <t>Публикация, ₽/30 дн</t>
        </is>
      </c>
      <c r="E1926" t="n">
        <v>564</v>
      </c>
    </row>
    <row r="1927">
      <c r="A1927" t="inlineStr">
        <is>
          <t>CIAN</t>
        </is>
      </c>
      <c r="B1927" t="inlineStr">
        <is>
          <t>Санкт-Петербург</t>
        </is>
      </c>
      <c r="C1927" t="inlineStr">
        <is>
          <t>Аренда · Коммерческая · Торговая площадь</t>
        </is>
      </c>
      <c r="D1927" t="inlineStr">
        <is>
          <t>Топ, ₽/сут</t>
        </is>
      </c>
      <c r="E1927" t="n">
        <v>691</v>
      </c>
    </row>
    <row r="1928">
      <c r="A1928" t="inlineStr">
        <is>
          <t>CIAN</t>
        </is>
      </c>
      <c r="B1928" t="inlineStr">
        <is>
          <t>Санкт-Петербург</t>
        </is>
      </c>
      <c r="C1928" t="inlineStr">
        <is>
          <t>Аренда · Коммерческая · Торговая площадь</t>
        </is>
      </c>
      <c r="D1928" t="inlineStr">
        <is>
          <t>Премиум, ₽/сут</t>
        </is>
      </c>
      <c r="E1928" t="n">
        <v>293</v>
      </c>
    </row>
    <row r="1929">
      <c r="A1929" t="inlineStr">
        <is>
          <t>CIAN</t>
        </is>
      </c>
      <c r="B1929" t="inlineStr">
        <is>
          <t>Санкт-Петербург</t>
        </is>
      </c>
      <c r="C1929" t="inlineStr">
        <is>
          <t>Аренда · Коммерческая · Торговая площадь</t>
        </is>
      </c>
      <c r="D1929" t="inlineStr">
        <is>
          <t>Стандарт, ₽/сут</t>
        </is>
      </c>
      <c r="E1929" t="n">
        <v>90</v>
      </c>
    </row>
    <row r="1930">
      <c r="A1930" t="inlineStr">
        <is>
          <t>CIAN</t>
        </is>
      </c>
      <c r="B1930" t="inlineStr">
        <is>
          <t>Новосибирск</t>
        </is>
      </c>
      <c r="C1930" t="inlineStr">
        <is>
          <t>Аренда · Коммерческая · Торговая площадь</t>
        </is>
      </c>
      <c r="D1930" t="inlineStr">
        <is>
          <t>Публикация, ₽/30 дн</t>
        </is>
      </c>
      <c r="E1930" t="n">
        <v>432</v>
      </c>
    </row>
    <row r="1931">
      <c r="A1931" t="inlineStr">
        <is>
          <t>CIAN</t>
        </is>
      </c>
      <c r="B1931" t="inlineStr">
        <is>
          <t>Новосибирск</t>
        </is>
      </c>
      <c r="C1931" t="inlineStr">
        <is>
          <t>Аренда · Коммерческая · Торговая площадь</t>
        </is>
      </c>
      <c r="D1931" t="inlineStr">
        <is>
          <t>Топ, ₽/сут</t>
        </is>
      </c>
      <c r="E1931" t="n">
        <v>372</v>
      </c>
    </row>
    <row r="1932">
      <c r="A1932" t="inlineStr">
        <is>
          <t>CIAN</t>
        </is>
      </c>
      <c r="B1932" t="inlineStr">
        <is>
          <t>Новосибирск</t>
        </is>
      </c>
      <c r="C1932" t="inlineStr">
        <is>
          <t>Аренда · Коммерческая · Торговая площадь</t>
        </is>
      </c>
      <c r="D1932" t="inlineStr">
        <is>
          <t>Премиум, ₽/сут</t>
        </is>
      </c>
      <c r="E1932" t="n">
        <v>165</v>
      </c>
    </row>
    <row r="1933">
      <c r="A1933" t="inlineStr">
        <is>
          <t>CIAN</t>
        </is>
      </c>
      <c r="B1933" t="inlineStr">
        <is>
          <t>Новосибирск</t>
        </is>
      </c>
      <c r="C1933" t="inlineStr">
        <is>
          <t>Аренда · Коммерческая · Торговая площадь</t>
        </is>
      </c>
      <c r="D1933" t="inlineStr">
        <is>
          <t>Стандарт, ₽/сут</t>
        </is>
      </c>
      <c r="E1933" t="n">
        <v>50</v>
      </c>
    </row>
    <row r="1934">
      <c r="A1934" t="inlineStr">
        <is>
          <t>CIAN</t>
        </is>
      </c>
      <c r="B1934" t="inlineStr">
        <is>
          <t>Екатеринбург</t>
        </is>
      </c>
      <c r="C1934" t="inlineStr">
        <is>
          <t>Аренда · Коммерческая · Торговая площадь</t>
        </is>
      </c>
      <c r="D1934" t="inlineStr">
        <is>
          <t>Публикация, ₽/30 дн</t>
        </is>
      </c>
      <c r="E1934" t="n">
        <v>510</v>
      </c>
    </row>
    <row r="1935">
      <c r="A1935" t="inlineStr">
        <is>
          <t>CIAN</t>
        </is>
      </c>
      <c r="B1935" t="inlineStr">
        <is>
          <t>Екатеринбург</t>
        </is>
      </c>
      <c r="C1935" t="inlineStr">
        <is>
          <t>Аренда · Коммерческая · Торговая площадь</t>
        </is>
      </c>
      <c r="D1935" t="inlineStr">
        <is>
          <t>Топ, ₽/сут</t>
        </is>
      </c>
      <c r="E1935" t="n">
        <v>452</v>
      </c>
    </row>
    <row r="1936">
      <c r="A1936" t="inlineStr">
        <is>
          <t>CIAN</t>
        </is>
      </c>
      <c r="B1936" t="inlineStr">
        <is>
          <t>Екатеринбург</t>
        </is>
      </c>
      <c r="C1936" t="inlineStr">
        <is>
          <t>Аренда · Коммерческая · Торговая площадь</t>
        </is>
      </c>
      <c r="D1936" t="inlineStr">
        <is>
          <t>Премиум, ₽/сут</t>
        </is>
      </c>
      <c r="E1936" t="n">
        <v>230</v>
      </c>
    </row>
    <row r="1937">
      <c r="A1937" t="inlineStr">
        <is>
          <t>CIAN</t>
        </is>
      </c>
      <c r="B1937" t="inlineStr">
        <is>
          <t>Екатеринбург</t>
        </is>
      </c>
      <c r="C1937" t="inlineStr">
        <is>
          <t>Аренда · Коммерческая · Торговая площадь</t>
        </is>
      </c>
      <c r="D1937" t="inlineStr">
        <is>
          <t>Стандарт, ₽/сут</t>
        </is>
      </c>
      <c r="E1937" t="n">
        <v>71</v>
      </c>
    </row>
    <row r="1938">
      <c r="A1938" t="inlineStr">
        <is>
          <t>CIAN</t>
        </is>
      </c>
      <c r="B1938" t="inlineStr">
        <is>
          <t>Казань</t>
        </is>
      </c>
      <c r="C1938" t="inlineStr">
        <is>
          <t>Аренда · Коммерческая · Торговая площадь</t>
        </is>
      </c>
      <c r="D1938" t="inlineStr">
        <is>
          <t>Публикация, ₽/30 дн</t>
        </is>
      </c>
      <c r="E1938" t="n">
        <v>120</v>
      </c>
    </row>
    <row r="1939">
      <c r="A1939" t="inlineStr">
        <is>
          <t>CIAN</t>
        </is>
      </c>
      <c r="B1939" t="inlineStr">
        <is>
          <t>Казань</t>
        </is>
      </c>
      <c r="C1939" t="inlineStr">
        <is>
          <t>Аренда · Коммерческая · Торговая площадь</t>
        </is>
      </c>
      <c r="D1939" t="inlineStr">
        <is>
          <t>Топ, ₽/сут</t>
        </is>
      </c>
      <c r="E1939" t="n">
        <v>143</v>
      </c>
    </row>
    <row r="1940">
      <c r="A1940" t="inlineStr">
        <is>
          <t>CIAN</t>
        </is>
      </c>
      <c r="B1940" t="inlineStr">
        <is>
          <t>Казань</t>
        </is>
      </c>
      <c r="C1940" t="inlineStr">
        <is>
          <t>Аренда · Коммерческая · Торговая площадь</t>
        </is>
      </c>
      <c r="D1940" t="inlineStr">
        <is>
          <t>Премиум, ₽/сут</t>
        </is>
      </c>
      <c r="E1940" t="n">
        <v>62</v>
      </c>
    </row>
    <row r="1941">
      <c r="A1941" t="inlineStr">
        <is>
          <t>CIAN</t>
        </is>
      </c>
      <c r="B1941" t="inlineStr">
        <is>
          <t>Казань</t>
        </is>
      </c>
      <c r="C1941" t="inlineStr">
        <is>
          <t>Аренда · Коммерческая · Торговая площадь</t>
        </is>
      </c>
      <c r="D1941" t="inlineStr">
        <is>
          <t>Стандарт, ₽/сут</t>
        </is>
      </c>
      <c r="E1941" t="n">
        <v>20</v>
      </c>
    </row>
    <row r="1942">
      <c r="A1942" t="inlineStr">
        <is>
          <t>CIAN</t>
        </is>
      </c>
      <c r="B1942" t="inlineStr">
        <is>
          <t>Красноярск</t>
        </is>
      </c>
      <c r="C1942" t="inlineStr">
        <is>
          <t>Аренда · Коммерческая · Торговая площадь</t>
        </is>
      </c>
      <c r="D1942" t="inlineStr">
        <is>
          <t>Публикация, ₽/30 дн</t>
        </is>
      </c>
      <c r="E1942" t="n">
        <v>540</v>
      </c>
    </row>
    <row r="1943">
      <c r="A1943" t="inlineStr">
        <is>
          <t>CIAN</t>
        </is>
      </c>
      <c r="B1943" t="inlineStr">
        <is>
          <t>Красноярск</t>
        </is>
      </c>
      <c r="C1943" t="inlineStr">
        <is>
          <t>Аренда · Коммерческая · Торговая площадь</t>
        </is>
      </c>
      <c r="D1943" t="inlineStr">
        <is>
          <t>Топ, ₽/сут</t>
        </is>
      </c>
      <c r="E1943" t="inlineStr">
        <is>
          <t>—</t>
        </is>
      </c>
    </row>
    <row r="1944">
      <c r="A1944" t="inlineStr">
        <is>
          <t>CIAN</t>
        </is>
      </c>
      <c r="B1944" t="inlineStr">
        <is>
          <t>Красноярск</t>
        </is>
      </c>
      <c r="C1944" t="inlineStr">
        <is>
          <t>Аренда · Коммерческая · Торговая площадь</t>
        </is>
      </c>
      <c r="D1944" t="inlineStr">
        <is>
          <t>Премиум, ₽/сут</t>
        </is>
      </c>
      <c r="E1944" t="inlineStr">
        <is>
          <t>—</t>
        </is>
      </c>
    </row>
    <row r="1945">
      <c r="A1945" t="inlineStr">
        <is>
          <t>CIAN</t>
        </is>
      </c>
      <c r="B1945" t="inlineStr">
        <is>
          <t>Красноярск</t>
        </is>
      </c>
      <c r="C1945" t="inlineStr">
        <is>
          <t>Аренда · Коммерческая · Торговая площадь</t>
        </is>
      </c>
      <c r="D1945" t="inlineStr">
        <is>
          <t>Стандарт, ₽/сут</t>
        </is>
      </c>
      <c r="E1945" t="inlineStr">
        <is>
          <t>—</t>
        </is>
      </c>
    </row>
    <row r="1946">
      <c r="A1946" t="inlineStr">
        <is>
          <t>CIAN</t>
        </is>
      </c>
      <c r="B1946" t="inlineStr">
        <is>
          <t>Нижний Новгород</t>
        </is>
      </c>
      <c r="C1946" t="inlineStr">
        <is>
          <t>Аренда · Коммерческая · Торговая площадь</t>
        </is>
      </c>
      <c r="D1946" t="inlineStr">
        <is>
          <t>Публикация, ₽/30 дн</t>
        </is>
      </c>
      <c r="E1946" t="n">
        <v>330</v>
      </c>
    </row>
    <row r="1947">
      <c r="A1947" t="inlineStr">
        <is>
          <t>CIAN</t>
        </is>
      </c>
      <c r="B1947" t="inlineStr">
        <is>
          <t>Нижний Новгород</t>
        </is>
      </c>
      <c r="C1947" t="inlineStr">
        <is>
          <t>Аренда · Коммерческая · Торговая площадь</t>
        </is>
      </c>
      <c r="D1947" t="inlineStr">
        <is>
          <t>Топ, ₽/сут</t>
        </is>
      </c>
      <c r="E1947" t="n">
        <v>159</v>
      </c>
    </row>
    <row r="1948">
      <c r="A1948" t="inlineStr">
        <is>
          <t>CIAN</t>
        </is>
      </c>
      <c r="B1948" t="inlineStr">
        <is>
          <t>Нижний Новгород</t>
        </is>
      </c>
      <c r="C1948" t="inlineStr">
        <is>
          <t>Аренда · Коммерческая · Торговая площадь</t>
        </is>
      </c>
      <c r="D1948" t="inlineStr">
        <is>
          <t>Премиум, ₽/сут</t>
        </is>
      </c>
      <c r="E1948" t="n">
        <v>67</v>
      </c>
    </row>
    <row r="1949">
      <c r="A1949" t="inlineStr">
        <is>
          <t>CIAN</t>
        </is>
      </c>
      <c r="B1949" t="inlineStr">
        <is>
          <t>Нижний Новгород</t>
        </is>
      </c>
      <c r="C1949" t="inlineStr">
        <is>
          <t>Аренда · Коммерческая · Торговая площадь</t>
        </is>
      </c>
      <c r="D1949" t="inlineStr">
        <is>
          <t>Стандарт, ₽/сут</t>
        </is>
      </c>
      <c r="E1949" t="n">
        <v>21</v>
      </c>
    </row>
    <row r="1950">
      <c r="A1950" t="inlineStr">
        <is>
          <t>CIAN</t>
        </is>
      </c>
      <c r="B1950" t="inlineStr">
        <is>
          <t>Челябинск</t>
        </is>
      </c>
      <c r="C1950" t="inlineStr">
        <is>
          <t>Аренда · Коммерческая · Торговая площадь</t>
        </is>
      </c>
      <c r="D1950" t="inlineStr">
        <is>
          <t>Публикация, ₽/30 дн</t>
        </is>
      </c>
      <c r="E1950" t="n">
        <v>258</v>
      </c>
    </row>
    <row r="1951">
      <c r="A1951" t="inlineStr">
        <is>
          <t>CIAN</t>
        </is>
      </c>
      <c r="B1951" t="inlineStr">
        <is>
          <t>Челябинск</t>
        </is>
      </c>
      <c r="C1951" t="inlineStr">
        <is>
          <t>Аренда · Коммерческая · Торговая площадь</t>
        </is>
      </c>
      <c r="D1951" t="inlineStr">
        <is>
          <t>Топ, ₽/сут</t>
        </is>
      </c>
      <c r="E1951" t="n">
        <v>302</v>
      </c>
    </row>
    <row r="1952">
      <c r="A1952" t="inlineStr">
        <is>
          <t>CIAN</t>
        </is>
      </c>
      <c r="B1952" t="inlineStr">
        <is>
          <t>Челябинск</t>
        </is>
      </c>
      <c r="C1952" t="inlineStr">
        <is>
          <t>Аренда · Коммерческая · Торговая площадь</t>
        </is>
      </c>
      <c r="D1952" t="inlineStr">
        <is>
          <t>Премиум, ₽/сут</t>
        </is>
      </c>
      <c r="E1952" t="n">
        <v>137</v>
      </c>
    </row>
    <row r="1953">
      <c r="A1953" t="inlineStr">
        <is>
          <t>CIAN</t>
        </is>
      </c>
      <c r="B1953" t="inlineStr">
        <is>
          <t>Челябинск</t>
        </is>
      </c>
      <c r="C1953" t="inlineStr">
        <is>
          <t>Аренда · Коммерческая · Торговая площадь</t>
        </is>
      </c>
      <c r="D1953" t="inlineStr">
        <is>
          <t>Стандарт, ₽/сут</t>
        </is>
      </c>
      <c r="E1953" t="n">
        <v>41</v>
      </c>
    </row>
    <row r="1954">
      <c r="A1954" t="inlineStr">
        <is>
          <t>CIAN</t>
        </is>
      </c>
      <c r="B1954" t="inlineStr">
        <is>
          <t>Уфа</t>
        </is>
      </c>
      <c r="C1954" t="inlineStr">
        <is>
          <t>Аренда · Коммерческая · Торговая площадь</t>
        </is>
      </c>
      <c r="D1954" t="inlineStr">
        <is>
          <t>Публикация, ₽/30 дн</t>
        </is>
      </c>
      <c r="E1954" t="n">
        <v>450</v>
      </c>
    </row>
    <row r="1955">
      <c r="A1955" t="inlineStr">
        <is>
          <t>CIAN</t>
        </is>
      </c>
      <c r="B1955" t="inlineStr">
        <is>
          <t>Уфа</t>
        </is>
      </c>
      <c r="C1955" t="inlineStr">
        <is>
          <t>Аренда · Коммерческая · Торговая площадь</t>
        </is>
      </c>
      <c r="D1955" t="inlineStr">
        <is>
          <t>Топ, ₽/сут</t>
        </is>
      </c>
      <c r="E1955" t="n">
        <v>125</v>
      </c>
    </row>
    <row r="1956">
      <c r="A1956" t="inlineStr">
        <is>
          <t>CIAN</t>
        </is>
      </c>
      <c r="B1956" t="inlineStr">
        <is>
          <t>Уфа</t>
        </is>
      </c>
      <c r="C1956" t="inlineStr">
        <is>
          <t>Аренда · Коммерческая · Торговая площадь</t>
        </is>
      </c>
      <c r="D1956" t="inlineStr">
        <is>
          <t>Премиум, ₽/сут</t>
        </is>
      </c>
      <c r="E1956" t="n">
        <v>55</v>
      </c>
    </row>
    <row r="1957">
      <c r="A1957" t="inlineStr">
        <is>
          <t>CIAN</t>
        </is>
      </c>
      <c r="B1957" t="inlineStr">
        <is>
          <t>Уфа</t>
        </is>
      </c>
      <c r="C1957" t="inlineStr">
        <is>
          <t>Аренда · Коммерческая · Торговая площадь</t>
        </is>
      </c>
      <c r="D1957" t="inlineStr">
        <is>
          <t>Стандарт, ₽/сут</t>
        </is>
      </c>
      <c r="E1957" t="n">
        <v>18</v>
      </c>
    </row>
    <row r="1958">
      <c r="A1958" t="inlineStr">
        <is>
          <t>CIAN</t>
        </is>
      </c>
      <c r="B1958" t="inlineStr">
        <is>
          <t>Краснодар</t>
        </is>
      </c>
      <c r="C1958" t="inlineStr">
        <is>
          <t>Аренда · Коммерческая · Торговая площадь</t>
        </is>
      </c>
      <c r="D1958" t="inlineStr">
        <is>
          <t>Публикация, ₽/30 дн</t>
        </is>
      </c>
      <c r="E1958" t="n">
        <v>162</v>
      </c>
    </row>
    <row r="1959">
      <c r="A1959" t="inlineStr">
        <is>
          <t>CIAN</t>
        </is>
      </c>
      <c r="B1959" t="inlineStr">
        <is>
          <t>Краснодар</t>
        </is>
      </c>
      <c r="C1959" t="inlineStr">
        <is>
          <t>Аренда · Коммерческая · Торговая площадь</t>
        </is>
      </c>
      <c r="D1959" t="inlineStr">
        <is>
          <t>Топ, ₽/сут</t>
        </is>
      </c>
      <c r="E1959" t="n">
        <v>135</v>
      </c>
    </row>
    <row r="1960">
      <c r="A1960" t="inlineStr">
        <is>
          <t>CIAN</t>
        </is>
      </c>
      <c r="B1960" t="inlineStr">
        <is>
          <t>Краснодар</t>
        </is>
      </c>
      <c r="C1960" t="inlineStr">
        <is>
          <t>Аренда · Коммерческая · Торговая площадь</t>
        </is>
      </c>
      <c r="D1960" t="inlineStr">
        <is>
          <t>Премиум, ₽/сут</t>
        </is>
      </c>
      <c r="E1960" t="n">
        <v>62</v>
      </c>
    </row>
    <row r="1961">
      <c r="A1961" t="inlineStr">
        <is>
          <t>CIAN</t>
        </is>
      </c>
      <c r="B1961" t="inlineStr">
        <is>
          <t>Краснодар</t>
        </is>
      </c>
      <c r="C1961" t="inlineStr">
        <is>
          <t>Аренда · Коммерческая · Торговая площадь</t>
        </is>
      </c>
      <c r="D1961" t="inlineStr">
        <is>
          <t>Стандарт, ₽/сут</t>
        </is>
      </c>
      <c r="E1961" t="n">
        <v>19</v>
      </c>
    </row>
    <row r="1962">
      <c r="A1962" t="inlineStr">
        <is>
          <t>CIAN</t>
        </is>
      </c>
      <c r="B1962" t="inlineStr">
        <is>
          <t>Самара</t>
        </is>
      </c>
      <c r="C1962" t="inlineStr">
        <is>
          <t>Аренда · Коммерческая · Торговая площадь</t>
        </is>
      </c>
      <c r="D1962" t="inlineStr">
        <is>
          <t>Публикация, ₽/30 дн</t>
        </is>
      </c>
      <c r="E1962" t="n">
        <v>192</v>
      </c>
    </row>
    <row r="1963">
      <c r="A1963" t="inlineStr">
        <is>
          <t>CIAN</t>
        </is>
      </c>
      <c r="B1963" t="inlineStr">
        <is>
          <t>Самара</t>
        </is>
      </c>
      <c r="C1963" t="inlineStr">
        <is>
          <t>Аренда · Коммерческая · Торговая площадь</t>
        </is>
      </c>
      <c r="D1963" t="inlineStr">
        <is>
          <t>Топ, ₽/сут</t>
        </is>
      </c>
      <c r="E1963" t="inlineStr">
        <is>
          <t>—</t>
        </is>
      </c>
    </row>
    <row r="1964">
      <c r="A1964" t="inlineStr">
        <is>
          <t>CIAN</t>
        </is>
      </c>
      <c r="B1964" t="inlineStr">
        <is>
          <t>Самара</t>
        </is>
      </c>
      <c r="C1964" t="inlineStr">
        <is>
          <t>Аренда · Коммерческая · Торговая площадь</t>
        </is>
      </c>
      <c r="D1964" t="inlineStr">
        <is>
          <t>Премиум, ₽/сут</t>
        </is>
      </c>
      <c r="E1964" t="inlineStr">
        <is>
          <t>—</t>
        </is>
      </c>
    </row>
    <row r="1965">
      <c r="A1965" t="inlineStr">
        <is>
          <t>CIAN</t>
        </is>
      </c>
      <c r="B1965" t="inlineStr">
        <is>
          <t>Самара</t>
        </is>
      </c>
      <c r="C1965" t="inlineStr">
        <is>
          <t>Аренда · Коммерческая · Торговая площадь</t>
        </is>
      </c>
      <c r="D1965" t="inlineStr">
        <is>
          <t>Стандарт, ₽/сут</t>
        </is>
      </c>
      <c r="E1965" t="inlineStr">
        <is>
          <t>—</t>
        </is>
      </c>
    </row>
    <row r="1966">
      <c r="A1966" t="inlineStr">
        <is>
          <t>CIAN</t>
        </is>
      </c>
      <c r="B1966" t="inlineStr">
        <is>
          <t>Ростов-на-Дону</t>
        </is>
      </c>
      <c r="C1966" t="inlineStr">
        <is>
          <t>Аренда · Коммерческая · Торговая площадь</t>
        </is>
      </c>
      <c r="D1966" t="inlineStr">
        <is>
          <t>Публикация, ₽/30 дн</t>
        </is>
      </c>
      <c r="E1966" t="n">
        <v>183</v>
      </c>
    </row>
    <row r="1967">
      <c r="A1967" t="inlineStr">
        <is>
          <t>CIAN</t>
        </is>
      </c>
      <c r="B1967" t="inlineStr">
        <is>
          <t>Ростов-на-Дону</t>
        </is>
      </c>
      <c r="C1967" t="inlineStr">
        <is>
          <t>Аренда · Коммерческая · Торговая площадь</t>
        </is>
      </c>
      <c r="D1967" t="inlineStr">
        <is>
          <t>Топ, ₽/сут</t>
        </is>
      </c>
      <c r="E1967" t="n">
        <v>132</v>
      </c>
    </row>
    <row r="1968">
      <c r="A1968" t="inlineStr">
        <is>
          <t>CIAN</t>
        </is>
      </c>
      <c r="B1968" t="inlineStr">
        <is>
          <t>Ростов-на-Дону</t>
        </is>
      </c>
      <c r="C1968" t="inlineStr">
        <is>
          <t>Аренда · Коммерческая · Торговая площадь</t>
        </is>
      </c>
      <c r="D1968" t="inlineStr">
        <is>
          <t>Премиум, ₽/сут</t>
        </is>
      </c>
      <c r="E1968" t="n">
        <v>56</v>
      </c>
    </row>
    <row r="1969">
      <c r="A1969" t="inlineStr">
        <is>
          <t>CIAN</t>
        </is>
      </c>
      <c r="B1969" t="inlineStr">
        <is>
          <t>Ростов-на-Дону</t>
        </is>
      </c>
      <c r="C1969" t="inlineStr">
        <is>
          <t>Аренда · Коммерческая · Торговая площадь</t>
        </is>
      </c>
      <c r="D1969" t="inlineStr">
        <is>
          <t>Стандарт, ₽/сут</t>
        </is>
      </c>
      <c r="E1969" t="n">
        <v>17</v>
      </c>
    </row>
    <row r="1970">
      <c r="A1970" t="inlineStr">
        <is>
          <t>CIAN</t>
        </is>
      </c>
      <c r="B1970" t="inlineStr">
        <is>
          <t>Омск</t>
        </is>
      </c>
      <c r="C1970" t="inlineStr">
        <is>
          <t>Аренда · Коммерческая · Торговая площадь</t>
        </is>
      </c>
      <c r="D1970" t="inlineStr">
        <is>
          <t>Публикация, ₽/30 дн</t>
        </is>
      </c>
      <c r="E1970" t="n">
        <v>333</v>
      </c>
    </row>
    <row r="1971">
      <c r="A1971" t="inlineStr">
        <is>
          <t>CIAN</t>
        </is>
      </c>
      <c r="B1971" t="inlineStr">
        <is>
          <t>Омск</t>
        </is>
      </c>
      <c r="C1971" t="inlineStr">
        <is>
          <t>Аренда · Коммерческая · Торговая площадь</t>
        </is>
      </c>
      <c r="D1971" t="inlineStr">
        <is>
          <t>Топ, ₽/сут</t>
        </is>
      </c>
      <c r="E1971" t="n">
        <v>205</v>
      </c>
    </row>
    <row r="1972">
      <c r="A1972" t="inlineStr">
        <is>
          <t>CIAN</t>
        </is>
      </c>
      <c r="B1972" t="inlineStr">
        <is>
          <t>Омск</t>
        </is>
      </c>
      <c r="C1972" t="inlineStr">
        <is>
          <t>Аренда · Коммерческая · Торговая площадь</t>
        </is>
      </c>
      <c r="D1972" t="inlineStr">
        <is>
          <t>Премиум, ₽/сут</t>
        </is>
      </c>
      <c r="E1972" t="n">
        <v>111</v>
      </c>
    </row>
    <row r="1973">
      <c r="A1973" t="inlineStr">
        <is>
          <t>CIAN</t>
        </is>
      </c>
      <c r="B1973" t="inlineStr">
        <is>
          <t>Омск</t>
        </is>
      </c>
      <c r="C1973" t="inlineStr">
        <is>
          <t>Аренда · Коммерческая · Торговая площадь</t>
        </is>
      </c>
      <c r="D1973" t="inlineStr">
        <is>
          <t>Стандарт, ₽/сут</t>
        </is>
      </c>
      <c r="E1973" t="n">
        <v>35</v>
      </c>
    </row>
    <row r="1974">
      <c r="A1974" t="inlineStr">
        <is>
          <t>CIAN</t>
        </is>
      </c>
      <c r="B1974" t="inlineStr">
        <is>
          <t>Воронеж</t>
        </is>
      </c>
      <c r="C1974" t="inlineStr">
        <is>
          <t>Аренда · Коммерческая · Торговая площадь</t>
        </is>
      </c>
      <c r="D1974" t="inlineStr">
        <is>
          <t>Публикация, ₽/30 дн</t>
        </is>
      </c>
      <c r="E1974" t="n">
        <v>108</v>
      </c>
    </row>
    <row r="1975">
      <c r="A1975" t="inlineStr">
        <is>
          <t>CIAN</t>
        </is>
      </c>
      <c r="B1975" t="inlineStr">
        <is>
          <t>Воронеж</t>
        </is>
      </c>
      <c r="C1975" t="inlineStr">
        <is>
          <t>Аренда · Коммерческая · Торговая площадь</t>
        </is>
      </c>
      <c r="D1975" t="inlineStr">
        <is>
          <t>Топ, ₽/сут</t>
        </is>
      </c>
      <c r="E1975" t="inlineStr">
        <is>
          <t>—</t>
        </is>
      </c>
    </row>
    <row r="1976">
      <c r="A1976" t="inlineStr">
        <is>
          <t>CIAN</t>
        </is>
      </c>
      <c r="B1976" t="inlineStr">
        <is>
          <t>Воронеж</t>
        </is>
      </c>
      <c r="C1976" t="inlineStr">
        <is>
          <t>Аренда · Коммерческая · Торговая площадь</t>
        </is>
      </c>
      <c r="D1976" t="inlineStr">
        <is>
          <t>Премиум, ₽/сут</t>
        </is>
      </c>
      <c r="E1976" t="inlineStr">
        <is>
          <t>—</t>
        </is>
      </c>
    </row>
    <row r="1977">
      <c r="A1977" t="inlineStr">
        <is>
          <t>CIAN</t>
        </is>
      </c>
      <c r="B1977" t="inlineStr">
        <is>
          <t>Воронеж</t>
        </is>
      </c>
      <c r="C1977" t="inlineStr">
        <is>
          <t>Аренда · Коммерческая · Торговая площадь</t>
        </is>
      </c>
      <c r="D1977" t="inlineStr">
        <is>
          <t>Стандарт, ₽/сут</t>
        </is>
      </c>
      <c r="E1977" t="inlineStr">
        <is>
          <t>—</t>
        </is>
      </c>
    </row>
    <row r="1978">
      <c r="A1978" t="inlineStr">
        <is>
          <t>CIAN</t>
        </is>
      </c>
      <c r="B1978" t="inlineStr">
        <is>
          <t>Пермь</t>
        </is>
      </c>
      <c r="C1978" t="inlineStr">
        <is>
          <t>Аренда · Коммерческая · Торговая площадь</t>
        </is>
      </c>
      <c r="D1978" t="inlineStr">
        <is>
          <t>Публикация, ₽/30 дн</t>
        </is>
      </c>
      <c r="E1978" t="n">
        <v>21</v>
      </c>
    </row>
    <row r="1979">
      <c r="A1979" t="inlineStr">
        <is>
          <t>CIAN</t>
        </is>
      </c>
      <c r="B1979" t="inlineStr">
        <is>
          <t>Пермь</t>
        </is>
      </c>
      <c r="C1979" t="inlineStr">
        <is>
          <t>Аренда · Коммерческая · Торговая площадь</t>
        </is>
      </c>
      <c r="D1979" t="inlineStr">
        <is>
          <t>Топ, ₽/сут</t>
        </is>
      </c>
      <c r="E1979" t="inlineStr">
        <is>
          <t>—</t>
        </is>
      </c>
    </row>
    <row r="1980">
      <c r="A1980" t="inlineStr">
        <is>
          <t>CIAN</t>
        </is>
      </c>
      <c r="B1980" t="inlineStr">
        <is>
          <t>Пермь</t>
        </is>
      </c>
      <c r="C1980" t="inlineStr">
        <is>
          <t>Аренда · Коммерческая · Торговая площадь</t>
        </is>
      </c>
      <c r="D1980" t="inlineStr">
        <is>
          <t>Премиум, ₽/сут</t>
        </is>
      </c>
      <c r="E1980" t="inlineStr">
        <is>
          <t>—</t>
        </is>
      </c>
    </row>
    <row r="1981">
      <c r="A1981" t="inlineStr">
        <is>
          <t>CIAN</t>
        </is>
      </c>
      <c r="B1981" t="inlineStr">
        <is>
          <t>Пермь</t>
        </is>
      </c>
      <c r="C1981" t="inlineStr">
        <is>
          <t>Аренда · Коммерческая · Торговая площадь</t>
        </is>
      </c>
      <c r="D1981" t="inlineStr">
        <is>
          <t>Стандарт, ₽/сут</t>
        </is>
      </c>
      <c r="E1981" t="inlineStr">
        <is>
          <t>—</t>
        </is>
      </c>
    </row>
    <row r="1982">
      <c r="A1982" t="inlineStr">
        <is>
          <t>CIAN</t>
        </is>
      </c>
      <c r="B1982" t="inlineStr">
        <is>
          <t>Волгоград</t>
        </is>
      </c>
      <c r="C1982" t="inlineStr">
        <is>
          <t>Аренда · Коммерческая · Торговая площадь</t>
        </is>
      </c>
      <c r="D1982" t="inlineStr">
        <is>
          <t>Публикация, ₽/30 дн</t>
        </is>
      </c>
      <c r="E1982" t="n">
        <v>159</v>
      </c>
    </row>
    <row r="1983">
      <c r="A1983" t="inlineStr">
        <is>
          <t>CIAN</t>
        </is>
      </c>
      <c r="B1983" t="inlineStr">
        <is>
          <t>Волгоград</t>
        </is>
      </c>
      <c r="C1983" t="inlineStr">
        <is>
          <t>Аренда · Коммерческая · Торговая площадь</t>
        </is>
      </c>
      <c r="D1983" t="inlineStr">
        <is>
          <t>Топ, ₽/сут</t>
        </is>
      </c>
      <c r="E1983" t="inlineStr">
        <is>
          <t>—</t>
        </is>
      </c>
    </row>
    <row r="1984">
      <c r="A1984" t="inlineStr">
        <is>
          <t>CIAN</t>
        </is>
      </c>
      <c r="B1984" t="inlineStr">
        <is>
          <t>Волгоград</t>
        </is>
      </c>
      <c r="C1984" t="inlineStr">
        <is>
          <t>Аренда · Коммерческая · Торговая площадь</t>
        </is>
      </c>
      <c r="D1984" t="inlineStr">
        <is>
          <t>Премиум, ₽/сут</t>
        </is>
      </c>
      <c r="E1984" t="inlineStr">
        <is>
          <t>—</t>
        </is>
      </c>
    </row>
    <row r="1985">
      <c r="A1985" t="inlineStr">
        <is>
          <t>CIAN</t>
        </is>
      </c>
      <c r="B1985" t="inlineStr">
        <is>
          <t>Волгоград</t>
        </is>
      </c>
      <c r="C1985" t="inlineStr">
        <is>
          <t>Аренда · Коммерческая · Торговая площадь</t>
        </is>
      </c>
      <c r="D1985" t="inlineStr">
        <is>
          <t>Стандарт, ₽/сут</t>
        </is>
      </c>
      <c r="E1985" t="inlineStr">
        <is>
          <t>—</t>
        </is>
      </c>
    </row>
    <row r="1986">
      <c r="A1986" t="inlineStr">
        <is>
          <t>CIAN</t>
        </is>
      </c>
      <c r="B1986" t="inlineStr">
        <is>
          <t>Москва</t>
        </is>
      </c>
      <c r="C1986" t="inlineStr">
        <is>
          <t>Аренда · Коммерческая · Предприятие сферы услуг</t>
        </is>
      </c>
      <c r="D1986" t="inlineStr">
        <is>
          <t>Публикация, ₽/30 дн</t>
        </is>
      </c>
      <c r="E1986" t="n">
        <v>3570</v>
      </c>
    </row>
    <row r="1987">
      <c r="A1987" t="inlineStr">
        <is>
          <t>CIAN</t>
        </is>
      </c>
      <c r="B1987" t="inlineStr">
        <is>
          <t>Москва</t>
        </is>
      </c>
      <c r="C1987" t="inlineStr">
        <is>
          <t>Аренда · Коммерческая · Предприятие сферы услуг</t>
        </is>
      </c>
      <c r="D1987" t="inlineStr">
        <is>
          <t>Топ, ₽/сут</t>
        </is>
      </c>
      <c r="E1987" t="n">
        <v>1090</v>
      </c>
    </row>
    <row r="1988">
      <c r="A1988" t="inlineStr">
        <is>
          <t>CIAN</t>
        </is>
      </c>
      <c r="B1988" t="inlineStr">
        <is>
          <t>Москва</t>
        </is>
      </c>
      <c r="C1988" t="inlineStr">
        <is>
          <t>Аренда · Коммерческая · Предприятие сферы услуг</t>
        </is>
      </c>
      <c r="D1988" t="inlineStr">
        <is>
          <t>Премиум, ₽/сут</t>
        </is>
      </c>
      <c r="E1988" t="n">
        <v>588</v>
      </c>
    </row>
    <row r="1989">
      <c r="A1989" t="inlineStr">
        <is>
          <t>CIAN</t>
        </is>
      </c>
      <c r="B1989" t="inlineStr">
        <is>
          <t>Москва</t>
        </is>
      </c>
      <c r="C1989" t="inlineStr">
        <is>
          <t>Аренда · Коммерческая · Предприятие сферы услуг</t>
        </is>
      </c>
      <c r="D1989" t="inlineStr">
        <is>
          <t>Стандарт, ₽/сут</t>
        </is>
      </c>
      <c r="E1989" t="n">
        <v>271</v>
      </c>
    </row>
    <row r="1990">
      <c r="A1990" t="inlineStr">
        <is>
          <t>CIAN</t>
        </is>
      </c>
      <c r="B1990" t="inlineStr">
        <is>
          <t>Санкт-Петербург</t>
        </is>
      </c>
      <c r="C1990" t="inlineStr">
        <is>
          <t>Аренда · Коммерческая · Предприятие сферы услуг</t>
        </is>
      </c>
      <c r="D1990" t="inlineStr">
        <is>
          <t>Публикация, ₽/30 дн</t>
        </is>
      </c>
      <c r="E1990" t="n">
        <v>1476</v>
      </c>
    </row>
    <row r="1991">
      <c r="A1991" t="inlineStr">
        <is>
          <t>CIAN</t>
        </is>
      </c>
      <c r="B1991" t="inlineStr">
        <is>
          <t>Санкт-Петербург</t>
        </is>
      </c>
      <c r="C1991" t="inlineStr">
        <is>
          <t>Аренда · Коммерческая · Предприятие сферы услуг</t>
        </is>
      </c>
      <c r="D1991" t="inlineStr">
        <is>
          <t>Топ, ₽/сут</t>
        </is>
      </c>
      <c r="E1991" t="n">
        <v>752</v>
      </c>
    </row>
    <row r="1992">
      <c r="A1992" t="inlineStr">
        <is>
          <t>CIAN</t>
        </is>
      </c>
      <c r="B1992" t="inlineStr">
        <is>
          <t>Санкт-Петербург</t>
        </is>
      </c>
      <c r="C1992" t="inlineStr">
        <is>
          <t>Аренда · Коммерческая · Предприятие сферы услуг</t>
        </is>
      </c>
      <c r="D1992" t="inlineStr">
        <is>
          <t>Премиум, ₽/сут</t>
        </is>
      </c>
      <c r="E1992" t="n">
        <v>677</v>
      </c>
    </row>
    <row r="1993">
      <c r="A1993" t="inlineStr">
        <is>
          <t>CIAN</t>
        </is>
      </c>
      <c r="B1993" t="inlineStr">
        <is>
          <t>Санкт-Петербург</t>
        </is>
      </c>
      <c r="C1993" t="inlineStr">
        <is>
          <t>Аренда · Коммерческая · Предприятие сферы услуг</t>
        </is>
      </c>
      <c r="D1993" t="inlineStr">
        <is>
          <t>Стандарт, ₽/сут</t>
        </is>
      </c>
      <c r="E1993" t="n">
        <v>618</v>
      </c>
    </row>
    <row r="1994">
      <c r="A1994" t="inlineStr">
        <is>
          <t>CIAN</t>
        </is>
      </c>
      <c r="B1994" t="inlineStr">
        <is>
          <t>Новосибирск</t>
        </is>
      </c>
      <c r="C1994" t="inlineStr">
        <is>
          <t>Аренда · Коммерческая · Предприятие сферы услуг</t>
        </is>
      </c>
      <c r="D1994" t="inlineStr">
        <is>
          <t>Публикация, ₽/30 дн</t>
        </is>
      </c>
      <c r="E1994" t="n">
        <v>1500</v>
      </c>
    </row>
    <row r="1995">
      <c r="A1995" t="inlineStr">
        <is>
          <t>CIAN</t>
        </is>
      </c>
      <c r="B1995" t="inlineStr">
        <is>
          <t>Новосибирск</t>
        </is>
      </c>
      <c r="C1995" t="inlineStr">
        <is>
          <t>Аренда · Коммерческая · Предприятие сферы услуг</t>
        </is>
      </c>
      <c r="D1995" t="inlineStr">
        <is>
          <t>Топ, ₽/сут</t>
        </is>
      </c>
      <c r="E1995" t="n">
        <v>419</v>
      </c>
    </row>
    <row r="1996">
      <c r="A1996" t="inlineStr">
        <is>
          <t>CIAN</t>
        </is>
      </c>
      <c r="B1996" t="inlineStr">
        <is>
          <t>Новосибирск</t>
        </is>
      </c>
      <c r="C1996" t="inlineStr">
        <is>
          <t>Аренда · Коммерческая · Предприятие сферы услуг</t>
        </is>
      </c>
      <c r="D1996" t="inlineStr">
        <is>
          <t>Премиум, ₽/сут</t>
        </is>
      </c>
      <c r="E1996" t="n">
        <v>190</v>
      </c>
    </row>
    <row r="1997">
      <c r="A1997" t="inlineStr">
        <is>
          <t>CIAN</t>
        </is>
      </c>
      <c r="B1997" t="inlineStr">
        <is>
          <t>Новосибирск</t>
        </is>
      </c>
      <c r="C1997" t="inlineStr">
        <is>
          <t>Аренда · Коммерческая · Предприятие сферы услуг</t>
        </is>
      </c>
      <c r="D1997" t="inlineStr">
        <is>
          <t>Стандарт, ₽/сут</t>
        </is>
      </c>
      <c r="E1997" t="n">
        <v>56</v>
      </c>
    </row>
    <row r="1998">
      <c r="A1998" t="inlineStr">
        <is>
          <t>CIAN</t>
        </is>
      </c>
      <c r="B1998" t="inlineStr">
        <is>
          <t>Екатеринбург</t>
        </is>
      </c>
      <c r="C1998" t="inlineStr">
        <is>
          <t>Аренда · Коммерческая · Предприятие сферы услуг</t>
        </is>
      </c>
      <c r="D1998" t="inlineStr">
        <is>
          <t>Публикация, ₽/30 дн</t>
        </is>
      </c>
      <c r="E1998" t="n">
        <v>1470</v>
      </c>
    </row>
    <row r="1999">
      <c r="A1999" t="inlineStr">
        <is>
          <t>CIAN</t>
        </is>
      </c>
      <c r="B1999" t="inlineStr">
        <is>
          <t>Екатеринбург</t>
        </is>
      </c>
      <c r="C1999" t="inlineStr">
        <is>
          <t>Аренда · Коммерческая · Предприятие сферы услуг</t>
        </is>
      </c>
      <c r="D1999" t="inlineStr">
        <is>
          <t>Топ, ₽/сут</t>
        </is>
      </c>
      <c r="E1999" t="n">
        <v>542</v>
      </c>
    </row>
    <row r="2000">
      <c r="A2000" t="inlineStr">
        <is>
          <t>CIAN</t>
        </is>
      </c>
      <c r="B2000" t="inlineStr">
        <is>
          <t>Екатеринбург</t>
        </is>
      </c>
      <c r="C2000" t="inlineStr">
        <is>
          <t>Аренда · Коммерческая · Предприятие сферы услуг</t>
        </is>
      </c>
      <c r="D2000" t="inlineStr">
        <is>
          <t>Премиум, ₽/сут</t>
        </is>
      </c>
      <c r="E2000" t="n">
        <v>267</v>
      </c>
    </row>
    <row r="2001">
      <c r="A2001" t="inlineStr">
        <is>
          <t>CIAN</t>
        </is>
      </c>
      <c r="B2001" t="inlineStr">
        <is>
          <t>Екатеринбург</t>
        </is>
      </c>
      <c r="C2001" t="inlineStr">
        <is>
          <t>Аренда · Коммерческая · Предприятие сферы услуг</t>
        </is>
      </c>
      <c r="D2001" t="inlineStr">
        <is>
          <t>Стандарт, ₽/сут</t>
        </is>
      </c>
      <c r="E2001" t="n">
        <v>105</v>
      </c>
    </row>
    <row r="2002">
      <c r="A2002" t="inlineStr">
        <is>
          <t>CIAN</t>
        </is>
      </c>
      <c r="B2002" t="inlineStr">
        <is>
          <t>Казань</t>
        </is>
      </c>
      <c r="C2002" t="inlineStr">
        <is>
          <t>Аренда · Коммерческая · Предприятие сферы услуг</t>
        </is>
      </c>
      <c r="D2002" t="inlineStr">
        <is>
          <t>Публикация, ₽/30 дн</t>
        </is>
      </c>
      <c r="E2002" t="n">
        <v>642</v>
      </c>
    </row>
    <row r="2003">
      <c r="A2003" t="inlineStr">
        <is>
          <t>CIAN</t>
        </is>
      </c>
      <c r="B2003" t="inlineStr">
        <is>
          <t>Казань</t>
        </is>
      </c>
      <c r="C2003" t="inlineStr">
        <is>
          <t>Аренда · Коммерческая · Предприятие сферы услуг</t>
        </is>
      </c>
      <c r="D2003" t="inlineStr">
        <is>
          <t>Топ, ₽/сут</t>
        </is>
      </c>
      <c r="E2003" t="n">
        <v>162</v>
      </c>
    </row>
    <row r="2004">
      <c r="A2004" t="inlineStr">
        <is>
          <t>CIAN</t>
        </is>
      </c>
      <c r="B2004" t="inlineStr">
        <is>
          <t>Казань</t>
        </is>
      </c>
      <c r="C2004" t="inlineStr">
        <is>
          <t>Аренда · Коммерческая · Предприятие сферы услуг</t>
        </is>
      </c>
      <c r="D2004" t="inlineStr">
        <is>
          <t>Премиум, ₽/сут</t>
        </is>
      </c>
      <c r="E2004" t="n">
        <v>71</v>
      </c>
    </row>
    <row r="2005">
      <c r="A2005" t="inlineStr">
        <is>
          <t>CIAN</t>
        </is>
      </c>
      <c r="B2005" t="inlineStr">
        <is>
          <t>Казань</t>
        </is>
      </c>
      <c r="C2005" t="inlineStr">
        <is>
          <t>Аренда · Коммерческая · Предприятие сферы услуг</t>
        </is>
      </c>
      <c r="D2005" t="inlineStr">
        <is>
          <t>Стандарт, ₽/сут</t>
        </is>
      </c>
      <c r="E2005" t="n">
        <v>23</v>
      </c>
    </row>
    <row r="2006">
      <c r="A2006" t="inlineStr">
        <is>
          <t>CIAN</t>
        </is>
      </c>
      <c r="B2006" t="inlineStr">
        <is>
          <t>Красноярск</t>
        </is>
      </c>
      <c r="C2006" t="inlineStr">
        <is>
          <t>Аренда · Коммерческая · Предприятие сферы услуг</t>
        </is>
      </c>
      <c r="D2006" t="inlineStr">
        <is>
          <t>Публикация, ₽/30 дн</t>
        </is>
      </c>
      <c r="E2006" t="n">
        <v>741</v>
      </c>
    </row>
    <row r="2007">
      <c r="A2007" t="inlineStr">
        <is>
          <t>CIAN</t>
        </is>
      </c>
      <c r="B2007" t="inlineStr">
        <is>
          <t>Красноярск</t>
        </is>
      </c>
      <c r="C2007" t="inlineStr">
        <is>
          <t>Аренда · Коммерческая · Предприятие сферы услуг</t>
        </is>
      </c>
      <c r="D2007" t="inlineStr">
        <is>
          <t>Топ, ₽/сут</t>
        </is>
      </c>
      <c r="E2007" t="inlineStr">
        <is>
          <t>—</t>
        </is>
      </c>
    </row>
    <row r="2008">
      <c r="A2008" t="inlineStr">
        <is>
          <t>CIAN</t>
        </is>
      </c>
      <c r="B2008" t="inlineStr">
        <is>
          <t>Красноярск</t>
        </is>
      </c>
      <c r="C2008" t="inlineStr">
        <is>
          <t>Аренда · Коммерческая · Предприятие сферы услуг</t>
        </is>
      </c>
      <c r="D2008" t="inlineStr">
        <is>
          <t>Премиум, ₽/сут</t>
        </is>
      </c>
      <c r="E2008" t="inlineStr">
        <is>
          <t>—</t>
        </is>
      </c>
    </row>
    <row r="2009">
      <c r="A2009" t="inlineStr">
        <is>
          <t>CIAN</t>
        </is>
      </c>
      <c r="B2009" t="inlineStr">
        <is>
          <t>Красноярск</t>
        </is>
      </c>
      <c r="C2009" t="inlineStr">
        <is>
          <t>Аренда · Коммерческая · Предприятие сферы услуг</t>
        </is>
      </c>
      <c r="D2009" t="inlineStr">
        <is>
          <t>Стандарт, ₽/сут</t>
        </is>
      </c>
      <c r="E2009" t="inlineStr">
        <is>
          <t>—</t>
        </is>
      </c>
    </row>
    <row r="2010">
      <c r="A2010" t="inlineStr">
        <is>
          <t>CIAN</t>
        </is>
      </c>
      <c r="B2010" t="inlineStr">
        <is>
          <t>Нижний Новгород</t>
        </is>
      </c>
      <c r="C2010" t="inlineStr">
        <is>
          <t>Аренда · Коммерческая · Предприятие сферы услуг</t>
        </is>
      </c>
      <c r="D2010" t="inlineStr">
        <is>
          <t>Публикация, ₽/30 дн</t>
        </is>
      </c>
      <c r="E2010" t="n">
        <v>330</v>
      </c>
    </row>
    <row r="2011">
      <c r="A2011" t="inlineStr">
        <is>
          <t>CIAN</t>
        </is>
      </c>
      <c r="B2011" t="inlineStr">
        <is>
          <t>Нижний Новгород</t>
        </is>
      </c>
      <c r="C2011" t="inlineStr">
        <is>
          <t>Аренда · Коммерческая · Предприятие сферы услуг</t>
        </is>
      </c>
      <c r="D2011" t="inlineStr">
        <is>
          <t>Топ, ₽/сут</t>
        </is>
      </c>
      <c r="E2011" t="n">
        <v>176</v>
      </c>
    </row>
    <row r="2012">
      <c r="A2012" t="inlineStr">
        <is>
          <t>CIAN</t>
        </is>
      </c>
      <c r="B2012" t="inlineStr">
        <is>
          <t>Нижний Новгород</t>
        </is>
      </c>
      <c r="C2012" t="inlineStr">
        <is>
          <t>Аренда · Коммерческая · Предприятие сферы услуг</t>
        </is>
      </c>
      <c r="D2012" t="inlineStr">
        <is>
          <t>Премиум, ₽/сут</t>
        </is>
      </c>
      <c r="E2012" t="n">
        <v>74</v>
      </c>
    </row>
    <row r="2013">
      <c r="A2013" t="inlineStr">
        <is>
          <t>CIAN</t>
        </is>
      </c>
      <c r="B2013" t="inlineStr">
        <is>
          <t>Нижний Новгород</t>
        </is>
      </c>
      <c r="C2013" t="inlineStr">
        <is>
          <t>Аренда · Коммерческая · Предприятие сферы услуг</t>
        </is>
      </c>
      <c r="D2013" t="inlineStr">
        <is>
          <t>Стандарт, ₽/сут</t>
        </is>
      </c>
      <c r="E2013" t="n">
        <v>23</v>
      </c>
    </row>
    <row r="2014">
      <c r="A2014" t="inlineStr">
        <is>
          <t>CIAN</t>
        </is>
      </c>
      <c r="B2014" t="inlineStr">
        <is>
          <t>Челябинск</t>
        </is>
      </c>
      <c r="C2014" t="inlineStr">
        <is>
          <t>Аренда · Коммерческая · Предприятие сферы услуг</t>
        </is>
      </c>
      <c r="D2014" t="inlineStr">
        <is>
          <t>Публикация, ₽/30 дн</t>
        </is>
      </c>
      <c r="E2014" t="n">
        <v>585</v>
      </c>
    </row>
    <row r="2015">
      <c r="A2015" t="inlineStr">
        <is>
          <t>CIAN</t>
        </is>
      </c>
      <c r="B2015" t="inlineStr">
        <is>
          <t>Челябинск</t>
        </is>
      </c>
      <c r="C2015" t="inlineStr">
        <is>
          <t>Аренда · Коммерческая · Предприятие сферы услуг</t>
        </is>
      </c>
      <c r="D2015" t="inlineStr">
        <is>
          <t>Топ, ₽/сут</t>
        </is>
      </c>
      <c r="E2015" t="n">
        <v>302</v>
      </c>
    </row>
    <row r="2016">
      <c r="A2016" t="inlineStr">
        <is>
          <t>CIAN</t>
        </is>
      </c>
      <c r="B2016" t="inlineStr">
        <is>
          <t>Челябинск</t>
        </is>
      </c>
      <c r="C2016" t="inlineStr">
        <is>
          <t>Аренда · Коммерческая · Предприятие сферы услуг</t>
        </is>
      </c>
      <c r="D2016" t="inlineStr">
        <is>
          <t>Премиум, ₽/сут</t>
        </is>
      </c>
      <c r="E2016" t="n">
        <v>137</v>
      </c>
    </row>
    <row r="2017">
      <c r="A2017" t="inlineStr">
        <is>
          <t>CIAN</t>
        </is>
      </c>
      <c r="B2017" t="inlineStr">
        <is>
          <t>Челябинск</t>
        </is>
      </c>
      <c r="C2017" t="inlineStr">
        <is>
          <t>Аренда · Коммерческая · Предприятие сферы услуг</t>
        </is>
      </c>
      <c r="D2017" t="inlineStr">
        <is>
          <t>Стандарт, ₽/сут</t>
        </is>
      </c>
      <c r="E2017" t="n">
        <v>41</v>
      </c>
    </row>
    <row r="2018">
      <c r="A2018" t="inlineStr">
        <is>
          <t>CIAN</t>
        </is>
      </c>
      <c r="B2018" t="inlineStr">
        <is>
          <t>Уфа</t>
        </is>
      </c>
      <c r="C2018" t="inlineStr">
        <is>
          <t>Аренда · Коммерческая · Предприятие сферы услуг</t>
        </is>
      </c>
      <c r="D2018" t="inlineStr">
        <is>
          <t>Публикация, ₽/30 дн</t>
        </is>
      </c>
      <c r="E2018" t="n">
        <v>648</v>
      </c>
    </row>
    <row r="2019">
      <c r="A2019" t="inlineStr">
        <is>
          <t>CIAN</t>
        </is>
      </c>
      <c r="B2019" t="inlineStr">
        <is>
          <t>Уфа</t>
        </is>
      </c>
      <c r="C2019" t="inlineStr">
        <is>
          <t>Аренда · Коммерческая · Предприятие сферы услуг</t>
        </is>
      </c>
      <c r="D2019" t="inlineStr">
        <is>
          <t>Топ, ₽/сут</t>
        </is>
      </c>
      <c r="E2019" t="n">
        <v>133</v>
      </c>
    </row>
    <row r="2020">
      <c r="A2020" t="inlineStr">
        <is>
          <t>CIAN</t>
        </is>
      </c>
      <c r="B2020" t="inlineStr">
        <is>
          <t>Уфа</t>
        </is>
      </c>
      <c r="C2020" t="inlineStr">
        <is>
          <t>Аренда · Коммерческая · Предприятие сферы услуг</t>
        </is>
      </c>
      <c r="D2020" t="inlineStr">
        <is>
          <t>Премиум, ₽/сут</t>
        </is>
      </c>
      <c r="E2020" t="n">
        <v>58</v>
      </c>
    </row>
    <row r="2021">
      <c r="A2021" t="inlineStr">
        <is>
          <t>CIAN</t>
        </is>
      </c>
      <c r="B2021" t="inlineStr">
        <is>
          <t>Уфа</t>
        </is>
      </c>
      <c r="C2021" t="inlineStr">
        <is>
          <t>Аренда · Коммерческая · Предприятие сферы услуг</t>
        </is>
      </c>
      <c r="D2021" t="inlineStr">
        <is>
          <t>Стандарт, ₽/сут</t>
        </is>
      </c>
      <c r="E2021" t="n">
        <v>18</v>
      </c>
    </row>
    <row r="2022">
      <c r="A2022" t="inlineStr">
        <is>
          <t>CIAN</t>
        </is>
      </c>
      <c r="B2022" t="inlineStr">
        <is>
          <t>Краснодар</t>
        </is>
      </c>
      <c r="C2022" t="inlineStr">
        <is>
          <t>Аренда · Коммерческая · Предприятие сферы услуг</t>
        </is>
      </c>
      <c r="D2022" t="inlineStr">
        <is>
          <t>Публикация, ₽/30 дн</t>
        </is>
      </c>
      <c r="E2022" t="n">
        <v>570</v>
      </c>
    </row>
    <row r="2023">
      <c r="A2023" t="inlineStr">
        <is>
          <t>CIAN</t>
        </is>
      </c>
      <c r="B2023" t="inlineStr">
        <is>
          <t>Краснодар</t>
        </is>
      </c>
      <c r="C2023" t="inlineStr">
        <is>
          <t>Аренда · Коммерческая · Предприятие сферы услуг</t>
        </is>
      </c>
      <c r="D2023" t="inlineStr">
        <is>
          <t>Топ, ₽/сут</t>
        </is>
      </c>
      <c r="E2023" t="n">
        <v>169</v>
      </c>
    </row>
    <row r="2024">
      <c r="A2024" t="inlineStr">
        <is>
          <t>CIAN</t>
        </is>
      </c>
      <c r="B2024" t="inlineStr">
        <is>
          <t>Краснодар</t>
        </is>
      </c>
      <c r="C2024" t="inlineStr">
        <is>
          <t>Аренда · Коммерческая · Предприятие сферы услуг</t>
        </is>
      </c>
      <c r="D2024" t="inlineStr">
        <is>
          <t>Премиум, ₽/сут</t>
        </is>
      </c>
      <c r="E2024" t="n">
        <v>70</v>
      </c>
    </row>
    <row r="2025">
      <c r="A2025" t="inlineStr">
        <is>
          <t>CIAN</t>
        </is>
      </c>
      <c r="B2025" t="inlineStr">
        <is>
          <t>Краснодар</t>
        </is>
      </c>
      <c r="C2025" t="inlineStr">
        <is>
          <t>Аренда · Коммерческая · Предприятие сферы услуг</t>
        </is>
      </c>
      <c r="D2025" t="inlineStr">
        <is>
          <t>Стандарт, ₽/сут</t>
        </is>
      </c>
      <c r="E2025" t="n">
        <v>40</v>
      </c>
    </row>
    <row r="2026">
      <c r="A2026" t="inlineStr">
        <is>
          <t>CIAN</t>
        </is>
      </c>
      <c r="B2026" t="inlineStr">
        <is>
          <t>Самара</t>
        </is>
      </c>
      <c r="C2026" t="inlineStr">
        <is>
          <t>Аренда · Коммерческая · Предприятие сферы услуг</t>
        </is>
      </c>
      <c r="D2026" t="inlineStr">
        <is>
          <t>Публикация, ₽/30 дн</t>
        </is>
      </c>
      <c r="E2026" t="n">
        <v>372</v>
      </c>
    </row>
    <row r="2027">
      <c r="A2027" t="inlineStr">
        <is>
          <t>CIAN</t>
        </is>
      </c>
      <c r="B2027" t="inlineStr">
        <is>
          <t>Самара</t>
        </is>
      </c>
      <c r="C2027" t="inlineStr">
        <is>
          <t>Аренда · Коммерческая · Предприятие сферы услуг</t>
        </is>
      </c>
      <c r="D2027" t="inlineStr">
        <is>
          <t>Топ, ₽/сут</t>
        </is>
      </c>
      <c r="E2027" t="inlineStr">
        <is>
          <t>—</t>
        </is>
      </c>
    </row>
    <row r="2028">
      <c r="A2028" t="inlineStr">
        <is>
          <t>CIAN</t>
        </is>
      </c>
      <c r="B2028" t="inlineStr">
        <is>
          <t>Самара</t>
        </is>
      </c>
      <c r="C2028" t="inlineStr">
        <is>
          <t>Аренда · Коммерческая · Предприятие сферы услуг</t>
        </is>
      </c>
      <c r="D2028" t="inlineStr">
        <is>
          <t>Премиум, ₽/сут</t>
        </is>
      </c>
      <c r="E2028" t="inlineStr">
        <is>
          <t>—</t>
        </is>
      </c>
    </row>
    <row r="2029">
      <c r="A2029" t="inlineStr">
        <is>
          <t>CIAN</t>
        </is>
      </c>
      <c r="B2029" t="inlineStr">
        <is>
          <t>Самара</t>
        </is>
      </c>
      <c r="C2029" t="inlineStr">
        <is>
          <t>Аренда · Коммерческая · Предприятие сферы услуг</t>
        </is>
      </c>
      <c r="D2029" t="inlineStr">
        <is>
          <t>Стандарт, ₽/сут</t>
        </is>
      </c>
      <c r="E2029" t="inlineStr">
        <is>
          <t>—</t>
        </is>
      </c>
    </row>
    <row r="2030">
      <c r="A2030" t="inlineStr">
        <is>
          <t>CIAN</t>
        </is>
      </c>
      <c r="B2030" t="inlineStr">
        <is>
          <t>Ростов-на-Дону</t>
        </is>
      </c>
      <c r="C2030" t="inlineStr">
        <is>
          <t>Аренда · Коммерческая · Предприятие сферы услуг</t>
        </is>
      </c>
      <c r="D2030" t="inlineStr">
        <is>
          <t>Публикация, ₽/30 дн</t>
        </is>
      </c>
      <c r="E2030" t="n">
        <v>513</v>
      </c>
    </row>
    <row r="2031">
      <c r="A2031" t="inlineStr">
        <is>
          <t>CIAN</t>
        </is>
      </c>
      <c r="B2031" t="inlineStr">
        <is>
          <t>Ростов-на-Дону</t>
        </is>
      </c>
      <c r="C2031" t="inlineStr">
        <is>
          <t>Аренда · Коммерческая · Предприятие сферы услуг</t>
        </is>
      </c>
      <c r="D2031" t="inlineStr">
        <is>
          <t>Топ, ₽/сут</t>
        </is>
      </c>
      <c r="E2031" t="n">
        <v>150</v>
      </c>
    </row>
    <row r="2032">
      <c r="A2032" t="inlineStr">
        <is>
          <t>CIAN</t>
        </is>
      </c>
      <c r="B2032" t="inlineStr">
        <is>
          <t>Ростов-на-Дону</t>
        </is>
      </c>
      <c r="C2032" t="inlineStr">
        <is>
          <t>Аренда · Коммерческая · Предприятие сферы услуг</t>
        </is>
      </c>
      <c r="D2032" t="inlineStr">
        <is>
          <t>Премиум, ₽/сут</t>
        </is>
      </c>
      <c r="E2032" t="n">
        <v>62</v>
      </c>
    </row>
    <row r="2033">
      <c r="A2033" t="inlineStr">
        <is>
          <t>CIAN</t>
        </is>
      </c>
      <c r="B2033" t="inlineStr">
        <is>
          <t>Ростов-на-Дону</t>
        </is>
      </c>
      <c r="C2033" t="inlineStr">
        <is>
          <t>Аренда · Коммерческая · Предприятие сферы услуг</t>
        </is>
      </c>
      <c r="D2033" t="inlineStr">
        <is>
          <t>Стандарт, ₽/сут</t>
        </is>
      </c>
      <c r="E2033" t="n">
        <v>20</v>
      </c>
    </row>
    <row r="2034">
      <c r="A2034" t="inlineStr">
        <is>
          <t>CIAN</t>
        </is>
      </c>
      <c r="B2034" t="inlineStr">
        <is>
          <t>Омск</t>
        </is>
      </c>
      <c r="C2034" t="inlineStr">
        <is>
          <t>Аренда · Коммерческая · Предприятие сферы услуг</t>
        </is>
      </c>
      <c r="D2034" t="inlineStr">
        <is>
          <t>Публикация, ₽/30 дн</t>
        </is>
      </c>
      <c r="E2034" t="n">
        <v>642</v>
      </c>
    </row>
    <row r="2035">
      <c r="A2035" t="inlineStr">
        <is>
          <t>CIAN</t>
        </is>
      </c>
      <c r="B2035" t="inlineStr">
        <is>
          <t>Омск</t>
        </is>
      </c>
      <c r="C2035" t="inlineStr">
        <is>
          <t>Аренда · Коммерческая · Предприятие сферы услуг</t>
        </is>
      </c>
      <c r="D2035" t="inlineStr">
        <is>
          <t>Топ, ₽/сут</t>
        </is>
      </c>
      <c r="E2035" t="n">
        <v>223</v>
      </c>
    </row>
    <row r="2036">
      <c r="A2036" t="inlineStr">
        <is>
          <t>CIAN</t>
        </is>
      </c>
      <c r="B2036" t="inlineStr">
        <is>
          <t>Омск</t>
        </is>
      </c>
      <c r="C2036" t="inlineStr">
        <is>
          <t>Аренда · Коммерческая · Предприятие сферы услуг</t>
        </is>
      </c>
      <c r="D2036" t="inlineStr">
        <is>
          <t>Премиум, ₽/сут</t>
        </is>
      </c>
      <c r="E2036" t="n">
        <v>120</v>
      </c>
    </row>
    <row r="2037">
      <c r="A2037" t="inlineStr">
        <is>
          <t>CIAN</t>
        </is>
      </c>
      <c r="B2037" t="inlineStr">
        <is>
          <t>Омск</t>
        </is>
      </c>
      <c r="C2037" t="inlineStr">
        <is>
          <t>Аренда · Коммерческая · Предприятие сферы услуг</t>
        </is>
      </c>
      <c r="D2037" t="inlineStr">
        <is>
          <t>Стандарт, ₽/сут</t>
        </is>
      </c>
      <c r="E2037" t="n">
        <v>38</v>
      </c>
    </row>
    <row r="2038">
      <c r="A2038" t="inlineStr">
        <is>
          <t>CIAN</t>
        </is>
      </c>
      <c r="B2038" t="inlineStr">
        <is>
          <t>Воронеж</t>
        </is>
      </c>
      <c r="C2038" t="inlineStr">
        <is>
          <t>Аренда · Коммерческая · Предприятие сферы услуг</t>
        </is>
      </c>
      <c r="D2038" t="inlineStr">
        <is>
          <t>Публикация, ₽/30 дн</t>
        </is>
      </c>
      <c r="E2038" t="n">
        <v>174</v>
      </c>
    </row>
    <row r="2039">
      <c r="A2039" t="inlineStr">
        <is>
          <t>CIAN</t>
        </is>
      </c>
      <c r="B2039" t="inlineStr">
        <is>
          <t>Воронеж</t>
        </is>
      </c>
      <c r="C2039" t="inlineStr">
        <is>
          <t>Аренда · Коммерческая · Предприятие сферы услуг</t>
        </is>
      </c>
      <c r="D2039" t="inlineStr">
        <is>
          <t>Топ, ₽/сут</t>
        </is>
      </c>
      <c r="E2039" t="inlineStr">
        <is>
          <t>—</t>
        </is>
      </c>
    </row>
    <row r="2040">
      <c r="A2040" t="inlineStr">
        <is>
          <t>CIAN</t>
        </is>
      </c>
      <c r="B2040" t="inlineStr">
        <is>
          <t>Воронеж</t>
        </is>
      </c>
      <c r="C2040" t="inlineStr">
        <is>
          <t>Аренда · Коммерческая · Предприятие сферы услуг</t>
        </is>
      </c>
      <c r="D2040" t="inlineStr">
        <is>
          <t>Премиум, ₽/сут</t>
        </is>
      </c>
      <c r="E2040" t="inlineStr">
        <is>
          <t>—</t>
        </is>
      </c>
    </row>
    <row r="2041">
      <c r="A2041" t="inlineStr">
        <is>
          <t>CIAN</t>
        </is>
      </c>
      <c r="B2041" t="inlineStr">
        <is>
          <t>Воронеж</t>
        </is>
      </c>
      <c r="C2041" t="inlineStr">
        <is>
          <t>Аренда · Коммерческая · Предприятие сферы услуг</t>
        </is>
      </c>
      <c r="D2041" t="inlineStr">
        <is>
          <t>Стандарт, ₽/сут</t>
        </is>
      </c>
      <c r="E2041" t="inlineStr">
        <is>
          <t>—</t>
        </is>
      </c>
    </row>
    <row r="2042">
      <c r="A2042" t="inlineStr">
        <is>
          <t>CIAN</t>
        </is>
      </c>
      <c r="B2042" t="inlineStr">
        <is>
          <t>Пермь</t>
        </is>
      </c>
      <c r="C2042" t="inlineStr">
        <is>
          <t>Аренда · Коммерческая · Предприятие сферы услуг</t>
        </is>
      </c>
      <c r="D2042" t="inlineStr">
        <is>
          <t>Публикация, ₽/30 дн</t>
        </is>
      </c>
      <c r="E2042" t="n">
        <v>108</v>
      </c>
    </row>
    <row r="2043">
      <c r="A2043" t="inlineStr">
        <is>
          <t>CIAN</t>
        </is>
      </c>
      <c r="B2043" t="inlineStr">
        <is>
          <t>Пермь</t>
        </is>
      </c>
      <c r="C2043" t="inlineStr">
        <is>
          <t>Аренда · Коммерческая · Предприятие сферы услуг</t>
        </is>
      </c>
      <c r="D2043" t="inlineStr">
        <is>
          <t>Топ, ₽/сут</t>
        </is>
      </c>
      <c r="E2043" t="inlineStr">
        <is>
          <t>—</t>
        </is>
      </c>
    </row>
    <row r="2044">
      <c r="A2044" t="inlineStr">
        <is>
          <t>CIAN</t>
        </is>
      </c>
      <c r="B2044" t="inlineStr">
        <is>
          <t>Пермь</t>
        </is>
      </c>
      <c r="C2044" t="inlineStr">
        <is>
          <t>Аренда · Коммерческая · Предприятие сферы услуг</t>
        </is>
      </c>
      <c r="D2044" t="inlineStr">
        <is>
          <t>Премиум, ₽/сут</t>
        </is>
      </c>
      <c r="E2044" t="inlineStr">
        <is>
          <t>—</t>
        </is>
      </c>
    </row>
    <row r="2045">
      <c r="A2045" t="inlineStr">
        <is>
          <t>CIAN</t>
        </is>
      </c>
      <c r="B2045" t="inlineStr">
        <is>
          <t>Пермь</t>
        </is>
      </c>
      <c r="C2045" t="inlineStr">
        <is>
          <t>Аренда · Коммерческая · Предприятие сферы услуг</t>
        </is>
      </c>
      <c r="D2045" t="inlineStr">
        <is>
          <t>Стандарт, ₽/сут</t>
        </is>
      </c>
      <c r="E2045" t="inlineStr">
        <is>
          <t>—</t>
        </is>
      </c>
    </row>
    <row r="2046">
      <c r="A2046" t="inlineStr">
        <is>
          <t>CIAN</t>
        </is>
      </c>
      <c r="B2046" t="inlineStr">
        <is>
          <t>Волгоград</t>
        </is>
      </c>
      <c r="C2046" t="inlineStr">
        <is>
          <t>Аренда · Коммерческая · Предприятие сферы услуг</t>
        </is>
      </c>
      <c r="D2046" t="inlineStr">
        <is>
          <t>Публикация, ₽/30 дн</t>
        </is>
      </c>
      <c r="E2046" t="n">
        <v>234</v>
      </c>
    </row>
    <row r="2047">
      <c r="A2047" t="inlineStr">
        <is>
          <t>CIAN</t>
        </is>
      </c>
      <c r="B2047" t="inlineStr">
        <is>
          <t>Волгоград</t>
        </is>
      </c>
      <c r="C2047" t="inlineStr">
        <is>
          <t>Аренда · Коммерческая · Предприятие сферы услуг</t>
        </is>
      </c>
      <c r="D2047" t="inlineStr">
        <is>
          <t>Топ, ₽/сут</t>
        </is>
      </c>
      <c r="E2047" t="inlineStr">
        <is>
          <t>—</t>
        </is>
      </c>
    </row>
    <row r="2048">
      <c r="A2048" t="inlineStr">
        <is>
          <t>CIAN</t>
        </is>
      </c>
      <c r="B2048" t="inlineStr">
        <is>
          <t>Волгоград</t>
        </is>
      </c>
      <c r="C2048" t="inlineStr">
        <is>
          <t>Аренда · Коммерческая · Предприятие сферы услуг</t>
        </is>
      </c>
      <c r="D2048" t="inlineStr">
        <is>
          <t>Премиум, ₽/сут</t>
        </is>
      </c>
      <c r="E2048" t="inlineStr">
        <is>
          <t>—</t>
        </is>
      </c>
    </row>
    <row r="2049">
      <c r="A2049" t="inlineStr">
        <is>
          <t>CIAN</t>
        </is>
      </c>
      <c r="B2049" t="inlineStr">
        <is>
          <t>Волгоград</t>
        </is>
      </c>
      <c r="C2049" t="inlineStr">
        <is>
          <t>Аренда · Коммерческая · Предприятие сферы услуг</t>
        </is>
      </c>
      <c r="D2049" t="inlineStr">
        <is>
          <t>Стандарт, ₽/сут</t>
        </is>
      </c>
      <c r="E2049" t="inlineStr">
        <is>
          <t>—</t>
        </is>
      </c>
    </row>
    <row r="2050">
      <c r="A2050" t="inlineStr">
        <is>
          <t>CIAN</t>
        </is>
      </c>
      <c r="B2050" t="inlineStr">
        <is>
          <t>Москва</t>
        </is>
      </c>
      <c r="C2050" t="inlineStr">
        <is>
          <t>Аренда · Коммерческая · Производство</t>
        </is>
      </c>
      <c r="D2050" t="inlineStr">
        <is>
          <t>Публикация, ₽/30 дн</t>
        </is>
      </c>
      <c r="E2050" t="n">
        <v>3270</v>
      </c>
    </row>
    <row r="2051">
      <c r="A2051" t="inlineStr">
        <is>
          <t>CIAN</t>
        </is>
      </c>
      <c r="B2051" t="inlineStr">
        <is>
          <t>Москва</t>
        </is>
      </c>
      <c r="C2051" t="inlineStr">
        <is>
          <t>Аренда · Коммерческая · Производство</t>
        </is>
      </c>
      <c r="D2051" t="inlineStr">
        <is>
          <t>Топ, ₽/сут</t>
        </is>
      </c>
      <c r="E2051" t="n">
        <v>999</v>
      </c>
    </row>
    <row r="2052">
      <c r="A2052" t="inlineStr">
        <is>
          <t>CIAN</t>
        </is>
      </c>
      <c r="B2052" t="inlineStr">
        <is>
          <t>Москва</t>
        </is>
      </c>
      <c r="C2052" t="inlineStr">
        <is>
          <t>Аренда · Коммерческая · Производство</t>
        </is>
      </c>
      <c r="D2052" t="inlineStr">
        <is>
          <t>Премиум, ₽/сут</t>
        </is>
      </c>
      <c r="E2052" t="n">
        <v>410</v>
      </c>
    </row>
    <row r="2053">
      <c r="A2053" t="inlineStr">
        <is>
          <t>CIAN</t>
        </is>
      </c>
      <c r="B2053" t="inlineStr">
        <is>
          <t>Москва</t>
        </is>
      </c>
      <c r="C2053" t="inlineStr">
        <is>
          <t>Аренда · Коммерческая · Производство</t>
        </is>
      </c>
      <c r="D2053" t="inlineStr">
        <is>
          <t>Стандарт, ₽/сут</t>
        </is>
      </c>
      <c r="E2053" t="n">
        <v>123</v>
      </c>
    </row>
    <row r="2054">
      <c r="A2054" t="inlineStr">
        <is>
          <t>CIAN</t>
        </is>
      </c>
      <c r="B2054" t="inlineStr">
        <is>
          <t>Санкт-Петербург</t>
        </is>
      </c>
      <c r="C2054" t="inlineStr">
        <is>
          <t>Аренда · Коммерческая · Производство</t>
        </is>
      </c>
      <c r="D2054" t="inlineStr">
        <is>
          <t>Публикация, ₽/30 дн</t>
        </is>
      </c>
      <c r="E2054" t="n">
        <v>618</v>
      </c>
    </row>
    <row r="2055">
      <c r="A2055" t="inlineStr">
        <is>
          <t>CIAN</t>
        </is>
      </c>
      <c r="B2055" t="inlineStr">
        <is>
          <t>Санкт-Петербург</t>
        </is>
      </c>
      <c r="C2055" t="inlineStr">
        <is>
          <t>Аренда · Коммерческая · Производство</t>
        </is>
      </c>
      <c r="D2055" t="inlineStr">
        <is>
          <t>Топ, ₽/сут</t>
        </is>
      </c>
      <c r="E2055" t="n">
        <v>563</v>
      </c>
    </row>
    <row r="2056">
      <c r="A2056" t="inlineStr">
        <is>
          <t>CIAN</t>
        </is>
      </c>
      <c r="B2056" t="inlineStr">
        <is>
          <t>Санкт-Петербург</t>
        </is>
      </c>
      <c r="C2056" t="inlineStr">
        <is>
          <t>Аренда · Коммерческая · Производство</t>
        </is>
      </c>
      <c r="D2056" t="inlineStr">
        <is>
          <t>Премиум, ₽/сут</t>
        </is>
      </c>
      <c r="E2056" t="n">
        <v>239</v>
      </c>
    </row>
    <row r="2057">
      <c r="A2057" t="inlineStr">
        <is>
          <t>CIAN</t>
        </is>
      </c>
      <c r="B2057" t="inlineStr">
        <is>
          <t>Санкт-Петербург</t>
        </is>
      </c>
      <c r="C2057" t="inlineStr">
        <is>
          <t>Аренда · Коммерческая · Производство</t>
        </is>
      </c>
      <c r="D2057" t="inlineStr">
        <is>
          <t>Стандарт, ₽/сут</t>
        </is>
      </c>
      <c r="E2057" t="n">
        <v>73</v>
      </c>
    </row>
    <row r="2058">
      <c r="A2058" t="inlineStr">
        <is>
          <t>CIAN</t>
        </is>
      </c>
      <c r="B2058" t="inlineStr">
        <is>
          <t>Новосибирск</t>
        </is>
      </c>
      <c r="C2058" t="inlineStr">
        <is>
          <t>Аренда · Коммерческая · Производство</t>
        </is>
      </c>
      <c r="D2058" t="inlineStr">
        <is>
          <t>Публикация, ₽/30 дн</t>
        </is>
      </c>
      <c r="E2058" t="n">
        <v>432</v>
      </c>
    </row>
    <row r="2059">
      <c r="A2059" t="inlineStr">
        <is>
          <t>CIAN</t>
        </is>
      </c>
      <c r="B2059" t="inlineStr">
        <is>
          <t>Новосибирск</t>
        </is>
      </c>
      <c r="C2059" t="inlineStr">
        <is>
          <t>Аренда · Коммерческая · Производство</t>
        </is>
      </c>
      <c r="D2059" t="inlineStr">
        <is>
          <t>Топ, ₽/сут</t>
        </is>
      </c>
      <c r="E2059" t="n">
        <v>419</v>
      </c>
    </row>
    <row r="2060">
      <c r="A2060" t="inlineStr">
        <is>
          <t>CIAN</t>
        </is>
      </c>
      <c r="B2060" t="inlineStr">
        <is>
          <t>Новосибирск</t>
        </is>
      </c>
      <c r="C2060" t="inlineStr">
        <is>
          <t>Аренда · Коммерческая · Производство</t>
        </is>
      </c>
      <c r="D2060" t="inlineStr">
        <is>
          <t>Премиум, ₽/сут</t>
        </is>
      </c>
      <c r="E2060" t="n">
        <v>190</v>
      </c>
    </row>
    <row r="2061">
      <c r="A2061" t="inlineStr">
        <is>
          <t>CIAN</t>
        </is>
      </c>
      <c r="B2061" t="inlineStr">
        <is>
          <t>Новосибирск</t>
        </is>
      </c>
      <c r="C2061" t="inlineStr">
        <is>
          <t>Аренда · Коммерческая · Производство</t>
        </is>
      </c>
      <c r="D2061" t="inlineStr">
        <is>
          <t>Стандарт, ₽/сут</t>
        </is>
      </c>
      <c r="E2061" t="n">
        <v>56</v>
      </c>
    </row>
    <row r="2062">
      <c r="A2062" t="inlineStr">
        <is>
          <t>CIAN</t>
        </is>
      </c>
      <c r="B2062" t="inlineStr">
        <is>
          <t>Екатеринбург</t>
        </is>
      </c>
      <c r="C2062" t="inlineStr">
        <is>
          <t>Аренда · Коммерческая · Производство</t>
        </is>
      </c>
      <c r="D2062" t="inlineStr">
        <is>
          <t>Публикация, ₽/30 дн</t>
        </is>
      </c>
      <c r="E2062" t="n">
        <v>510</v>
      </c>
    </row>
    <row r="2063">
      <c r="A2063" t="inlineStr">
        <is>
          <t>CIAN</t>
        </is>
      </c>
      <c r="B2063" t="inlineStr">
        <is>
          <t>Екатеринбург</t>
        </is>
      </c>
      <c r="C2063" t="inlineStr">
        <is>
          <t>Аренда · Коммерческая · Производство</t>
        </is>
      </c>
      <c r="D2063" t="inlineStr">
        <is>
          <t>Топ, ₽/сут</t>
        </is>
      </c>
      <c r="E2063" t="n">
        <v>433</v>
      </c>
    </row>
    <row r="2064">
      <c r="A2064" t="inlineStr">
        <is>
          <t>CIAN</t>
        </is>
      </c>
      <c r="B2064" t="inlineStr">
        <is>
          <t>Екатеринбург</t>
        </is>
      </c>
      <c r="C2064" t="inlineStr">
        <is>
          <t>Аренда · Коммерческая · Производство</t>
        </is>
      </c>
      <c r="D2064" t="inlineStr">
        <is>
          <t>Премиум, ₽/сут</t>
        </is>
      </c>
      <c r="E2064" t="n">
        <v>221</v>
      </c>
    </row>
    <row r="2065">
      <c r="A2065" t="inlineStr">
        <is>
          <t>CIAN</t>
        </is>
      </c>
      <c r="B2065" t="inlineStr">
        <is>
          <t>Екатеринбург</t>
        </is>
      </c>
      <c r="C2065" t="inlineStr">
        <is>
          <t>Аренда · Коммерческая · Производство</t>
        </is>
      </c>
      <c r="D2065" t="inlineStr">
        <is>
          <t>Стандарт, ₽/сут</t>
        </is>
      </c>
      <c r="E2065" t="n">
        <v>68</v>
      </c>
    </row>
    <row r="2066">
      <c r="A2066" t="inlineStr">
        <is>
          <t>CIAN</t>
        </is>
      </c>
      <c r="B2066" t="inlineStr">
        <is>
          <t>Казань</t>
        </is>
      </c>
      <c r="C2066" t="inlineStr">
        <is>
          <t>Аренда · Коммерческая · Производство</t>
        </is>
      </c>
      <c r="D2066" t="inlineStr">
        <is>
          <t>Публикация, ₽/30 дн</t>
        </is>
      </c>
      <c r="E2066" t="n">
        <v>120</v>
      </c>
    </row>
    <row r="2067">
      <c r="A2067" t="inlineStr">
        <is>
          <t>CIAN</t>
        </is>
      </c>
      <c r="B2067" t="inlineStr">
        <is>
          <t>Казань</t>
        </is>
      </c>
      <c r="C2067" t="inlineStr">
        <is>
          <t>Аренда · Коммерческая · Производство</t>
        </is>
      </c>
      <c r="D2067" t="inlineStr">
        <is>
          <t>Топ, ₽/сут</t>
        </is>
      </c>
      <c r="E2067" t="n">
        <v>162</v>
      </c>
    </row>
    <row r="2068">
      <c r="A2068" t="inlineStr">
        <is>
          <t>CIAN</t>
        </is>
      </c>
      <c r="B2068" t="inlineStr">
        <is>
          <t>Казань</t>
        </is>
      </c>
      <c r="C2068" t="inlineStr">
        <is>
          <t>Аренда · Коммерческая · Производство</t>
        </is>
      </c>
      <c r="D2068" t="inlineStr">
        <is>
          <t>Премиум, ₽/сут</t>
        </is>
      </c>
      <c r="E2068" t="n">
        <v>70</v>
      </c>
    </row>
    <row r="2069">
      <c r="A2069" t="inlineStr">
        <is>
          <t>CIAN</t>
        </is>
      </c>
      <c r="B2069" t="inlineStr">
        <is>
          <t>Казань</t>
        </is>
      </c>
      <c r="C2069" t="inlineStr">
        <is>
          <t>Аренда · Коммерческая · Производство</t>
        </is>
      </c>
      <c r="D2069" t="inlineStr">
        <is>
          <t>Стандарт, ₽/сут</t>
        </is>
      </c>
      <c r="E2069" t="n">
        <v>22</v>
      </c>
    </row>
    <row r="2070">
      <c r="A2070" t="inlineStr">
        <is>
          <t>CIAN</t>
        </is>
      </c>
      <c r="B2070" t="inlineStr">
        <is>
          <t>Красноярск</t>
        </is>
      </c>
      <c r="C2070" t="inlineStr">
        <is>
          <t>Аренда · Коммерческая · Производство</t>
        </is>
      </c>
      <c r="D2070" t="inlineStr">
        <is>
          <t>Публикация, ₽/30 дн</t>
        </is>
      </c>
      <c r="E2070" t="n">
        <v>270</v>
      </c>
    </row>
    <row r="2071">
      <c r="A2071" t="inlineStr">
        <is>
          <t>CIAN</t>
        </is>
      </c>
      <c r="B2071" t="inlineStr">
        <is>
          <t>Красноярск</t>
        </is>
      </c>
      <c r="C2071" t="inlineStr">
        <is>
          <t>Аренда · Коммерческая · Производство</t>
        </is>
      </c>
      <c r="D2071" t="inlineStr">
        <is>
          <t>Топ, ₽/сут</t>
        </is>
      </c>
      <c r="E2071" t="inlineStr">
        <is>
          <t>—</t>
        </is>
      </c>
    </row>
    <row r="2072">
      <c r="A2072" t="inlineStr">
        <is>
          <t>CIAN</t>
        </is>
      </c>
      <c r="B2072" t="inlineStr">
        <is>
          <t>Красноярск</t>
        </is>
      </c>
      <c r="C2072" t="inlineStr">
        <is>
          <t>Аренда · Коммерческая · Производство</t>
        </is>
      </c>
      <c r="D2072" t="inlineStr">
        <is>
          <t>Премиум, ₽/сут</t>
        </is>
      </c>
      <c r="E2072" t="inlineStr">
        <is>
          <t>—</t>
        </is>
      </c>
    </row>
    <row r="2073">
      <c r="A2073" t="inlineStr">
        <is>
          <t>CIAN</t>
        </is>
      </c>
      <c r="B2073" t="inlineStr">
        <is>
          <t>Красноярск</t>
        </is>
      </c>
      <c r="C2073" t="inlineStr">
        <is>
          <t>Аренда · Коммерческая · Производство</t>
        </is>
      </c>
      <c r="D2073" t="inlineStr">
        <is>
          <t>Стандарт, ₽/сут</t>
        </is>
      </c>
      <c r="E2073" t="inlineStr">
        <is>
          <t>—</t>
        </is>
      </c>
    </row>
    <row r="2074">
      <c r="A2074" t="inlineStr">
        <is>
          <t>CIAN</t>
        </is>
      </c>
      <c r="B2074" t="inlineStr">
        <is>
          <t>Нижний Новгород</t>
        </is>
      </c>
      <c r="C2074" t="inlineStr">
        <is>
          <t>Аренда · Коммерческая · Производство</t>
        </is>
      </c>
      <c r="D2074" t="inlineStr">
        <is>
          <t>Публикация, ₽/30 дн</t>
        </is>
      </c>
      <c r="E2074" t="n">
        <v>303</v>
      </c>
    </row>
    <row r="2075">
      <c r="A2075" t="inlineStr">
        <is>
          <t>CIAN</t>
        </is>
      </c>
      <c r="B2075" t="inlineStr">
        <is>
          <t>Нижний Новгород</t>
        </is>
      </c>
      <c r="C2075" t="inlineStr">
        <is>
          <t>Аренда · Коммерческая · Производство</t>
        </is>
      </c>
      <c r="D2075" t="inlineStr">
        <is>
          <t>Топ, ₽/сут</t>
        </is>
      </c>
      <c r="E2075" t="n">
        <v>168</v>
      </c>
    </row>
    <row r="2076">
      <c r="A2076" t="inlineStr">
        <is>
          <t>CIAN</t>
        </is>
      </c>
      <c r="B2076" t="inlineStr">
        <is>
          <t>Нижний Новгород</t>
        </is>
      </c>
      <c r="C2076" t="inlineStr">
        <is>
          <t>Аренда · Коммерческая · Производство</t>
        </is>
      </c>
      <c r="D2076" t="inlineStr">
        <is>
          <t>Премиум, ₽/сут</t>
        </is>
      </c>
      <c r="E2076" t="n">
        <v>71</v>
      </c>
    </row>
    <row r="2077">
      <c r="A2077" t="inlineStr">
        <is>
          <t>CIAN</t>
        </is>
      </c>
      <c r="B2077" t="inlineStr">
        <is>
          <t>Нижний Новгород</t>
        </is>
      </c>
      <c r="C2077" t="inlineStr">
        <is>
          <t>Аренда · Коммерческая · Производство</t>
        </is>
      </c>
      <c r="D2077" t="inlineStr">
        <is>
          <t>Стандарт, ₽/сут</t>
        </is>
      </c>
      <c r="E2077" t="n">
        <v>23</v>
      </c>
    </row>
    <row r="2078">
      <c r="A2078" t="inlineStr">
        <is>
          <t>CIAN</t>
        </is>
      </c>
      <c r="B2078" t="inlineStr">
        <is>
          <t>Челябинск</t>
        </is>
      </c>
      <c r="C2078" t="inlineStr">
        <is>
          <t>Аренда · Коммерческая · Производство</t>
        </is>
      </c>
      <c r="D2078" t="inlineStr">
        <is>
          <t>Публикация, ₽/30 дн</t>
        </is>
      </c>
      <c r="E2078" t="n">
        <v>81</v>
      </c>
    </row>
    <row r="2079">
      <c r="A2079" t="inlineStr">
        <is>
          <t>CIAN</t>
        </is>
      </c>
      <c r="B2079" t="inlineStr">
        <is>
          <t>Челябинск</t>
        </is>
      </c>
      <c r="C2079" t="inlineStr">
        <is>
          <t>Аренда · Коммерческая · Производство</t>
        </is>
      </c>
      <c r="D2079" t="inlineStr">
        <is>
          <t>Топ, ₽/сут</t>
        </is>
      </c>
      <c r="E2079" t="n">
        <v>265</v>
      </c>
    </row>
    <row r="2080">
      <c r="A2080" t="inlineStr">
        <is>
          <t>CIAN</t>
        </is>
      </c>
      <c r="B2080" t="inlineStr">
        <is>
          <t>Челябинск</t>
        </is>
      </c>
      <c r="C2080" t="inlineStr">
        <is>
          <t>Аренда · Коммерческая · Производство</t>
        </is>
      </c>
      <c r="D2080" t="inlineStr">
        <is>
          <t>Премиум, ₽/сут</t>
        </is>
      </c>
      <c r="E2080" t="n">
        <v>124</v>
      </c>
    </row>
    <row r="2081">
      <c r="A2081" t="inlineStr">
        <is>
          <t>CIAN</t>
        </is>
      </c>
      <c r="B2081" t="inlineStr">
        <is>
          <t>Челябинск</t>
        </is>
      </c>
      <c r="C2081" t="inlineStr">
        <is>
          <t>Аренда · Коммерческая · Производство</t>
        </is>
      </c>
      <c r="D2081" t="inlineStr">
        <is>
          <t>Стандарт, ₽/сут</t>
        </is>
      </c>
      <c r="E2081" t="n">
        <v>39</v>
      </c>
    </row>
    <row r="2082">
      <c r="A2082" t="inlineStr">
        <is>
          <t>CIAN</t>
        </is>
      </c>
      <c r="B2082" t="inlineStr">
        <is>
          <t>Уфа</t>
        </is>
      </c>
      <c r="C2082" t="inlineStr">
        <is>
          <t>Аренда · Коммерческая · Производство</t>
        </is>
      </c>
      <c r="D2082" t="inlineStr">
        <is>
          <t>Публикация, ₽/30 дн</t>
        </is>
      </c>
      <c r="E2082" t="n">
        <v>543</v>
      </c>
    </row>
    <row r="2083">
      <c r="A2083" t="inlineStr">
        <is>
          <t>CIAN</t>
        </is>
      </c>
      <c r="B2083" t="inlineStr">
        <is>
          <t>Уфа</t>
        </is>
      </c>
      <c r="C2083" t="inlineStr">
        <is>
          <t>Аренда · Коммерческая · Производство</t>
        </is>
      </c>
      <c r="D2083" t="inlineStr">
        <is>
          <t>Топ, ₽/сут</t>
        </is>
      </c>
      <c r="E2083" t="n">
        <v>125</v>
      </c>
    </row>
    <row r="2084">
      <c r="A2084" t="inlineStr">
        <is>
          <t>CIAN</t>
        </is>
      </c>
      <c r="B2084" t="inlineStr">
        <is>
          <t>Уфа</t>
        </is>
      </c>
      <c r="C2084" t="inlineStr">
        <is>
          <t>Аренда · Коммерческая · Производство</t>
        </is>
      </c>
      <c r="D2084" t="inlineStr">
        <is>
          <t>Премиум, ₽/сут</t>
        </is>
      </c>
      <c r="E2084" t="n">
        <v>55</v>
      </c>
    </row>
    <row r="2085">
      <c r="A2085" t="inlineStr">
        <is>
          <t>CIAN</t>
        </is>
      </c>
      <c r="B2085" t="inlineStr">
        <is>
          <t>Уфа</t>
        </is>
      </c>
      <c r="C2085" t="inlineStr">
        <is>
          <t>Аренда · Коммерческая · Производство</t>
        </is>
      </c>
      <c r="D2085" t="inlineStr">
        <is>
          <t>Стандарт, ₽/сут</t>
        </is>
      </c>
      <c r="E2085" t="n">
        <v>18</v>
      </c>
    </row>
    <row r="2086">
      <c r="A2086" t="inlineStr">
        <is>
          <t>CIAN</t>
        </is>
      </c>
      <c r="B2086" t="inlineStr">
        <is>
          <t>Краснодар</t>
        </is>
      </c>
      <c r="C2086" t="inlineStr">
        <is>
          <t>Аренда · Коммерческая · Производство</t>
        </is>
      </c>
      <c r="D2086" t="inlineStr">
        <is>
          <t>Публикация, ₽/30 дн</t>
        </is>
      </c>
      <c r="E2086" t="n">
        <v>297</v>
      </c>
    </row>
    <row r="2087">
      <c r="A2087" t="inlineStr">
        <is>
          <t>CIAN</t>
        </is>
      </c>
      <c r="B2087" t="inlineStr">
        <is>
          <t>Краснодар</t>
        </is>
      </c>
      <c r="C2087" t="inlineStr">
        <is>
          <t>Аренда · Коммерческая · Производство</t>
        </is>
      </c>
      <c r="D2087" t="inlineStr">
        <is>
          <t>Топ, ₽/сут</t>
        </is>
      </c>
      <c r="E2087" t="n">
        <v>135</v>
      </c>
    </row>
    <row r="2088">
      <c r="A2088" t="inlineStr">
        <is>
          <t>CIAN</t>
        </is>
      </c>
      <c r="B2088" t="inlineStr">
        <is>
          <t>Краснодар</t>
        </is>
      </c>
      <c r="C2088" t="inlineStr">
        <is>
          <t>Аренда · Коммерческая · Производство</t>
        </is>
      </c>
      <c r="D2088" t="inlineStr">
        <is>
          <t>Премиум, ₽/сут</t>
        </is>
      </c>
      <c r="E2088" t="n">
        <v>63</v>
      </c>
    </row>
    <row r="2089">
      <c r="A2089" t="inlineStr">
        <is>
          <t>CIAN</t>
        </is>
      </c>
      <c r="B2089" t="inlineStr">
        <is>
          <t>Краснодар</t>
        </is>
      </c>
      <c r="C2089" t="inlineStr">
        <is>
          <t>Аренда · Коммерческая · Производство</t>
        </is>
      </c>
      <c r="D2089" t="inlineStr">
        <is>
          <t>Стандарт, ₽/сут</t>
        </is>
      </c>
      <c r="E2089" t="n">
        <v>20</v>
      </c>
    </row>
    <row r="2090">
      <c r="A2090" t="inlineStr">
        <is>
          <t>CIAN</t>
        </is>
      </c>
      <c r="B2090" t="inlineStr">
        <is>
          <t>Самара</t>
        </is>
      </c>
      <c r="C2090" t="inlineStr">
        <is>
          <t>Аренда · Коммерческая · Производство</t>
        </is>
      </c>
      <c r="D2090" t="inlineStr">
        <is>
          <t>Публикация, ₽/30 дн</t>
        </is>
      </c>
      <c r="E2090" t="n">
        <v>132</v>
      </c>
    </row>
    <row r="2091">
      <c r="A2091" t="inlineStr">
        <is>
          <t>CIAN</t>
        </is>
      </c>
      <c r="B2091" t="inlineStr">
        <is>
          <t>Самара</t>
        </is>
      </c>
      <c r="C2091" t="inlineStr">
        <is>
          <t>Аренда · Коммерческая · Производство</t>
        </is>
      </c>
      <c r="D2091" t="inlineStr">
        <is>
          <t>Топ, ₽/сут</t>
        </is>
      </c>
      <c r="E2091" t="inlineStr">
        <is>
          <t>—</t>
        </is>
      </c>
    </row>
    <row r="2092">
      <c r="A2092" t="inlineStr">
        <is>
          <t>CIAN</t>
        </is>
      </c>
      <c r="B2092" t="inlineStr">
        <is>
          <t>Самара</t>
        </is>
      </c>
      <c r="C2092" t="inlineStr">
        <is>
          <t>Аренда · Коммерческая · Производство</t>
        </is>
      </c>
      <c r="D2092" t="inlineStr">
        <is>
          <t>Премиум, ₽/сут</t>
        </is>
      </c>
      <c r="E2092" t="inlineStr">
        <is>
          <t>—</t>
        </is>
      </c>
    </row>
    <row r="2093">
      <c r="A2093" t="inlineStr">
        <is>
          <t>CIAN</t>
        </is>
      </c>
      <c r="B2093" t="inlineStr">
        <is>
          <t>Самара</t>
        </is>
      </c>
      <c r="C2093" t="inlineStr">
        <is>
          <t>Аренда · Коммерческая · Производство</t>
        </is>
      </c>
      <c r="D2093" t="inlineStr">
        <is>
          <t>Стандарт, ₽/сут</t>
        </is>
      </c>
      <c r="E2093" t="inlineStr">
        <is>
          <t>—</t>
        </is>
      </c>
    </row>
    <row r="2094">
      <c r="A2094" t="inlineStr">
        <is>
          <t>CIAN</t>
        </is>
      </c>
      <c r="B2094" t="inlineStr">
        <is>
          <t>Ростов-на-Дону</t>
        </is>
      </c>
      <c r="C2094" t="inlineStr">
        <is>
          <t>Аренда · Коммерческая · Производство</t>
        </is>
      </c>
      <c r="D2094" t="inlineStr">
        <is>
          <t>Публикация, ₽/30 дн</t>
        </is>
      </c>
      <c r="E2094" t="n">
        <v>267</v>
      </c>
    </row>
    <row r="2095">
      <c r="A2095" t="inlineStr">
        <is>
          <t>CIAN</t>
        </is>
      </c>
      <c r="B2095" t="inlineStr">
        <is>
          <t>Ростов-на-Дону</t>
        </is>
      </c>
      <c r="C2095" t="inlineStr">
        <is>
          <t>Аренда · Коммерческая · Производство</t>
        </is>
      </c>
      <c r="D2095" t="inlineStr">
        <is>
          <t>Топ, ₽/сут</t>
        </is>
      </c>
      <c r="E2095" t="n">
        <v>119</v>
      </c>
    </row>
    <row r="2096">
      <c r="A2096" t="inlineStr">
        <is>
          <t>CIAN</t>
        </is>
      </c>
      <c r="B2096" t="inlineStr">
        <is>
          <t>Ростов-на-Дону</t>
        </is>
      </c>
      <c r="C2096" t="inlineStr">
        <is>
          <t>Аренда · Коммерческая · Производство</t>
        </is>
      </c>
      <c r="D2096" t="inlineStr">
        <is>
          <t>Премиум, ₽/сут</t>
        </is>
      </c>
      <c r="E2096" t="n">
        <v>51</v>
      </c>
    </row>
    <row r="2097">
      <c r="A2097" t="inlineStr">
        <is>
          <t>CIAN</t>
        </is>
      </c>
      <c r="B2097" t="inlineStr">
        <is>
          <t>Ростов-на-Дону</t>
        </is>
      </c>
      <c r="C2097" t="inlineStr">
        <is>
          <t>Аренда · Коммерческая · Производство</t>
        </is>
      </c>
      <c r="D2097" t="inlineStr">
        <is>
          <t>Стандарт, ₽/сут</t>
        </is>
      </c>
      <c r="E2097" t="n">
        <v>16</v>
      </c>
    </row>
    <row r="2098">
      <c r="A2098" t="inlineStr">
        <is>
          <t>CIAN</t>
        </is>
      </c>
      <c r="B2098" t="inlineStr">
        <is>
          <t>Омск</t>
        </is>
      </c>
      <c r="C2098" t="inlineStr">
        <is>
          <t>Аренда · Коммерческая · Производство</t>
        </is>
      </c>
      <c r="D2098" t="inlineStr">
        <is>
          <t>Публикация, ₽/30 дн</t>
        </is>
      </c>
      <c r="E2098" t="n">
        <v>132</v>
      </c>
    </row>
    <row r="2099">
      <c r="A2099" t="inlineStr">
        <is>
          <t>CIAN</t>
        </is>
      </c>
      <c r="B2099" t="inlineStr">
        <is>
          <t>Омск</t>
        </is>
      </c>
      <c r="C2099" t="inlineStr">
        <is>
          <t>Аренда · Коммерческая · Производство</t>
        </is>
      </c>
      <c r="D2099" t="inlineStr">
        <is>
          <t>Топ, ₽/сут</t>
        </is>
      </c>
      <c r="E2099" t="n">
        <v>171</v>
      </c>
    </row>
    <row r="2100">
      <c r="A2100" t="inlineStr">
        <is>
          <t>CIAN</t>
        </is>
      </c>
      <c r="B2100" t="inlineStr">
        <is>
          <t>Омск</t>
        </is>
      </c>
      <c r="C2100" t="inlineStr">
        <is>
          <t>Аренда · Коммерческая · Производство</t>
        </is>
      </c>
      <c r="D2100" t="inlineStr">
        <is>
          <t>Премиум, ₽/сут</t>
        </is>
      </c>
      <c r="E2100" t="n">
        <v>99</v>
      </c>
    </row>
    <row r="2101">
      <c r="A2101" t="inlineStr">
        <is>
          <t>CIAN</t>
        </is>
      </c>
      <c r="B2101" t="inlineStr">
        <is>
          <t>Омск</t>
        </is>
      </c>
      <c r="C2101" t="inlineStr">
        <is>
          <t>Аренда · Коммерческая · Производство</t>
        </is>
      </c>
      <c r="D2101" t="inlineStr">
        <is>
          <t>Стандарт, ₽/сут</t>
        </is>
      </c>
      <c r="E2101" t="n">
        <v>30</v>
      </c>
    </row>
    <row r="2102">
      <c r="A2102" t="inlineStr">
        <is>
          <t>CIAN</t>
        </is>
      </c>
      <c r="B2102" t="inlineStr">
        <is>
          <t>Воронеж</t>
        </is>
      </c>
      <c r="C2102" t="inlineStr">
        <is>
          <t>Аренда · Коммерческая · Производство</t>
        </is>
      </c>
      <c r="D2102" t="inlineStr">
        <is>
          <t>Публикация, ₽/30 дн</t>
        </is>
      </c>
      <c r="E2102" t="n">
        <v>108</v>
      </c>
    </row>
    <row r="2103">
      <c r="A2103" t="inlineStr">
        <is>
          <t>CIAN</t>
        </is>
      </c>
      <c r="B2103" t="inlineStr">
        <is>
          <t>Воронеж</t>
        </is>
      </c>
      <c r="C2103" t="inlineStr">
        <is>
          <t>Аренда · Коммерческая · Производство</t>
        </is>
      </c>
      <c r="D2103" t="inlineStr">
        <is>
          <t>Топ, ₽/сут</t>
        </is>
      </c>
      <c r="E2103" t="inlineStr">
        <is>
          <t>—</t>
        </is>
      </c>
    </row>
    <row r="2104">
      <c r="A2104" t="inlineStr">
        <is>
          <t>CIAN</t>
        </is>
      </c>
      <c r="B2104" t="inlineStr">
        <is>
          <t>Воронеж</t>
        </is>
      </c>
      <c r="C2104" t="inlineStr">
        <is>
          <t>Аренда · Коммерческая · Производство</t>
        </is>
      </c>
      <c r="D2104" t="inlineStr">
        <is>
          <t>Премиум, ₽/сут</t>
        </is>
      </c>
      <c r="E2104" t="inlineStr">
        <is>
          <t>—</t>
        </is>
      </c>
    </row>
    <row r="2105">
      <c r="A2105" t="inlineStr">
        <is>
          <t>CIAN</t>
        </is>
      </c>
      <c r="B2105" t="inlineStr">
        <is>
          <t>Воронеж</t>
        </is>
      </c>
      <c r="C2105" t="inlineStr">
        <is>
          <t>Аренда · Коммерческая · Производство</t>
        </is>
      </c>
      <c r="D2105" t="inlineStr">
        <is>
          <t>Стандарт, ₽/сут</t>
        </is>
      </c>
      <c r="E2105" t="inlineStr">
        <is>
          <t>—</t>
        </is>
      </c>
    </row>
    <row r="2106">
      <c r="A2106" t="inlineStr">
        <is>
          <t>CIAN</t>
        </is>
      </c>
      <c r="B2106" t="inlineStr">
        <is>
          <t>Пермь</t>
        </is>
      </c>
      <c r="C2106" t="inlineStr">
        <is>
          <t>Аренда · Коммерческая · Производство</t>
        </is>
      </c>
      <c r="D2106" t="inlineStr">
        <is>
          <t>Публикация, ₽/30 дн</t>
        </is>
      </c>
      <c r="E2106" t="n">
        <v>24</v>
      </c>
    </row>
    <row r="2107">
      <c r="A2107" t="inlineStr">
        <is>
          <t>CIAN</t>
        </is>
      </c>
      <c r="B2107" t="inlineStr">
        <is>
          <t>Пермь</t>
        </is>
      </c>
      <c r="C2107" t="inlineStr">
        <is>
          <t>Аренда · Коммерческая · Производство</t>
        </is>
      </c>
      <c r="D2107" t="inlineStr">
        <is>
          <t>Топ, ₽/сут</t>
        </is>
      </c>
      <c r="E2107" t="inlineStr">
        <is>
          <t>—</t>
        </is>
      </c>
    </row>
    <row r="2108">
      <c r="A2108" t="inlineStr">
        <is>
          <t>CIAN</t>
        </is>
      </c>
      <c r="B2108" t="inlineStr">
        <is>
          <t>Пермь</t>
        </is>
      </c>
      <c r="C2108" t="inlineStr">
        <is>
          <t>Аренда · Коммерческая · Производство</t>
        </is>
      </c>
      <c r="D2108" t="inlineStr">
        <is>
          <t>Премиум, ₽/сут</t>
        </is>
      </c>
      <c r="E2108" t="inlineStr">
        <is>
          <t>—</t>
        </is>
      </c>
    </row>
    <row r="2109">
      <c r="A2109" t="inlineStr">
        <is>
          <t>CIAN</t>
        </is>
      </c>
      <c r="B2109" t="inlineStr">
        <is>
          <t>Пермь</t>
        </is>
      </c>
      <c r="C2109" t="inlineStr">
        <is>
          <t>Аренда · Коммерческая · Производство</t>
        </is>
      </c>
      <c r="D2109" t="inlineStr">
        <is>
          <t>Стандарт, ₽/сут</t>
        </is>
      </c>
      <c r="E2109" t="inlineStr">
        <is>
          <t>—</t>
        </is>
      </c>
    </row>
    <row r="2110">
      <c r="A2110" t="inlineStr">
        <is>
          <t>CIAN</t>
        </is>
      </c>
      <c r="B2110" t="inlineStr">
        <is>
          <t>Волгоград</t>
        </is>
      </c>
      <c r="C2110" t="inlineStr">
        <is>
          <t>Аренда · Коммерческая · Производство</t>
        </is>
      </c>
      <c r="D2110" t="inlineStr">
        <is>
          <t>Публикация, ₽/30 дн</t>
        </is>
      </c>
      <c r="E2110" t="n">
        <v>159</v>
      </c>
    </row>
    <row r="2111">
      <c r="A2111" t="inlineStr">
        <is>
          <t>CIAN</t>
        </is>
      </c>
      <c r="B2111" t="inlineStr">
        <is>
          <t>Волгоград</t>
        </is>
      </c>
      <c r="C2111" t="inlineStr">
        <is>
          <t>Аренда · Коммерческая · Производство</t>
        </is>
      </c>
      <c r="D2111" t="inlineStr">
        <is>
          <t>Топ, ₽/сут</t>
        </is>
      </c>
      <c r="E2111" t="inlineStr">
        <is>
          <t>—</t>
        </is>
      </c>
    </row>
    <row r="2112">
      <c r="A2112" t="inlineStr">
        <is>
          <t>CIAN</t>
        </is>
      </c>
      <c r="B2112" t="inlineStr">
        <is>
          <t>Волгоград</t>
        </is>
      </c>
      <c r="C2112" t="inlineStr">
        <is>
          <t>Аренда · Коммерческая · Производство</t>
        </is>
      </c>
      <c r="D2112" t="inlineStr">
        <is>
          <t>Премиум, ₽/сут</t>
        </is>
      </c>
      <c r="E2112" t="inlineStr">
        <is>
          <t>—</t>
        </is>
      </c>
    </row>
    <row r="2113">
      <c r="A2113" t="inlineStr">
        <is>
          <t>CIAN</t>
        </is>
      </c>
      <c r="B2113" t="inlineStr">
        <is>
          <t>Волгоград</t>
        </is>
      </c>
      <c r="C2113" t="inlineStr">
        <is>
          <t>Аренда · Коммерческая · Производство</t>
        </is>
      </c>
      <c r="D2113" t="inlineStr">
        <is>
          <t>Стандарт, ₽/сут</t>
        </is>
      </c>
      <c r="E2113" t="inlineStr">
        <is>
          <t>—</t>
        </is>
      </c>
    </row>
    <row r="2114">
      <c r="A2114" t="inlineStr">
        <is>
          <t>CIAN</t>
        </is>
      </c>
      <c r="B2114" t="inlineStr">
        <is>
          <t>Москва</t>
        </is>
      </c>
      <c r="C2114" t="inlineStr">
        <is>
          <t>Аренда · Коммерческая · Помещение свободного назначения</t>
        </is>
      </c>
      <c r="D2114" t="inlineStr">
        <is>
          <t>Публикация, ₽/30 дн</t>
        </is>
      </c>
      <c r="E2114" t="n">
        <v>2850</v>
      </c>
    </row>
    <row r="2115">
      <c r="A2115" t="inlineStr">
        <is>
          <t>CIAN</t>
        </is>
      </c>
      <c r="B2115" t="inlineStr">
        <is>
          <t>Москва</t>
        </is>
      </c>
      <c r="C2115" t="inlineStr">
        <is>
          <t>Аренда · Коммерческая · Помещение свободного назначения</t>
        </is>
      </c>
      <c r="D2115" t="inlineStr">
        <is>
          <t>Топ, ₽/сут</t>
        </is>
      </c>
      <c r="E2115" t="n">
        <v>1044</v>
      </c>
    </row>
    <row r="2116">
      <c r="A2116" t="inlineStr">
        <is>
          <t>CIAN</t>
        </is>
      </c>
      <c r="B2116" t="inlineStr">
        <is>
          <t>Москва</t>
        </is>
      </c>
      <c r="C2116" t="inlineStr">
        <is>
          <t>Аренда · Коммерческая · Помещение свободного назначения</t>
        </is>
      </c>
      <c r="D2116" t="inlineStr">
        <is>
          <t>Премиум, ₽/сут</t>
        </is>
      </c>
      <c r="E2116" t="n">
        <v>429</v>
      </c>
    </row>
    <row r="2117">
      <c r="A2117" t="inlineStr">
        <is>
          <t>CIAN</t>
        </is>
      </c>
      <c r="B2117" t="inlineStr">
        <is>
          <t>Москва</t>
        </is>
      </c>
      <c r="C2117" t="inlineStr">
        <is>
          <t>Аренда · Коммерческая · Помещение свободного назначения</t>
        </is>
      </c>
      <c r="D2117" t="inlineStr">
        <is>
          <t>Стандарт, ₽/сут</t>
        </is>
      </c>
      <c r="E2117" t="n">
        <v>271</v>
      </c>
    </row>
    <row r="2118">
      <c r="A2118" t="inlineStr">
        <is>
          <t>CIAN</t>
        </is>
      </c>
      <c r="B2118" t="inlineStr">
        <is>
          <t>Санкт-Петербург</t>
        </is>
      </c>
      <c r="C2118" t="inlineStr">
        <is>
          <t>Аренда · Коммерческая · Помещение свободного назначения</t>
        </is>
      </c>
      <c r="D2118" t="inlineStr">
        <is>
          <t>Публикация, ₽/30 дн</t>
        </is>
      </c>
      <c r="E2118" t="n">
        <v>408</v>
      </c>
    </row>
    <row r="2119">
      <c r="A2119" t="inlineStr">
        <is>
          <t>CIAN</t>
        </is>
      </c>
      <c r="B2119" t="inlineStr">
        <is>
          <t>Санкт-Петербург</t>
        </is>
      </c>
      <c r="C2119" t="inlineStr">
        <is>
          <t>Аренда · Коммерческая · Помещение свободного назначения</t>
        </is>
      </c>
      <c r="D2119" t="inlineStr">
        <is>
          <t>Топ, ₽/сут</t>
        </is>
      </c>
      <c r="E2119" t="n">
        <v>691</v>
      </c>
    </row>
    <row r="2120">
      <c r="A2120" t="inlineStr">
        <is>
          <t>CIAN</t>
        </is>
      </c>
      <c r="B2120" t="inlineStr">
        <is>
          <t>Санкт-Петербург</t>
        </is>
      </c>
      <c r="C2120" t="inlineStr">
        <is>
          <t>Аренда · Коммерческая · Помещение свободного назначения</t>
        </is>
      </c>
      <c r="D2120" t="inlineStr">
        <is>
          <t>Премиум, ₽/сут</t>
        </is>
      </c>
      <c r="E2120" t="n">
        <v>292</v>
      </c>
    </row>
    <row r="2121">
      <c r="A2121" t="inlineStr">
        <is>
          <t>CIAN</t>
        </is>
      </c>
      <c r="B2121" t="inlineStr">
        <is>
          <t>Санкт-Петербург</t>
        </is>
      </c>
      <c r="C2121" t="inlineStr">
        <is>
          <t>Аренда · Коммерческая · Помещение свободного назначения</t>
        </is>
      </c>
      <c r="D2121" t="inlineStr">
        <is>
          <t>Стандарт, ₽/сут</t>
        </is>
      </c>
      <c r="E2121" t="n">
        <v>169</v>
      </c>
    </row>
    <row r="2122">
      <c r="A2122" t="inlineStr">
        <is>
          <t>CIAN</t>
        </is>
      </c>
      <c r="B2122" t="inlineStr">
        <is>
          <t>Новосибирск</t>
        </is>
      </c>
      <c r="C2122" t="inlineStr">
        <is>
          <t>Аренда · Коммерческая · Помещение свободного назначения</t>
        </is>
      </c>
      <c r="D2122" t="inlineStr">
        <is>
          <t>Публикация, ₽/30 дн</t>
        </is>
      </c>
      <c r="E2122" t="n">
        <v>432</v>
      </c>
    </row>
    <row r="2123">
      <c r="A2123" t="inlineStr">
        <is>
          <t>CIAN</t>
        </is>
      </c>
      <c r="B2123" t="inlineStr">
        <is>
          <t>Новосибирск</t>
        </is>
      </c>
      <c r="C2123" t="inlineStr">
        <is>
          <t>Аренда · Коммерческая · Помещение свободного назначения</t>
        </is>
      </c>
      <c r="D2123" t="inlineStr">
        <is>
          <t>Топ, ₽/сут</t>
        </is>
      </c>
      <c r="E2123" t="n">
        <v>369</v>
      </c>
    </row>
    <row r="2124">
      <c r="A2124" t="inlineStr">
        <is>
          <t>CIAN</t>
        </is>
      </c>
      <c r="B2124" t="inlineStr">
        <is>
          <t>Новосибирск</t>
        </is>
      </c>
      <c r="C2124" t="inlineStr">
        <is>
          <t>Аренда · Коммерческая · Помещение свободного назначения</t>
        </is>
      </c>
      <c r="D2124" t="inlineStr">
        <is>
          <t>Премиум, ₽/сут</t>
        </is>
      </c>
      <c r="E2124" t="n">
        <v>173</v>
      </c>
    </row>
    <row r="2125">
      <c r="A2125" t="inlineStr">
        <is>
          <t>CIAN</t>
        </is>
      </c>
      <c r="B2125" t="inlineStr">
        <is>
          <t>Новосибирск</t>
        </is>
      </c>
      <c r="C2125" t="inlineStr">
        <is>
          <t>Аренда · Коммерческая · Помещение свободного назначения</t>
        </is>
      </c>
      <c r="D2125" t="inlineStr">
        <is>
          <t>Стандарт, ₽/сут</t>
        </is>
      </c>
      <c r="E2125" t="n">
        <v>51</v>
      </c>
    </row>
    <row r="2126">
      <c r="A2126" t="inlineStr">
        <is>
          <t>CIAN</t>
        </is>
      </c>
      <c r="B2126" t="inlineStr">
        <is>
          <t>Екатеринбург</t>
        </is>
      </c>
      <c r="C2126" t="inlineStr">
        <is>
          <t>Аренда · Коммерческая · Помещение свободного назначения</t>
        </is>
      </c>
      <c r="D2126" t="inlineStr">
        <is>
          <t>Публикация, ₽/30 дн</t>
        </is>
      </c>
      <c r="E2126" t="n">
        <v>318</v>
      </c>
    </row>
    <row r="2127">
      <c r="A2127" t="inlineStr">
        <is>
          <t>CIAN</t>
        </is>
      </c>
      <c r="B2127" t="inlineStr">
        <is>
          <t>Екатеринбург</t>
        </is>
      </c>
      <c r="C2127" t="inlineStr">
        <is>
          <t>Аренда · Коммерческая · Помещение свободного назначения</t>
        </is>
      </c>
      <c r="D2127" t="inlineStr">
        <is>
          <t>Топ, ₽/сут</t>
        </is>
      </c>
      <c r="E2127" t="n">
        <v>388</v>
      </c>
    </row>
    <row r="2128">
      <c r="A2128" t="inlineStr">
        <is>
          <t>CIAN</t>
        </is>
      </c>
      <c r="B2128" t="inlineStr">
        <is>
          <t>Екатеринбург</t>
        </is>
      </c>
      <c r="C2128" t="inlineStr">
        <is>
          <t>Аренда · Коммерческая · Помещение свободного назначения</t>
        </is>
      </c>
      <c r="D2128" t="inlineStr">
        <is>
          <t>Премиум, ₽/сут</t>
        </is>
      </c>
      <c r="E2128" t="n">
        <v>197</v>
      </c>
    </row>
    <row r="2129">
      <c r="A2129" t="inlineStr">
        <is>
          <t>CIAN</t>
        </is>
      </c>
      <c r="B2129" t="inlineStr">
        <is>
          <t>Екатеринбург</t>
        </is>
      </c>
      <c r="C2129" t="inlineStr">
        <is>
          <t>Аренда · Коммерческая · Помещение свободного назначения</t>
        </is>
      </c>
      <c r="D2129" t="inlineStr">
        <is>
          <t>Стандарт, ₽/сут</t>
        </is>
      </c>
      <c r="E2129" t="n">
        <v>61</v>
      </c>
    </row>
    <row r="2130">
      <c r="A2130" t="inlineStr">
        <is>
          <t>CIAN</t>
        </is>
      </c>
      <c r="B2130" t="inlineStr">
        <is>
          <t>Казань</t>
        </is>
      </c>
      <c r="C2130" t="inlineStr">
        <is>
          <t>Аренда · Коммерческая · Помещение свободного назначения</t>
        </is>
      </c>
      <c r="D2130" t="inlineStr">
        <is>
          <t>Публикация, ₽/30 дн</t>
        </is>
      </c>
      <c r="E2130" t="n">
        <v>123</v>
      </c>
    </row>
    <row r="2131">
      <c r="A2131" t="inlineStr">
        <is>
          <t>CIAN</t>
        </is>
      </c>
      <c r="B2131" t="inlineStr">
        <is>
          <t>Казань</t>
        </is>
      </c>
      <c r="C2131" t="inlineStr">
        <is>
          <t>Аренда · Коммерческая · Помещение свободного назначения</t>
        </is>
      </c>
      <c r="D2131" t="inlineStr">
        <is>
          <t>Топ, ₽/сут</t>
        </is>
      </c>
      <c r="E2131" t="n">
        <v>126</v>
      </c>
    </row>
    <row r="2132">
      <c r="A2132" t="inlineStr">
        <is>
          <t>CIAN</t>
        </is>
      </c>
      <c r="B2132" t="inlineStr">
        <is>
          <t>Казань</t>
        </is>
      </c>
      <c r="C2132" t="inlineStr">
        <is>
          <t>Аренда · Коммерческая · Помещение свободного назначения</t>
        </is>
      </c>
      <c r="D2132" t="inlineStr">
        <is>
          <t>Премиум, ₽/сут</t>
        </is>
      </c>
      <c r="E2132" t="n">
        <v>56</v>
      </c>
    </row>
    <row r="2133">
      <c r="A2133" t="inlineStr">
        <is>
          <t>CIAN</t>
        </is>
      </c>
      <c r="B2133" t="inlineStr">
        <is>
          <t>Казань</t>
        </is>
      </c>
      <c r="C2133" t="inlineStr">
        <is>
          <t>Аренда · Коммерческая · Помещение свободного назначения</t>
        </is>
      </c>
      <c r="D2133" t="inlineStr">
        <is>
          <t>Стандарт, ₽/сут</t>
        </is>
      </c>
      <c r="E2133" t="n">
        <v>18</v>
      </c>
    </row>
    <row r="2134">
      <c r="A2134" t="inlineStr">
        <is>
          <t>CIAN</t>
        </is>
      </c>
      <c r="B2134" t="inlineStr">
        <is>
          <t>Красноярск</t>
        </is>
      </c>
      <c r="C2134" t="inlineStr">
        <is>
          <t>Аренда · Коммерческая · Помещение свободного назначения</t>
        </is>
      </c>
      <c r="D2134" t="inlineStr">
        <is>
          <t>Публикация, ₽/30 дн</t>
        </is>
      </c>
      <c r="E2134" t="n">
        <v>540</v>
      </c>
    </row>
    <row r="2135">
      <c r="A2135" t="inlineStr">
        <is>
          <t>CIAN</t>
        </is>
      </c>
      <c r="B2135" t="inlineStr">
        <is>
          <t>Красноярск</t>
        </is>
      </c>
      <c r="C2135" t="inlineStr">
        <is>
          <t>Аренда · Коммерческая · Помещение свободного назначения</t>
        </is>
      </c>
      <c r="D2135" t="inlineStr">
        <is>
          <t>Топ, ₽/сут</t>
        </is>
      </c>
      <c r="E2135" t="inlineStr">
        <is>
          <t>—</t>
        </is>
      </c>
    </row>
    <row r="2136">
      <c r="A2136" t="inlineStr">
        <is>
          <t>CIAN</t>
        </is>
      </c>
      <c r="B2136" t="inlineStr">
        <is>
          <t>Красноярск</t>
        </is>
      </c>
      <c r="C2136" t="inlineStr">
        <is>
          <t>Аренда · Коммерческая · Помещение свободного назначения</t>
        </is>
      </c>
      <c r="D2136" t="inlineStr">
        <is>
          <t>Премиум, ₽/сут</t>
        </is>
      </c>
      <c r="E2136" t="inlineStr">
        <is>
          <t>—</t>
        </is>
      </c>
    </row>
    <row r="2137">
      <c r="A2137" t="inlineStr">
        <is>
          <t>CIAN</t>
        </is>
      </c>
      <c r="B2137" t="inlineStr">
        <is>
          <t>Красноярск</t>
        </is>
      </c>
      <c r="C2137" t="inlineStr">
        <is>
          <t>Аренда · Коммерческая · Помещение свободного назначения</t>
        </is>
      </c>
      <c r="D2137" t="inlineStr">
        <is>
          <t>Стандарт, ₽/сут</t>
        </is>
      </c>
      <c r="E2137" t="inlineStr">
        <is>
          <t>—</t>
        </is>
      </c>
    </row>
    <row r="2138">
      <c r="A2138" t="inlineStr">
        <is>
          <t>CIAN</t>
        </is>
      </c>
      <c r="B2138" t="inlineStr">
        <is>
          <t>Нижний Новгород</t>
        </is>
      </c>
      <c r="C2138" t="inlineStr">
        <is>
          <t>Аренда · Коммерческая · Помещение свободного назначения</t>
        </is>
      </c>
      <c r="D2138" t="inlineStr">
        <is>
          <t>Публикация, ₽/30 дн</t>
        </is>
      </c>
      <c r="E2138" t="n">
        <v>204</v>
      </c>
    </row>
    <row r="2139">
      <c r="A2139" t="inlineStr">
        <is>
          <t>CIAN</t>
        </is>
      </c>
      <c r="B2139" t="inlineStr">
        <is>
          <t>Нижний Новгород</t>
        </is>
      </c>
      <c r="C2139" t="inlineStr">
        <is>
          <t>Аренда · Коммерческая · Помещение свободного назначения</t>
        </is>
      </c>
      <c r="D2139" t="inlineStr">
        <is>
          <t>Топ, ₽/сут</t>
        </is>
      </c>
      <c r="E2139" t="n">
        <v>138</v>
      </c>
    </row>
    <row r="2140">
      <c r="A2140" t="inlineStr">
        <is>
          <t>CIAN</t>
        </is>
      </c>
      <c r="B2140" t="inlineStr">
        <is>
          <t>Нижний Новгород</t>
        </is>
      </c>
      <c r="C2140" t="inlineStr">
        <is>
          <t>Аренда · Коммерческая · Помещение свободного назначения</t>
        </is>
      </c>
      <c r="D2140" t="inlineStr">
        <is>
          <t>Премиум, ₽/сут</t>
        </is>
      </c>
      <c r="E2140" t="n">
        <v>60</v>
      </c>
    </row>
    <row r="2141">
      <c r="A2141" t="inlineStr">
        <is>
          <t>CIAN</t>
        </is>
      </c>
      <c r="B2141" t="inlineStr">
        <is>
          <t>Нижний Новгород</t>
        </is>
      </c>
      <c r="C2141" t="inlineStr">
        <is>
          <t>Аренда · Коммерческая · Помещение свободного назначения</t>
        </is>
      </c>
      <c r="D2141" t="inlineStr">
        <is>
          <t>Стандарт, ₽/сут</t>
        </is>
      </c>
      <c r="E2141" t="n">
        <v>19</v>
      </c>
    </row>
    <row r="2142">
      <c r="A2142" t="inlineStr">
        <is>
          <t>CIAN</t>
        </is>
      </c>
      <c r="B2142" t="inlineStr">
        <is>
          <t>Челябинск</t>
        </is>
      </c>
      <c r="C2142" t="inlineStr">
        <is>
          <t>Аренда · Коммерческая · Помещение свободного назначения</t>
        </is>
      </c>
      <c r="D2142" t="inlineStr">
        <is>
          <t>Публикация, ₽/30 дн</t>
        </is>
      </c>
      <c r="E2142" t="n">
        <v>258</v>
      </c>
    </row>
    <row r="2143">
      <c r="A2143" t="inlineStr">
        <is>
          <t>CIAN</t>
        </is>
      </c>
      <c r="B2143" t="inlineStr">
        <is>
          <t>Челябинск</t>
        </is>
      </c>
      <c r="C2143" t="inlineStr">
        <is>
          <t>Аренда · Коммерческая · Помещение свободного назначения</t>
        </is>
      </c>
      <c r="D2143" t="inlineStr">
        <is>
          <t>Топ, ₽/сут</t>
        </is>
      </c>
      <c r="E2143" t="n">
        <v>224</v>
      </c>
    </row>
    <row r="2144">
      <c r="A2144" t="inlineStr">
        <is>
          <t>CIAN</t>
        </is>
      </c>
      <c r="B2144" t="inlineStr">
        <is>
          <t>Челябинск</t>
        </is>
      </c>
      <c r="C2144" t="inlineStr">
        <is>
          <t>Аренда · Коммерческая · Помещение свободного назначения</t>
        </is>
      </c>
      <c r="D2144" t="inlineStr">
        <is>
          <t>Премиум, ₽/сут</t>
        </is>
      </c>
      <c r="E2144" t="n">
        <v>99</v>
      </c>
    </row>
    <row r="2145">
      <c r="A2145" t="inlineStr">
        <is>
          <t>CIAN</t>
        </is>
      </c>
      <c r="B2145" t="inlineStr">
        <is>
          <t>Челябинск</t>
        </is>
      </c>
      <c r="C2145" t="inlineStr">
        <is>
          <t>Аренда · Коммерческая · Помещение свободного назначения</t>
        </is>
      </c>
      <c r="D2145" t="inlineStr">
        <is>
          <t>Стандарт, ₽/сут</t>
        </is>
      </c>
      <c r="E2145" t="n">
        <v>31</v>
      </c>
    </row>
    <row r="2146">
      <c r="A2146" t="inlineStr">
        <is>
          <t>CIAN</t>
        </is>
      </c>
      <c r="B2146" t="inlineStr">
        <is>
          <t>Уфа</t>
        </is>
      </c>
      <c r="C2146" t="inlineStr">
        <is>
          <t>Аренда · Коммерческая · Помещение свободного назначения</t>
        </is>
      </c>
      <c r="D2146" t="inlineStr">
        <is>
          <t>Публикация, ₽/30 дн</t>
        </is>
      </c>
      <c r="E2146" t="n">
        <v>291</v>
      </c>
    </row>
    <row r="2147">
      <c r="A2147" t="inlineStr">
        <is>
          <t>CIAN</t>
        </is>
      </c>
      <c r="B2147" t="inlineStr">
        <is>
          <t>Уфа</t>
        </is>
      </c>
      <c r="C2147" t="inlineStr">
        <is>
          <t>Аренда · Коммерческая · Помещение свободного назначения</t>
        </is>
      </c>
      <c r="D2147" t="inlineStr">
        <is>
          <t>Топ, ₽/сут</t>
        </is>
      </c>
      <c r="E2147" t="n">
        <v>113</v>
      </c>
    </row>
    <row r="2148">
      <c r="A2148" t="inlineStr">
        <is>
          <t>CIAN</t>
        </is>
      </c>
      <c r="B2148" t="inlineStr">
        <is>
          <t>Уфа</t>
        </is>
      </c>
      <c r="C2148" t="inlineStr">
        <is>
          <t>Аренда · Коммерческая · Помещение свободного назначения</t>
        </is>
      </c>
      <c r="D2148" t="inlineStr">
        <is>
          <t>Премиум, ₽/сут</t>
        </is>
      </c>
      <c r="E2148" t="n">
        <v>48</v>
      </c>
    </row>
    <row r="2149">
      <c r="A2149" t="inlineStr">
        <is>
          <t>CIAN</t>
        </is>
      </c>
      <c r="B2149" t="inlineStr">
        <is>
          <t>Уфа</t>
        </is>
      </c>
      <c r="C2149" t="inlineStr">
        <is>
          <t>Аренда · Коммерческая · Помещение свободного назначения</t>
        </is>
      </c>
      <c r="D2149" t="inlineStr">
        <is>
          <t>Стандарт, ₽/сут</t>
        </is>
      </c>
      <c r="E2149" t="n">
        <v>14</v>
      </c>
    </row>
    <row r="2150">
      <c r="A2150" t="inlineStr">
        <is>
          <t>CIAN</t>
        </is>
      </c>
      <c r="B2150" t="inlineStr">
        <is>
          <t>Краснодар</t>
        </is>
      </c>
      <c r="C2150" t="inlineStr">
        <is>
          <t>Аренда · Коммерческая · Помещение свободного назначения</t>
        </is>
      </c>
      <c r="D2150" t="inlineStr">
        <is>
          <t>Публикация, ₽/30 дн</t>
        </is>
      </c>
      <c r="E2150" t="n">
        <v>162</v>
      </c>
    </row>
    <row r="2151">
      <c r="A2151" t="inlineStr">
        <is>
          <t>CIAN</t>
        </is>
      </c>
      <c r="B2151" t="inlineStr">
        <is>
          <t>Краснодар</t>
        </is>
      </c>
      <c r="C2151" t="inlineStr">
        <is>
          <t>Аренда · Коммерческая · Помещение свободного назначения</t>
        </is>
      </c>
      <c r="D2151" t="inlineStr">
        <is>
          <t>Топ, ₽/сут</t>
        </is>
      </c>
      <c r="E2151" t="n">
        <v>169</v>
      </c>
    </row>
    <row r="2152">
      <c r="A2152" t="inlineStr">
        <is>
          <t>CIAN</t>
        </is>
      </c>
      <c r="B2152" t="inlineStr">
        <is>
          <t>Краснодар</t>
        </is>
      </c>
      <c r="C2152" t="inlineStr">
        <is>
          <t>Аренда · Коммерческая · Помещение свободного назначения</t>
        </is>
      </c>
      <c r="D2152" t="inlineStr">
        <is>
          <t>Премиум, ₽/сут</t>
        </is>
      </c>
      <c r="E2152" t="n">
        <v>70</v>
      </c>
    </row>
    <row r="2153">
      <c r="A2153" t="inlineStr">
        <is>
          <t>CIAN</t>
        </is>
      </c>
      <c r="B2153" t="inlineStr">
        <is>
          <t>Краснодар</t>
        </is>
      </c>
      <c r="C2153" t="inlineStr">
        <is>
          <t>Аренда · Коммерческая · Помещение свободного назначения</t>
        </is>
      </c>
      <c r="D2153" t="inlineStr">
        <is>
          <t>Стандарт, ₽/сут</t>
        </is>
      </c>
      <c r="E2153" t="n">
        <v>40</v>
      </c>
    </row>
    <row r="2154">
      <c r="A2154" t="inlineStr">
        <is>
          <t>CIAN</t>
        </is>
      </c>
      <c r="B2154" t="inlineStr">
        <is>
          <t>Самара</t>
        </is>
      </c>
      <c r="C2154" t="inlineStr">
        <is>
          <t>Аренда · Коммерческая · Помещение свободного назначения</t>
        </is>
      </c>
      <c r="D2154" t="inlineStr">
        <is>
          <t>Публикация, ₽/30 дн</t>
        </is>
      </c>
      <c r="E2154" t="n">
        <v>111</v>
      </c>
    </row>
    <row r="2155">
      <c r="A2155" t="inlineStr">
        <is>
          <t>CIAN</t>
        </is>
      </c>
      <c r="B2155" t="inlineStr">
        <is>
          <t>Самара</t>
        </is>
      </c>
      <c r="C2155" t="inlineStr">
        <is>
          <t>Аренда · Коммерческая · Помещение свободного назначения</t>
        </is>
      </c>
      <c r="D2155" t="inlineStr">
        <is>
          <t>Топ, ₽/сут</t>
        </is>
      </c>
      <c r="E2155" t="inlineStr">
        <is>
          <t>—</t>
        </is>
      </c>
    </row>
    <row r="2156">
      <c r="A2156" t="inlineStr">
        <is>
          <t>CIAN</t>
        </is>
      </c>
      <c r="B2156" t="inlineStr">
        <is>
          <t>Самара</t>
        </is>
      </c>
      <c r="C2156" t="inlineStr">
        <is>
          <t>Аренда · Коммерческая · Помещение свободного назначения</t>
        </is>
      </c>
      <c r="D2156" t="inlineStr">
        <is>
          <t>Премиум, ₽/сут</t>
        </is>
      </c>
      <c r="E2156" t="inlineStr">
        <is>
          <t>—</t>
        </is>
      </c>
    </row>
    <row r="2157">
      <c r="A2157" t="inlineStr">
        <is>
          <t>CIAN</t>
        </is>
      </c>
      <c r="B2157" t="inlineStr">
        <is>
          <t>Самара</t>
        </is>
      </c>
      <c r="C2157" t="inlineStr">
        <is>
          <t>Аренда · Коммерческая · Помещение свободного назначения</t>
        </is>
      </c>
      <c r="D2157" t="inlineStr">
        <is>
          <t>Стандарт, ₽/сут</t>
        </is>
      </c>
      <c r="E2157" t="inlineStr">
        <is>
          <t>—</t>
        </is>
      </c>
    </row>
    <row r="2158">
      <c r="A2158" t="inlineStr">
        <is>
          <t>CIAN</t>
        </is>
      </c>
      <c r="B2158" t="inlineStr">
        <is>
          <t>Ростов-на-Дону</t>
        </is>
      </c>
      <c r="C2158" t="inlineStr">
        <is>
          <t>Аренда · Коммерческая · Помещение свободного назначения</t>
        </is>
      </c>
      <c r="D2158" t="inlineStr">
        <is>
          <t>Публикация, ₽/30 дн</t>
        </is>
      </c>
      <c r="E2158" t="n">
        <v>129</v>
      </c>
    </row>
    <row r="2159">
      <c r="A2159" t="inlineStr">
        <is>
          <t>CIAN</t>
        </is>
      </c>
      <c r="B2159" t="inlineStr">
        <is>
          <t>Ростов-на-Дону</t>
        </is>
      </c>
      <c r="C2159" t="inlineStr">
        <is>
          <t>Аренда · Коммерческая · Помещение свободного назначения</t>
        </is>
      </c>
      <c r="D2159" t="inlineStr">
        <is>
          <t>Топ, ₽/сут</t>
        </is>
      </c>
      <c r="E2159" t="n">
        <v>120</v>
      </c>
    </row>
    <row r="2160">
      <c r="A2160" t="inlineStr">
        <is>
          <t>CIAN</t>
        </is>
      </c>
      <c r="B2160" t="inlineStr">
        <is>
          <t>Ростов-на-Дону</t>
        </is>
      </c>
      <c r="C2160" t="inlineStr">
        <is>
          <t>Аренда · Коммерческая · Помещение свободного назначения</t>
        </is>
      </c>
      <c r="D2160" t="inlineStr">
        <is>
          <t>Премиум, ₽/сут</t>
        </is>
      </c>
      <c r="E2160" t="n">
        <v>51</v>
      </c>
    </row>
    <row r="2161">
      <c r="A2161" t="inlineStr">
        <is>
          <t>CIAN</t>
        </is>
      </c>
      <c r="B2161" t="inlineStr">
        <is>
          <t>Ростов-на-Дону</t>
        </is>
      </c>
      <c r="C2161" t="inlineStr">
        <is>
          <t>Аренда · Коммерческая · Помещение свободного назначения</t>
        </is>
      </c>
      <c r="D2161" t="inlineStr">
        <is>
          <t>Стандарт, ₽/сут</t>
        </is>
      </c>
      <c r="E2161" t="n">
        <v>15</v>
      </c>
    </row>
    <row r="2162">
      <c r="A2162" t="inlineStr">
        <is>
          <t>CIAN</t>
        </is>
      </c>
      <c r="B2162" t="inlineStr">
        <is>
          <t>Омск</t>
        </is>
      </c>
      <c r="C2162" t="inlineStr">
        <is>
          <t>Аренда · Коммерческая · Помещение свободного назначения</t>
        </is>
      </c>
      <c r="D2162" t="inlineStr">
        <is>
          <t>Публикация, ₽/30 дн</t>
        </is>
      </c>
      <c r="E2162" t="n">
        <v>333</v>
      </c>
    </row>
    <row r="2163">
      <c r="A2163" t="inlineStr">
        <is>
          <t>CIAN</t>
        </is>
      </c>
      <c r="B2163" t="inlineStr">
        <is>
          <t>Омск</t>
        </is>
      </c>
      <c r="C2163" t="inlineStr">
        <is>
          <t>Аренда · Коммерческая · Помещение свободного назначения</t>
        </is>
      </c>
      <c r="D2163" t="inlineStr">
        <is>
          <t>Топ, ₽/сут</t>
        </is>
      </c>
      <c r="E2163" t="n">
        <v>183</v>
      </c>
    </row>
    <row r="2164">
      <c r="A2164" t="inlineStr">
        <is>
          <t>CIAN</t>
        </is>
      </c>
      <c r="B2164" t="inlineStr">
        <is>
          <t>Омск</t>
        </is>
      </c>
      <c r="C2164" t="inlineStr">
        <is>
          <t>Аренда · Коммерческая · Помещение свободного назначения</t>
        </is>
      </c>
      <c r="D2164" t="inlineStr">
        <is>
          <t>Премиум, ₽/сут</t>
        </is>
      </c>
      <c r="E2164" t="n">
        <v>97</v>
      </c>
    </row>
    <row r="2165">
      <c r="A2165" t="inlineStr">
        <is>
          <t>CIAN</t>
        </is>
      </c>
      <c r="B2165" t="inlineStr">
        <is>
          <t>Омск</t>
        </is>
      </c>
      <c r="C2165" t="inlineStr">
        <is>
          <t>Аренда · Коммерческая · Помещение свободного назначения</t>
        </is>
      </c>
      <c r="D2165" t="inlineStr">
        <is>
          <t>Стандарт, ₽/сут</t>
        </is>
      </c>
      <c r="E2165" t="n">
        <v>31</v>
      </c>
    </row>
    <row r="2166">
      <c r="A2166" t="inlineStr">
        <is>
          <t>CIAN</t>
        </is>
      </c>
      <c r="B2166" t="inlineStr">
        <is>
          <t>Воронеж</t>
        </is>
      </c>
      <c r="C2166" t="inlineStr">
        <is>
          <t>Аренда · Коммерческая · Помещение свободного назначения</t>
        </is>
      </c>
      <c r="D2166" t="inlineStr">
        <is>
          <t>Публикация, ₽/30 дн</t>
        </is>
      </c>
      <c r="E2166" t="n">
        <v>108</v>
      </c>
    </row>
    <row r="2167">
      <c r="A2167" t="inlineStr">
        <is>
          <t>CIAN</t>
        </is>
      </c>
      <c r="B2167" t="inlineStr">
        <is>
          <t>Воронеж</t>
        </is>
      </c>
      <c r="C2167" t="inlineStr">
        <is>
          <t>Аренда · Коммерческая · Помещение свободного назначения</t>
        </is>
      </c>
      <c r="D2167" t="inlineStr">
        <is>
          <t>Топ, ₽/сут</t>
        </is>
      </c>
      <c r="E2167" t="inlineStr">
        <is>
          <t>—</t>
        </is>
      </c>
    </row>
    <row r="2168">
      <c r="A2168" t="inlineStr">
        <is>
          <t>CIAN</t>
        </is>
      </c>
      <c r="B2168" t="inlineStr">
        <is>
          <t>Воронеж</t>
        </is>
      </c>
      <c r="C2168" t="inlineStr">
        <is>
          <t>Аренда · Коммерческая · Помещение свободного назначения</t>
        </is>
      </c>
      <c r="D2168" t="inlineStr">
        <is>
          <t>Премиум, ₽/сут</t>
        </is>
      </c>
      <c r="E2168" t="inlineStr">
        <is>
          <t>—</t>
        </is>
      </c>
    </row>
    <row r="2169">
      <c r="A2169" t="inlineStr">
        <is>
          <t>CIAN</t>
        </is>
      </c>
      <c r="B2169" t="inlineStr">
        <is>
          <t>Воронеж</t>
        </is>
      </c>
      <c r="C2169" t="inlineStr">
        <is>
          <t>Аренда · Коммерческая · Помещение свободного назначения</t>
        </is>
      </c>
      <c r="D2169" t="inlineStr">
        <is>
          <t>Стандарт, ₽/сут</t>
        </is>
      </c>
      <c r="E2169" t="inlineStr">
        <is>
          <t>—</t>
        </is>
      </c>
    </row>
    <row r="2170">
      <c r="A2170" t="inlineStr">
        <is>
          <t>CIAN</t>
        </is>
      </c>
      <c r="B2170" t="inlineStr">
        <is>
          <t>Пермь</t>
        </is>
      </c>
      <c r="C2170" t="inlineStr">
        <is>
          <t>Аренда · Коммерческая · Помещение свободного назначения</t>
        </is>
      </c>
      <c r="D2170" t="inlineStr">
        <is>
          <t>Публикация, ₽/30 дн</t>
        </is>
      </c>
      <c r="E2170" t="n">
        <v>33</v>
      </c>
    </row>
    <row r="2171">
      <c r="A2171" t="inlineStr">
        <is>
          <t>CIAN</t>
        </is>
      </c>
      <c r="B2171" t="inlineStr">
        <is>
          <t>Пермь</t>
        </is>
      </c>
      <c r="C2171" t="inlineStr">
        <is>
          <t>Аренда · Коммерческая · Помещение свободного назначения</t>
        </is>
      </c>
      <c r="D2171" t="inlineStr">
        <is>
          <t>Топ, ₽/сут</t>
        </is>
      </c>
      <c r="E2171" t="inlineStr">
        <is>
          <t>—</t>
        </is>
      </c>
    </row>
    <row r="2172">
      <c r="A2172" t="inlineStr">
        <is>
          <t>CIAN</t>
        </is>
      </c>
      <c r="B2172" t="inlineStr">
        <is>
          <t>Пермь</t>
        </is>
      </c>
      <c r="C2172" t="inlineStr">
        <is>
          <t>Аренда · Коммерческая · Помещение свободного назначения</t>
        </is>
      </c>
      <c r="D2172" t="inlineStr">
        <is>
          <t>Премиум, ₽/сут</t>
        </is>
      </c>
      <c r="E2172" t="inlineStr">
        <is>
          <t>—</t>
        </is>
      </c>
    </row>
    <row r="2173">
      <c r="A2173" t="inlineStr">
        <is>
          <t>CIAN</t>
        </is>
      </c>
      <c r="B2173" t="inlineStr">
        <is>
          <t>Пермь</t>
        </is>
      </c>
      <c r="C2173" t="inlineStr">
        <is>
          <t>Аренда · Коммерческая · Помещение свободного назначения</t>
        </is>
      </c>
      <c r="D2173" t="inlineStr">
        <is>
          <t>Стандарт, ₽/сут</t>
        </is>
      </c>
      <c r="E2173" t="inlineStr">
        <is>
          <t>—</t>
        </is>
      </c>
    </row>
    <row r="2174">
      <c r="A2174" t="inlineStr">
        <is>
          <t>CIAN</t>
        </is>
      </c>
      <c r="B2174" t="inlineStr">
        <is>
          <t>Волгоград</t>
        </is>
      </c>
      <c r="C2174" t="inlineStr">
        <is>
          <t>Аренда · Коммерческая · Помещение свободного назначения</t>
        </is>
      </c>
      <c r="D2174" t="inlineStr">
        <is>
          <t>Публикация, ₽/30 дн</t>
        </is>
      </c>
      <c r="E2174" t="n">
        <v>123</v>
      </c>
    </row>
    <row r="2175">
      <c r="A2175" t="inlineStr">
        <is>
          <t>CIAN</t>
        </is>
      </c>
      <c r="B2175" t="inlineStr">
        <is>
          <t>Волгоград</t>
        </is>
      </c>
      <c r="C2175" t="inlineStr">
        <is>
          <t>Аренда · Коммерческая · Помещение свободного назначения</t>
        </is>
      </c>
      <c r="D2175" t="inlineStr">
        <is>
          <t>Топ, ₽/сут</t>
        </is>
      </c>
      <c r="E2175" t="inlineStr">
        <is>
          <t>—</t>
        </is>
      </c>
    </row>
    <row r="2176">
      <c r="A2176" t="inlineStr">
        <is>
          <t>CIAN</t>
        </is>
      </c>
      <c r="B2176" t="inlineStr">
        <is>
          <t>Волгоград</t>
        </is>
      </c>
      <c r="C2176" t="inlineStr">
        <is>
          <t>Аренда · Коммерческая · Помещение свободного назначения</t>
        </is>
      </c>
      <c r="D2176" t="inlineStr">
        <is>
          <t>Премиум, ₽/сут</t>
        </is>
      </c>
      <c r="E2176" t="inlineStr">
        <is>
          <t>—</t>
        </is>
      </c>
    </row>
    <row r="2177">
      <c r="A2177" t="inlineStr">
        <is>
          <t>CIAN</t>
        </is>
      </c>
      <c r="B2177" t="inlineStr">
        <is>
          <t>Волгоград</t>
        </is>
      </c>
      <c r="C2177" t="inlineStr">
        <is>
          <t>Аренда · Коммерческая · Помещение свободного назначения</t>
        </is>
      </c>
      <c r="D2177" t="inlineStr">
        <is>
          <t>Стандарт, ₽/сут</t>
        </is>
      </c>
      <c r="E2177" t="inlineStr">
        <is>
          <t>—</t>
        </is>
      </c>
    </row>
    <row r="2178">
      <c r="A2178" t="inlineStr">
        <is>
          <t>CIAN</t>
        </is>
      </c>
      <c r="B2178" t="inlineStr">
        <is>
          <t>Москва</t>
        </is>
      </c>
      <c r="C2178" t="inlineStr">
        <is>
          <t>Аренда · Коммерческая · Склад</t>
        </is>
      </c>
      <c r="D2178" t="inlineStr">
        <is>
          <t>Публикация, ₽/30 дн</t>
        </is>
      </c>
      <c r="E2178" t="n">
        <v>1413</v>
      </c>
    </row>
    <row r="2179">
      <c r="A2179" t="inlineStr">
        <is>
          <t>CIAN</t>
        </is>
      </c>
      <c r="B2179" t="inlineStr">
        <is>
          <t>Москва</t>
        </is>
      </c>
      <c r="C2179" t="inlineStr">
        <is>
          <t>Аренда · Коммерческая · Склад</t>
        </is>
      </c>
      <c r="D2179" t="inlineStr">
        <is>
          <t>Топ, ₽/сут</t>
        </is>
      </c>
      <c r="E2179" t="n">
        <v>999</v>
      </c>
    </row>
    <row r="2180">
      <c r="A2180" t="inlineStr">
        <is>
          <t>CIAN</t>
        </is>
      </c>
      <c r="B2180" t="inlineStr">
        <is>
          <t>Москва</t>
        </is>
      </c>
      <c r="C2180" t="inlineStr">
        <is>
          <t>Аренда · Коммерческая · Склад</t>
        </is>
      </c>
      <c r="D2180" t="inlineStr">
        <is>
          <t>Премиум, ₽/сут</t>
        </is>
      </c>
      <c r="E2180" t="n">
        <v>410</v>
      </c>
    </row>
    <row r="2181">
      <c r="A2181" t="inlineStr">
        <is>
          <t>CIAN</t>
        </is>
      </c>
      <c r="B2181" t="inlineStr">
        <is>
          <t>Москва</t>
        </is>
      </c>
      <c r="C2181" t="inlineStr">
        <is>
          <t>Аренда · Коммерческая · Склад</t>
        </is>
      </c>
      <c r="D2181" t="inlineStr">
        <is>
          <t>Стандарт, ₽/сут</t>
        </is>
      </c>
      <c r="E2181" t="n">
        <v>123</v>
      </c>
    </row>
    <row r="2182">
      <c r="A2182" t="inlineStr">
        <is>
          <t>CIAN</t>
        </is>
      </c>
      <c r="B2182" t="inlineStr">
        <is>
          <t>Санкт-Петербург</t>
        </is>
      </c>
      <c r="C2182" t="inlineStr">
        <is>
          <t>Аренда · Коммерческая · Склад</t>
        </is>
      </c>
      <c r="D2182" t="inlineStr">
        <is>
          <t>Публикация, ₽/30 дн</t>
        </is>
      </c>
      <c r="E2182" t="n">
        <v>516</v>
      </c>
    </row>
    <row r="2183">
      <c r="A2183" t="inlineStr">
        <is>
          <t>CIAN</t>
        </is>
      </c>
      <c r="B2183" t="inlineStr">
        <is>
          <t>Санкт-Петербург</t>
        </is>
      </c>
      <c r="C2183" t="inlineStr">
        <is>
          <t>Аренда · Коммерческая · Склад</t>
        </is>
      </c>
      <c r="D2183" t="inlineStr">
        <is>
          <t>Топ, ₽/сут</t>
        </is>
      </c>
      <c r="E2183" t="n">
        <v>752</v>
      </c>
    </row>
    <row r="2184">
      <c r="A2184" t="inlineStr">
        <is>
          <t>CIAN</t>
        </is>
      </c>
      <c r="B2184" t="inlineStr">
        <is>
          <t>Санкт-Петербург</t>
        </is>
      </c>
      <c r="C2184" t="inlineStr">
        <is>
          <t>Аренда · Коммерческая · Склад</t>
        </is>
      </c>
      <c r="D2184" t="inlineStr">
        <is>
          <t>Премиум, ₽/сут</t>
        </is>
      </c>
      <c r="E2184" t="n">
        <v>677</v>
      </c>
    </row>
    <row r="2185">
      <c r="A2185" t="inlineStr">
        <is>
          <t>CIAN</t>
        </is>
      </c>
      <c r="B2185" t="inlineStr">
        <is>
          <t>Санкт-Петербург</t>
        </is>
      </c>
      <c r="C2185" t="inlineStr">
        <is>
          <t>Аренда · Коммерческая · Склад</t>
        </is>
      </c>
      <c r="D2185" t="inlineStr">
        <is>
          <t>Стандарт, ₽/сут</t>
        </is>
      </c>
      <c r="E2185" t="n">
        <v>618</v>
      </c>
    </row>
    <row r="2186">
      <c r="A2186" t="inlineStr">
        <is>
          <t>CIAN</t>
        </is>
      </c>
      <c r="B2186" t="inlineStr">
        <is>
          <t>Новосибирск</t>
        </is>
      </c>
      <c r="C2186" t="inlineStr">
        <is>
          <t>Аренда · Коммерческая · Склад</t>
        </is>
      </c>
      <c r="D2186" t="inlineStr">
        <is>
          <t>Публикация, ₽/30 дн</t>
        </is>
      </c>
      <c r="E2186" t="n">
        <v>324</v>
      </c>
    </row>
    <row r="2187">
      <c r="A2187" t="inlineStr">
        <is>
          <t>CIAN</t>
        </is>
      </c>
      <c r="B2187" t="inlineStr">
        <is>
          <t>Новосибирск</t>
        </is>
      </c>
      <c r="C2187" t="inlineStr">
        <is>
          <t>Аренда · Коммерческая · Склад</t>
        </is>
      </c>
      <c r="D2187" t="inlineStr">
        <is>
          <t>Топ, ₽/сут</t>
        </is>
      </c>
      <c r="E2187" t="n">
        <v>314</v>
      </c>
    </row>
    <row r="2188">
      <c r="A2188" t="inlineStr">
        <is>
          <t>CIAN</t>
        </is>
      </c>
      <c r="B2188" t="inlineStr">
        <is>
          <t>Новосибирск</t>
        </is>
      </c>
      <c r="C2188" t="inlineStr">
        <is>
          <t>Аренда · Коммерческая · Склад</t>
        </is>
      </c>
      <c r="D2188" t="inlineStr">
        <is>
          <t>Премиум, ₽/сут</t>
        </is>
      </c>
      <c r="E2188" t="n">
        <v>147</v>
      </c>
    </row>
    <row r="2189">
      <c r="A2189" t="inlineStr">
        <is>
          <t>CIAN</t>
        </is>
      </c>
      <c r="B2189" t="inlineStr">
        <is>
          <t>Новосибирск</t>
        </is>
      </c>
      <c r="C2189" t="inlineStr">
        <is>
          <t>Аренда · Коммерческая · Склад</t>
        </is>
      </c>
      <c r="D2189" t="inlineStr">
        <is>
          <t>Стандарт, ₽/сут</t>
        </is>
      </c>
      <c r="E2189" t="n">
        <v>43</v>
      </c>
    </row>
    <row r="2190">
      <c r="A2190" t="inlineStr">
        <is>
          <t>CIAN</t>
        </is>
      </c>
      <c r="B2190" t="inlineStr">
        <is>
          <t>Екатеринбург</t>
        </is>
      </c>
      <c r="C2190" t="inlineStr">
        <is>
          <t>Аренда · Коммерческая · Склад</t>
        </is>
      </c>
      <c r="D2190" t="inlineStr">
        <is>
          <t>Публикация, ₽/30 дн</t>
        </is>
      </c>
      <c r="E2190" t="n">
        <v>318</v>
      </c>
    </row>
    <row r="2191">
      <c r="A2191" t="inlineStr">
        <is>
          <t>CIAN</t>
        </is>
      </c>
      <c r="B2191" t="inlineStr">
        <is>
          <t>Екатеринбург</t>
        </is>
      </c>
      <c r="C2191" t="inlineStr">
        <is>
          <t>Аренда · Коммерческая · Склад</t>
        </is>
      </c>
      <c r="D2191" t="inlineStr">
        <is>
          <t>Топ, ₽/сут</t>
        </is>
      </c>
      <c r="E2191" t="n">
        <v>461</v>
      </c>
    </row>
    <row r="2192">
      <c r="A2192" t="inlineStr">
        <is>
          <t>CIAN</t>
        </is>
      </c>
      <c r="B2192" t="inlineStr">
        <is>
          <t>Екатеринбург</t>
        </is>
      </c>
      <c r="C2192" t="inlineStr">
        <is>
          <t>Аренда · Коммерческая · Склад</t>
        </is>
      </c>
      <c r="D2192" t="inlineStr">
        <is>
          <t>Премиум, ₽/сут</t>
        </is>
      </c>
      <c r="E2192" t="n">
        <v>227</v>
      </c>
    </row>
    <row r="2193">
      <c r="A2193" t="inlineStr">
        <is>
          <t>CIAN</t>
        </is>
      </c>
      <c r="B2193" t="inlineStr">
        <is>
          <t>Екатеринбург</t>
        </is>
      </c>
      <c r="C2193" t="inlineStr">
        <is>
          <t>Аренда · Коммерческая · Склад</t>
        </is>
      </c>
      <c r="D2193" t="inlineStr">
        <is>
          <t>Стандарт, ₽/сут</t>
        </is>
      </c>
      <c r="E2193" t="n">
        <v>69</v>
      </c>
    </row>
    <row r="2194">
      <c r="A2194" t="inlineStr">
        <is>
          <t>CIAN</t>
        </is>
      </c>
      <c r="B2194" t="inlineStr">
        <is>
          <t>Казань</t>
        </is>
      </c>
      <c r="C2194" t="inlineStr">
        <is>
          <t>Аренда · Коммерческая · Склад</t>
        </is>
      </c>
      <c r="D2194" t="inlineStr">
        <is>
          <t>Публикация, ₽/30 дн</t>
        </is>
      </c>
      <c r="E2194" t="n">
        <v>81</v>
      </c>
    </row>
    <row r="2195">
      <c r="A2195" t="inlineStr">
        <is>
          <t>CIAN</t>
        </is>
      </c>
      <c r="B2195" t="inlineStr">
        <is>
          <t>Казань</t>
        </is>
      </c>
      <c r="C2195" t="inlineStr">
        <is>
          <t>Аренда · Коммерческая · Склад</t>
        </is>
      </c>
      <c r="D2195" t="inlineStr">
        <is>
          <t>Топ, ₽/сут</t>
        </is>
      </c>
      <c r="E2195" t="n">
        <v>161</v>
      </c>
    </row>
    <row r="2196">
      <c r="A2196" t="inlineStr">
        <is>
          <t>CIAN</t>
        </is>
      </c>
      <c r="B2196" t="inlineStr">
        <is>
          <t>Казань</t>
        </is>
      </c>
      <c r="C2196" t="inlineStr">
        <is>
          <t>Аренда · Коммерческая · Склад</t>
        </is>
      </c>
      <c r="D2196" t="inlineStr">
        <is>
          <t>Премиум, ₽/сут</t>
        </is>
      </c>
      <c r="E2196" t="n">
        <v>71</v>
      </c>
    </row>
    <row r="2197">
      <c r="A2197" t="inlineStr">
        <is>
          <t>CIAN</t>
        </is>
      </c>
      <c r="B2197" t="inlineStr">
        <is>
          <t>Казань</t>
        </is>
      </c>
      <c r="C2197" t="inlineStr">
        <is>
          <t>Аренда · Коммерческая · Склад</t>
        </is>
      </c>
      <c r="D2197" t="inlineStr">
        <is>
          <t>Стандарт, ₽/сут</t>
        </is>
      </c>
      <c r="E2197" t="n">
        <v>23</v>
      </c>
    </row>
    <row r="2198">
      <c r="A2198" t="inlineStr">
        <is>
          <t>CIAN</t>
        </is>
      </c>
      <c r="B2198" t="inlineStr">
        <is>
          <t>Красноярск</t>
        </is>
      </c>
      <c r="C2198" t="inlineStr">
        <is>
          <t>Аренда · Коммерческая · Склад</t>
        </is>
      </c>
      <c r="D2198" t="inlineStr">
        <is>
          <t>Публикация, ₽/30 дн</t>
        </is>
      </c>
      <c r="E2198" t="n">
        <v>270</v>
      </c>
    </row>
    <row r="2199">
      <c r="A2199" t="inlineStr">
        <is>
          <t>CIAN</t>
        </is>
      </c>
      <c r="B2199" t="inlineStr">
        <is>
          <t>Красноярск</t>
        </is>
      </c>
      <c r="C2199" t="inlineStr">
        <is>
          <t>Аренда · Коммерческая · Склад</t>
        </is>
      </c>
      <c r="D2199" t="inlineStr">
        <is>
          <t>Топ, ₽/сут</t>
        </is>
      </c>
      <c r="E2199" t="inlineStr">
        <is>
          <t>—</t>
        </is>
      </c>
    </row>
    <row r="2200">
      <c r="A2200" t="inlineStr">
        <is>
          <t>CIAN</t>
        </is>
      </c>
      <c r="B2200" t="inlineStr">
        <is>
          <t>Красноярск</t>
        </is>
      </c>
      <c r="C2200" t="inlineStr">
        <is>
          <t>Аренда · Коммерческая · Склад</t>
        </is>
      </c>
      <c r="D2200" t="inlineStr">
        <is>
          <t>Премиум, ₽/сут</t>
        </is>
      </c>
      <c r="E2200" t="inlineStr">
        <is>
          <t>—</t>
        </is>
      </c>
    </row>
    <row r="2201">
      <c r="A2201" t="inlineStr">
        <is>
          <t>CIAN</t>
        </is>
      </c>
      <c r="B2201" t="inlineStr">
        <is>
          <t>Красноярск</t>
        </is>
      </c>
      <c r="C2201" t="inlineStr">
        <is>
          <t>Аренда · Коммерческая · Склад</t>
        </is>
      </c>
      <c r="D2201" t="inlineStr">
        <is>
          <t>Стандарт, ₽/сут</t>
        </is>
      </c>
      <c r="E2201" t="inlineStr">
        <is>
          <t>—</t>
        </is>
      </c>
    </row>
    <row r="2202">
      <c r="A2202" t="inlineStr">
        <is>
          <t>CIAN</t>
        </is>
      </c>
      <c r="B2202" t="inlineStr">
        <is>
          <t>Нижний Новгород</t>
        </is>
      </c>
      <c r="C2202" t="inlineStr">
        <is>
          <t>Аренда · Коммерческая · Склад</t>
        </is>
      </c>
      <c r="D2202" t="inlineStr">
        <is>
          <t>Публикация, ₽/30 дн</t>
        </is>
      </c>
      <c r="E2202" t="n">
        <v>303</v>
      </c>
    </row>
    <row r="2203">
      <c r="A2203" t="inlineStr">
        <is>
          <t>CIAN</t>
        </is>
      </c>
      <c r="B2203" t="inlineStr">
        <is>
          <t>Нижний Новгород</t>
        </is>
      </c>
      <c r="C2203" t="inlineStr">
        <is>
          <t>Аренда · Коммерческая · Склад</t>
        </is>
      </c>
      <c r="D2203" t="inlineStr">
        <is>
          <t>Топ, ₽/сут</t>
        </is>
      </c>
      <c r="E2203" t="n">
        <v>176</v>
      </c>
    </row>
    <row r="2204">
      <c r="A2204" t="inlineStr">
        <is>
          <t>CIAN</t>
        </is>
      </c>
      <c r="B2204" t="inlineStr">
        <is>
          <t>Нижний Новгород</t>
        </is>
      </c>
      <c r="C2204" t="inlineStr">
        <is>
          <t>Аренда · Коммерческая · Склад</t>
        </is>
      </c>
      <c r="D2204" t="inlineStr">
        <is>
          <t>Премиум, ₽/сут</t>
        </is>
      </c>
      <c r="E2204" t="n">
        <v>74</v>
      </c>
    </row>
    <row r="2205">
      <c r="A2205" t="inlineStr">
        <is>
          <t>CIAN</t>
        </is>
      </c>
      <c r="B2205" t="inlineStr">
        <is>
          <t>Нижний Новгород</t>
        </is>
      </c>
      <c r="C2205" t="inlineStr">
        <is>
          <t>Аренда · Коммерческая · Склад</t>
        </is>
      </c>
      <c r="D2205" t="inlineStr">
        <is>
          <t>Стандарт, ₽/сут</t>
        </is>
      </c>
      <c r="E2205" t="n">
        <v>23</v>
      </c>
    </row>
    <row r="2206">
      <c r="A2206" t="inlineStr">
        <is>
          <t>CIAN</t>
        </is>
      </c>
      <c r="B2206" t="inlineStr">
        <is>
          <t>Челябинск</t>
        </is>
      </c>
      <c r="C2206" t="inlineStr">
        <is>
          <t>Аренда · Коммерческая · Склад</t>
        </is>
      </c>
      <c r="D2206" t="inlineStr">
        <is>
          <t>Публикация, ₽/30 дн</t>
        </is>
      </c>
      <c r="E2206" t="n">
        <v>123</v>
      </c>
    </row>
    <row r="2207">
      <c r="A2207" t="inlineStr">
        <is>
          <t>CIAN</t>
        </is>
      </c>
      <c r="B2207" t="inlineStr">
        <is>
          <t>Челябинск</t>
        </is>
      </c>
      <c r="C2207" t="inlineStr">
        <is>
          <t>Аренда · Коммерческая · Склад</t>
        </is>
      </c>
      <c r="D2207" t="inlineStr">
        <is>
          <t>Топ, ₽/сут</t>
        </is>
      </c>
      <c r="E2207" t="n">
        <v>265</v>
      </c>
    </row>
    <row r="2208">
      <c r="A2208" t="inlineStr">
        <is>
          <t>CIAN</t>
        </is>
      </c>
      <c r="B2208" t="inlineStr">
        <is>
          <t>Челябинск</t>
        </is>
      </c>
      <c r="C2208" t="inlineStr">
        <is>
          <t>Аренда · Коммерческая · Склад</t>
        </is>
      </c>
      <c r="D2208" t="inlineStr">
        <is>
          <t>Премиум, ₽/сут</t>
        </is>
      </c>
      <c r="E2208" t="n">
        <v>124</v>
      </c>
    </row>
    <row r="2209">
      <c r="A2209" t="inlineStr">
        <is>
          <t>CIAN</t>
        </is>
      </c>
      <c r="B2209" t="inlineStr">
        <is>
          <t>Челябинск</t>
        </is>
      </c>
      <c r="C2209" t="inlineStr">
        <is>
          <t>Аренда · Коммерческая · Склад</t>
        </is>
      </c>
      <c r="D2209" t="inlineStr">
        <is>
          <t>Стандарт, ₽/сут</t>
        </is>
      </c>
      <c r="E2209" t="n">
        <v>39</v>
      </c>
    </row>
    <row r="2210">
      <c r="A2210" t="inlineStr">
        <is>
          <t>CIAN</t>
        </is>
      </c>
      <c r="B2210" t="inlineStr">
        <is>
          <t>Уфа</t>
        </is>
      </c>
      <c r="C2210" t="inlineStr">
        <is>
          <t>Аренда · Коммерческая · Склад</t>
        </is>
      </c>
      <c r="D2210" t="inlineStr">
        <is>
          <t>Публикация, ₽/30 дн</t>
        </is>
      </c>
      <c r="E2210" t="n">
        <v>138</v>
      </c>
    </row>
    <row r="2211">
      <c r="A2211" t="inlineStr">
        <is>
          <t>CIAN</t>
        </is>
      </c>
      <c r="B2211" t="inlineStr">
        <is>
          <t>Уфа</t>
        </is>
      </c>
      <c r="C2211" t="inlineStr">
        <is>
          <t>Аренда · Коммерческая · Склад</t>
        </is>
      </c>
      <c r="D2211" t="inlineStr">
        <is>
          <t>Топ, ₽/сут</t>
        </is>
      </c>
      <c r="E2211" t="n">
        <v>120</v>
      </c>
    </row>
    <row r="2212">
      <c r="A2212" t="inlineStr">
        <is>
          <t>CIAN</t>
        </is>
      </c>
      <c r="B2212" t="inlineStr">
        <is>
          <t>Уфа</t>
        </is>
      </c>
      <c r="C2212" t="inlineStr">
        <is>
          <t>Аренда · Коммерческая · Склад</t>
        </is>
      </c>
      <c r="D2212" t="inlineStr">
        <is>
          <t>Премиум, ₽/сут</t>
        </is>
      </c>
      <c r="E2212" t="n">
        <v>53</v>
      </c>
    </row>
    <row r="2213">
      <c r="A2213" t="inlineStr">
        <is>
          <t>CIAN</t>
        </is>
      </c>
      <c r="B2213" t="inlineStr">
        <is>
          <t>Уфа</t>
        </is>
      </c>
      <c r="C2213" t="inlineStr">
        <is>
          <t>Аренда · Коммерческая · Склад</t>
        </is>
      </c>
      <c r="D2213" t="inlineStr">
        <is>
          <t>Стандарт, ₽/сут</t>
        </is>
      </c>
      <c r="E2213" t="n">
        <v>17</v>
      </c>
    </row>
    <row r="2214">
      <c r="A2214" t="inlineStr">
        <is>
          <t>CIAN</t>
        </is>
      </c>
      <c r="B2214" t="inlineStr">
        <is>
          <t>Краснодар</t>
        </is>
      </c>
      <c r="C2214" t="inlineStr">
        <is>
          <t>Аренда · Коммерческая · Склад</t>
        </is>
      </c>
      <c r="D2214" t="inlineStr">
        <is>
          <t>Публикация, ₽/30 дн</t>
        </is>
      </c>
      <c r="E2214" t="n">
        <v>120</v>
      </c>
    </row>
    <row r="2215">
      <c r="A2215" t="inlineStr">
        <is>
          <t>CIAN</t>
        </is>
      </c>
      <c r="B2215" t="inlineStr">
        <is>
          <t>Краснодар</t>
        </is>
      </c>
      <c r="C2215" t="inlineStr">
        <is>
          <t>Аренда · Коммерческая · Склад</t>
        </is>
      </c>
      <c r="D2215" t="inlineStr">
        <is>
          <t>Топ, ₽/сут</t>
        </is>
      </c>
      <c r="E2215" t="n">
        <v>122</v>
      </c>
    </row>
    <row r="2216">
      <c r="A2216" t="inlineStr">
        <is>
          <t>CIAN</t>
        </is>
      </c>
      <c r="B2216" t="inlineStr">
        <is>
          <t>Краснодар</t>
        </is>
      </c>
      <c r="C2216" t="inlineStr">
        <is>
          <t>Аренда · Коммерческая · Склад</t>
        </is>
      </c>
      <c r="D2216" t="inlineStr">
        <is>
          <t>Премиум, ₽/сут</t>
        </is>
      </c>
      <c r="E2216" t="n">
        <v>54</v>
      </c>
    </row>
    <row r="2217">
      <c r="A2217" t="inlineStr">
        <is>
          <t>CIAN</t>
        </is>
      </c>
      <c r="B2217" t="inlineStr">
        <is>
          <t>Краснодар</t>
        </is>
      </c>
      <c r="C2217" t="inlineStr">
        <is>
          <t>Аренда · Коммерческая · Склад</t>
        </is>
      </c>
      <c r="D2217" t="inlineStr">
        <is>
          <t>Стандарт, ₽/сут</t>
        </is>
      </c>
      <c r="E2217" t="n">
        <v>15</v>
      </c>
    </row>
    <row r="2218">
      <c r="A2218" t="inlineStr">
        <is>
          <t>CIAN</t>
        </is>
      </c>
      <c r="B2218" t="inlineStr">
        <is>
          <t>Самара</t>
        </is>
      </c>
      <c r="C2218" t="inlineStr">
        <is>
          <t>Аренда · Коммерческая · Склад</t>
        </is>
      </c>
      <c r="D2218" t="inlineStr">
        <is>
          <t>Публикация, ₽/30 дн</t>
        </is>
      </c>
      <c r="E2218" t="n">
        <v>132</v>
      </c>
    </row>
    <row r="2219">
      <c r="A2219" t="inlineStr">
        <is>
          <t>CIAN</t>
        </is>
      </c>
      <c r="B2219" t="inlineStr">
        <is>
          <t>Самара</t>
        </is>
      </c>
      <c r="C2219" t="inlineStr">
        <is>
          <t>Аренда · Коммерческая · Склад</t>
        </is>
      </c>
      <c r="D2219" t="inlineStr">
        <is>
          <t>Топ, ₽/сут</t>
        </is>
      </c>
      <c r="E2219" t="inlineStr">
        <is>
          <t>—</t>
        </is>
      </c>
    </row>
    <row r="2220">
      <c r="A2220" t="inlineStr">
        <is>
          <t>CIAN</t>
        </is>
      </c>
      <c r="B2220" t="inlineStr">
        <is>
          <t>Самара</t>
        </is>
      </c>
      <c r="C2220" t="inlineStr">
        <is>
          <t>Аренда · Коммерческая · Склад</t>
        </is>
      </c>
      <c r="D2220" t="inlineStr">
        <is>
          <t>Премиум, ₽/сут</t>
        </is>
      </c>
      <c r="E2220" t="inlineStr">
        <is>
          <t>—</t>
        </is>
      </c>
    </row>
    <row r="2221">
      <c r="A2221" t="inlineStr">
        <is>
          <t>CIAN</t>
        </is>
      </c>
      <c r="B2221" t="inlineStr">
        <is>
          <t>Самара</t>
        </is>
      </c>
      <c r="C2221" t="inlineStr">
        <is>
          <t>Аренда · Коммерческая · Склад</t>
        </is>
      </c>
      <c r="D2221" t="inlineStr">
        <is>
          <t>Стандарт, ₽/сут</t>
        </is>
      </c>
      <c r="E2221" t="inlineStr">
        <is>
          <t>—</t>
        </is>
      </c>
    </row>
    <row r="2222">
      <c r="A2222" t="inlineStr">
        <is>
          <t>CIAN</t>
        </is>
      </c>
      <c r="B2222" t="inlineStr">
        <is>
          <t>Ростов-на-Дону</t>
        </is>
      </c>
      <c r="C2222" t="inlineStr">
        <is>
          <t>Аренда · Коммерческая · Склад</t>
        </is>
      </c>
      <c r="D2222" t="inlineStr">
        <is>
          <t>Публикация, ₽/30 дн</t>
        </is>
      </c>
      <c r="E2222" t="n">
        <v>132</v>
      </c>
    </row>
    <row r="2223">
      <c r="A2223" t="inlineStr">
        <is>
          <t>CIAN</t>
        </is>
      </c>
      <c r="B2223" t="inlineStr">
        <is>
          <t>Ростов-на-Дону</t>
        </is>
      </c>
      <c r="C2223" t="inlineStr">
        <is>
          <t>Аренда · Коммерческая · Склад</t>
        </is>
      </c>
      <c r="D2223" t="inlineStr">
        <is>
          <t>Топ, ₽/сут</t>
        </is>
      </c>
      <c r="E2223" t="n">
        <v>150</v>
      </c>
    </row>
    <row r="2224">
      <c r="A2224" t="inlineStr">
        <is>
          <t>CIAN</t>
        </is>
      </c>
      <c r="B2224" t="inlineStr">
        <is>
          <t>Ростов-на-Дону</t>
        </is>
      </c>
      <c r="C2224" t="inlineStr">
        <is>
          <t>Аренда · Коммерческая · Склад</t>
        </is>
      </c>
      <c r="D2224" t="inlineStr">
        <is>
          <t>Премиум, ₽/сут</t>
        </is>
      </c>
      <c r="E2224" t="n">
        <v>62</v>
      </c>
    </row>
    <row r="2225">
      <c r="A2225" t="inlineStr">
        <is>
          <t>CIAN</t>
        </is>
      </c>
      <c r="B2225" t="inlineStr">
        <is>
          <t>Ростов-на-Дону</t>
        </is>
      </c>
      <c r="C2225" t="inlineStr">
        <is>
          <t>Аренда · Коммерческая · Склад</t>
        </is>
      </c>
      <c r="D2225" t="inlineStr">
        <is>
          <t>Стандарт, ₽/сут</t>
        </is>
      </c>
      <c r="E2225" t="n">
        <v>20</v>
      </c>
    </row>
    <row r="2226">
      <c r="A2226" t="inlineStr">
        <is>
          <t>CIAN</t>
        </is>
      </c>
      <c r="B2226" t="inlineStr">
        <is>
          <t>Омск</t>
        </is>
      </c>
      <c r="C2226" t="inlineStr">
        <is>
          <t>Аренда · Коммерческая · Склад</t>
        </is>
      </c>
      <c r="D2226" t="inlineStr">
        <is>
          <t>Публикация, ₽/30 дн</t>
        </is>
      </c>
      <c r="E2226" t="n">
        <v>333</v>
      </c>
    </row>
    <row r="2227">
      <c r="A2227" t="inlineStr">
        <is>
          <t>CIAN</t>
        </is>
      </c>
      <c r="B2227" t="inlineStr">
        <is>
          <t>Омск</t>
        </is>
      </c>
      <c r="C2227" t="inlineStr">
        <is>
          <t>Аренда · Коммерческая · Склад</t>
        </is>
      </c>
      <c r="D2227" t="inlineStr">
        <is>
          <t>Топ, ₽/сут</t>
        </is>
      </c>
      <c r="E2227" t="n">
        <v>197</v>
      </c>
    </row>
    <row r="2228">
      <c r="A2228" t="inlineStr">
        <is>
          <t>CIAN</t>
        </is>
      </c>
      <c r="B2228" t="inlineStr">
        <is>
          <t>Омск</t>
        </is>
      </c>
      <c r="C2228" t="inlineStr">
        <is>
          <t>Аренда · Коммерческая · Склад</t>
        </is>
      </c>
      <c r="D2228" t="inlineStr">
        <is>
          <t>Премиум, ₽/сут</t>
        </is>
      </c>
      <c r="E2228" t="n">
        <v>108</v>
      </c>
    </row>
    <row r="2229">
      <c r="A2229" t="inlineStr">
        <is>
          <t>CIAN</t>
        </is>
      </c>
      <c r="B2229" t="inlineStr">
        <is>
          <t>Омск</t>
        </is>
      </c>
      <c r="C2229" t="inlineStr">
        <is>
          <t>Аренда · Коммерческая · Склад</t>
        </is>
      </c>
      <c r="D2229" t="inlineStr">
        <is>
          <t>Стандарт, ₽/сут</t>
        </is>
      </c>
      <c r="E2229" t="n">
        <v>33</v>
      </c>
    </row>
    <row r="2230">
      <c r="A2230" t="inlineStr">
        <is>
          <t>CIAN</t>
        </is>
      </c>
      <c r="B2230" t="inlineStr">
        <is>
          <t>Воронеж</t>
        </is>
      </c>
      <c r="C2230" t="inlineStr">
        <is>
          <t>Аренда · Коммерческая · Склад</t>
        </is>
      </c>
      <c r="D2230" t="inlineStr">
        <is>
          <t>Публикация, ₽/30 дн</t>
        </is>
      </c>
      <c r="E2230" t="n">
        <v>108</v>
      </c>
    </row>
    <row r="2231">
      <c r="A2231" t="inlineStr">
        <is>
          <t>CIAN</t>
        </is>
      </c>
      <c r="B2231" t="inlineStr">
        <is>
          <t>Воронеж</t>
        </is>
      </c>
      <c r="C2231" t="inlineStr">
        <is>
          <t>Аренда · Коммерческая · Склад</t>
        </is>
      </c>
      <c r="D2231" t="inlineStr">
        <is>
          <t>Топ, ₽/сут</t>
        </is>
      </c>
      <c r="E2231" t="inlineStr">
        <is>
          <t>—</t>
        </is>
      </c>
    </row>
    <row r="2232">
      <c r="A2232" t="inlineStr">
        <is>
          <t>CIAN</t>
        </is>
      </c>
      <c r="B2232" t="inlineStr">
        <is>
          <t>Воронеж</t>
        </is>
      </c>
      <c r="C2232" t="inlineStr">
        <is>
          <t>Аренда · Коммерческая · Склад</t>
        </is>
      </c>
      <c r="D2232" t="inlineStr">
        <is>
          <t>Премиум, ₽/сут</t>
        </is>
      </c>
      <c r="E2232" t="inlineStr">
        <is>
          <t>—</t>
        </is>
      </c>
    </row>
    <row r="2233">
      <c r="A2233" t="inlineStr">
        <is>
          <t>CIAN</t>
        </is>
      </c>
      <c r="B2233" t="inlineStr">
        <is>
          <t>Воронеж</t>
        </is>
      </c>
      <c r="C2233" t="inlineStr">
        <is>
          <t>Аренда · Коммерческая · Склад</t>
        </is>
      </c>
      <c r="D2233" t="inlineStr">
        <is>
          <t>Стандарт, ₽/сут</t>
        </is>
      </c>
      <c r="E2233" t="inlineStr">
        <is>
          <t>—</t>
        </is>
      </c>
    </row>
    <row r="2234">
      <c r="A2234" t="inlineStr">
        <is>
          <t>CIAN</t>
        </is>
      </c>
      <c r="B2234" t="inlineStr">
        <is>
          <t>Пермь</t>
        </is>
      </c>
      <c r="C2234" t="inlineStr">
        <is>
          <t>Аренда · Коммерческая · Склад</t>
        </is>
      </c>
      <c r="D2234" t="inlineStr">
        <is>
          <t>Публикация, ₽/30 дн</t>
        </is>
      </c>
      <c r="E2234" t="n">
        <v>21</v>
      </c>
    </row>
    <row r="2235">
      <c r="A2235" t="inlineStr">
        <is>
          <t>CIAN</t>
        </is>
      </c>
      <c r="B2235" t="inlineStr">
        <is>
          <t>Пермь</t>
        </is>
      </c>
      <c r="C2235" t="inlineStr">
        <is>
          <t>Аренда · Коммерческая · Склад</t>
        </is>
      </c>
      <c r="D2235" t="inlineStr">
        <is>
          <t>Топ, ₽/сут</t>
        </is>
      </c>
      <c r="E2235" t="inlineStr">
        <is>
          <t>—</t>
        </is>
      </c>
    </row>
    <row r="2236">
      <c r="A2236" t="inlineStr">
        <is>
          <t>CIAN</t>
        </is>
      </c>
      <c r="B2236" t="inlineStr">
        <is>
          <t>Пермь</t>
        </is>
      </c>
      <c r="C2236" t="inlineStr">
        <is>
          <t>Аренда · Коммерческая · Склад</t>
        </is>
      </c>
      <c r="D2236" t="inlineStr">
        <is>
          <t>Премиум, ₽/сут</t>
        </is>
      </c>
      <c r="E2236" t="inlineStr">
        <is>
          <t>—</t>
        </is>
      </c>
    </row>
    <row r="2237">
      <c r="A2237" t="inlineStr">
        <is>
          <t>CIAN</t>
        </is>
      </c>
      <c r="B2237" t="inlineStr">
        <is>
          <t>Пермь</t>
        </is>
      </c>
      <c r="C2237" t="inlineStr">
        <is>
          <t>Аренда · Коммерческая · Склад</t>
        </is>
      </c>
      <c r="D2237" t="inlineStr">
        <is>
          <t>Стандарт, ₽/сут</t>
        </is>
      </c>
      <c r="E2237" t="inlineStr">
        <is>
          <t>—</t>
        </is>
      </c>
    </row>
    <row r="2238">
      <c r="A2238" t="inlineStr">
        <is>
          <t>CIAN</t>
        </is>
      </c>
      <c r="B2238" t="inlineStr">
        <is>
          <t>Волгоград</t>
        </is>
      </c>
      <c r="C2238" t="inlineStr">
        <is>
          <t>Аренда · Коммерческая · Склад</t>
        </is>
      </c>
      <c r="D2238" t="inlineStr">
        <is>
          <t>Публикация, ₽/30 дн</t>
        </is>
      </c>
      <c r="E2238" t="n">
        <v>168</v>
      </c>
    </row>
    <row r="2239">
      <c r="A2239" t="inlineStr">
        <is>
          <t>CIAN</t>
        </is>
      </c>
      <c r="B2239" t="inlineStr">
        <is>
          <t>Волгоград</t>
        </is>
      </c>
      <c r="C2239" t="inlineStr">
        <is>
          <t>Аренда · Коммерческая · Склад</t>
        </is>
      </c>
      <c r="D2239" t="inlineStr">
        <is>
          <t>Топ, ₽/сут</t>
        </is>
      </c>
      <c r="E2239" t="inlineStr">
        <is>
          <t>—</t>
        </is>
      </c>
    </row>
    <row r="2240">
      <c r="A2240" t="inlineStr">
        <is>
          <t>CIAN</t>
        </is>
      </c>
      <c r="B2240" t="inlineStr">
        <is>
          <t>Волгоград</t>
        </is>
      </c>
      <c r="C2240" t="inlineStr">
        <is>
          <t>Аренда · Коммерческая · Склад</t>
        </is>
      </c>
      <c r="D2240" t="inlineStr">
        <is>
          <t>Премиум, ₽/сут</t>
        </is>
      </c>
      <c r="E2240" t="inlineStr">
        <is>
          <t>—</t>
        </is>
      </c>
    </row>
    <row r="2241">
      <c r="A2241" t="inlineStr">
        <is>
          <t>CIAN</t>
        </is>
      </c>
      <c r="B2241" t="inlineStr">
        <is>
          <t>Волгоград</t>
        </is>
      </c>
      <c r="C2241" t="inlineStr">
        <is>
          <t>Аренда · Коммерческая · Склад</t>
        </is>
      </c>
      <c r="D2241" t="inlineStr">
        <is>
          <t>Стандарт, ₽/сут</t>
        </is>
      </c>
      <c r="E2241" t="inlineStr">
        <is>
          <t>—</t>
        </is>
      </c>
    </row>
    <row r="2242">
      <c r="A2242" t="inlineStr">
        <is>
          <t>CIAN</t>
        </is>
      </c>
      <c r="B2242" t="inlineStr">
        <is>
          <t>Москва</t>
        </is>
      </c>
      <c r="C2242" t="inlineStr">
        <is>
          <t>Аренда · Коммерческая · Гараж</t>
        </is>
      </c>
      <c r="D2242" t="inlineStr">
        <is>
          <t>Публикация, ₽/30 дн</t>
        </is>
      </c>
      <c r="E2242" t="n">
        <v>108</v>
      </c>
    </row>
    <row r="2243">
      <c r="A2243" t="inlineStr">
        <is>
          <t>CIAN</t>
        </is>
      </c>
      <c r="B2243" t="inlineStr">
        <is>
          <t>Москва</t>
        </is>
      </c>
      <c r="C2243" t="inlineStr">
        <is>
          <t>Аренда · Коммерческая · Гараж</t>
        </is>
      </c>
      <c r="D2243" t="inlineStr">
        <is>
          <t>Топ, ₽/сут</t>
        </is>
      </c>
      <c r="E2243" t="n">
        <v>299</v>
      </c>
    </row>
    <row r="2244">
      <c r="A2244" t="inlineStr">
        <is>
          <t>CIAN</t>
        </is>
      </c>
      <c r="B2244" t="inlineStr">
        <is>
          <t>Москва</t>
        </is>
      </c>
      <c r="C2244" t="inlineStr">
        <is>
          <t>Аренда · Коммерческая · Гараж</t>
        </is>
      </c>
      <c r="D2244" t="inlineStr">
        <is>
          <t>Премиум, ₽/сут</t>
        </is>
      </c>
      <c r="E2244" t="n">
        <v>123</v>
      </c>
    </row>
    <row r="2245">
      <c r="A2245" t="inlineStr">
        <is>
          <t>CIAN</t>
        </is>
      </c>
      <c r="B2245" t="inlineStr">
        <is>
          <t>Москва</t>
        </is>
      </c>
      <c r="C2245" t="inlineStr">
        <is>
          <t>Аренда · Коммерческая · Гараж</t>
        </is>
      </c>
      <c r="D2245" t="inlineStr">
        <is>
          <t>Стандарт, ₽/сут</t>
        </is>
      </c>
      <c r="E2245" t="n">
        <v>38</v>
      </c>
    </row>
    <row r="2246">
      <c r="A2246" t="inlineStr">
        <is>
          <t>CIAN</t>
        </is>
      </c>
      <c r="B2246" t="inlineStr">
        <is>
          <t>Санкт-Петербург</t>
        </is>
      </c>
      <c r="C2246" t="inlineStr">
        <is>
          <t>Аренда · Коммерческая · Гараж</t>
        </is>
      </c>
      <c r="D2246" t="inlineStr">
        <is>
          <t>Публикация, ₽/30 дн</t>
        </is>
      </c>
      <c r="E2246" t="n">
        <v>102</v>
      </c>
    </row>
    <row r="2247">
      <c r="A2247" t="inlineStr">
        <is>
          <t>CIAN</t>
        </is>
      </c>
      <c r="B2247" t="inlineStr">
        <is>
          <t>Санкт-Петербург</t>
        </is>
      </c>
      <c r="C2247" t="inlineStr">
        <is>
          <t>Аренда · Коммерческая · Гараж</t>
        </is>
      </c>
      <c r="D2247" t="inlineStr">
        <is>
          <t>Топ, ₽/сут</t>
        </is>
      </c>
      <c r="E2247" t="n">
        <v>143</v>
      </c>
    </row>
    <row r="2248">
      <c r="A2248" t="inlineStr">
        <is>
          <t>CIAN</t>
        </is>
      </c>
      <c r="B2248" t="inlineStr">
        <is>
          <t>Санкт-Петербург</t>
        </is>
      </c>
      <c r="C2248" t="inlineStr">
        <is>
          <t>Аренда · Коммерческая · Гараж</t>
        </is>
      </c>
      <c r="D2248" t="inlineStr">
        <is>
          <t>Премиум, ₽/сут</t>
        </is>
      </c>
      <c r="E2248" t="n">
        <v>63</v>
      </c>
    </row>
    <row r="2249">
      <c r="A2249" t="inlineStr">
        <is>
          <t>CIAN</t>
        </is>
      </c>
      <c r="B2249" t="inlineStr">
        <is>
          <t>Санкт-Петербург</t>
        </is>
      </c>
      <c r="C2249" t="inlineStr">
        <is>
          <t>Аренда · Коммерческая · Гараж</t>
        </is>
      </c>
      <c r="D2249" t="inlineStr">
        <is>
          <t>Стандарт, ₽/сут</t>
        </is>
      </c>
      <c r="E2249" t="n">
        <v>18</v>
      </c>
    </row>
    <row r="2250">
      <c r="A2250" t="inlineStr">
        <is>
          <t>CIAN</t>
        </is>
      </c>
      <c r="B2250" t="inlineStr">
        <is>
          <t>Новосибирск</t>
        </is>
      </c>
      <c r="C2250" t="inlineStr">
        <is>
          <t>Аренда · Коммерческая · Гараж</t>
        </is>
      </c>
      <c r="D2250" t="inlineStr">
        <is>
          <t>Публикация, ₽/30 дн</t>
        </is>
      </c>
      <c r="E2250" t="n">
        <v>102</v>
      </c>
    </row>
    <row r="2251">
      <c r="A2251" t="inlineStr">
        <is>
          <t>CIAN</t>
        </is>
      </c>
      <c r="B2251" t="inlineStr">
        <is>
          <t>Новосибирск</t>
        </is>
      </c>
      <c r="C2251" t="inlineStr">
        <is>
          <t>Аренда · Коммерческая · Гараж</t>
        </is>
      </c>
      <c r="D2251" t="inlineStr">
        <is>
          <t>Топ, ₽/сут</t>
        </is>
      </c>
      <c r="E2251" t="n">
        <v>346</v>
      </c>
    </row>
    <row r="2252">
      <c r="A2252" t="inlineStr">
        <is>
          <t>CIAN</t>
        </is>
      </c>
      <c r="B2252" t="inlineStr">
        <is>
          <t>Новосибирск</t>
        </is>
      </c>
      <c r="C2252" t="inlineStr">
        <is>
          <t>Аренда · Коммерческая · Гараж</t>
        </is>
      </c>
      <c r="D2252" t="inlineStr">
        <is>
          <t>Премиум, ₽/сут</t>
        </is>
      </c>
      <c r="E2252" t="n">
        <v>159</v>
      </c>
    </row>
    <row r="2253">
      <c r="A2253" t="inlineStr">
        <is>
          <t>CIAN</t>
        </is>
      </c>
      <c r="B2253" t="inlineStr">
        <is>
          <t>Новосибирск</t>
        </is>
      </c>
      <c r="C2253" t="inlineStr">
        <is>
          <t>Аренда · Коммерческая · Гараж</t>
        </is>
      </c>
      <c r="D2253" t="inlineStr">
        <is>
          <t>Стандарт, ₽/сут</t>
        </is>
      </c>
      <c r="E2253" t="n">
        <v>48</v>
      </c>
    </row>
    <row r="2254">
      <c r="A2254" t="inlineStr">
        <is>
          <t>CIAN</t>
        </is>
      </c>
      <c r="B2254" t="inlineStr">
        <is>
          <t>Екатеринбург</t>
        </is>
      </c>
      <c r="C2254" t="inlineStr">
        <is>
          <t>Аренда · Коммерческая · Гараж</t>
        </is>
      </c>
      <c r="D2254" t="inlineStr">
        <is>
          <t>Публикация, ₽/30 дн</t>
        </is>
      </c>
      <c r="E2254" t="n">
        <v>102</v>
      </c>
    </row>
    <row r="2255">
      <c r="A2255" t="inlineStr">
        <is>
          <t>CIAN</t>
        </is>
      </c>
      <c r="B2255" t="inlineStr">
        <is>
          <t>Екатеринбург</t>
        </is>
      </c>
      <c r="C2255" t="inlineStr">
        <is>
          <t>Аренда · Коммерческая · Гараж</t>
        </is>
      </c>
      <c r="D2255" t="inlineStr">
        <is>
          <t>Топ, ₽/сут</t>
        </is>
      </c>
      <c r="E2255" t="n">
        <v>346</v>
      </c>
    </row>
    <row r="2256">
      <c r="A2256" t="inlineStr">
        <is>
          <t>CIAN</t>
        </is>
      </c>
      <c r="B2256" t="inlineStr">
        <is>
          <t>Екатеринбург</t>
        </is>
      </c>
      <c r="C2256" t="inlineStr">
        <is>
          <t>Аренда · Коммерческая · Гараж</t>
        </is>
      </c>
      <c r="D2256" t="inlineStr">
        <is>
          <t>Премиум, ₽/сут</t>
        </is>
      </c>
      <c r="E2256" t="n">
        <v>175</v>
      </c>
    </row>
    <row r="2257">
      <c r="A2257" t="inlineStr">
        <is>
          <t>CIAN</t>
        </is>
      </c>
      <c r="B2257" t="inlineStr">
        <is>
          <t>Екатеринбург</t>
        </is>
      </c>
      <c r="C2257" t="inlineStr">
        <is>
          <t>Аренда · Коммерческая · Гараж</t>
        </is>
      </c>
      <c r="D2257" t="inlineStr">
        <is>
          <t>Стандарт, ₽/сут</t>
        </is>
      </c>
      <c r="E2257" t="n">
        <v>53</v>
      </c>
    </row>
    <row r="2258">
      <c r="A2258" t="inlineStr">
        <is>
          <t>CIAN</t>
        </is>
      </c>
      <c r="B2258" t="inlineStr">
        <is>
          <t>Казань</t>
        </is>
      </c>
      <c r="C2258" t="inlineStr">
        <is>
          <t>Аренда · Коммерческая · Гараж</t>
        </is>
      </c>
      <c r="D2258" t="inlineStr">
        <is>
          <t>Публикация, ₽/30 дн</t>
        </is>
      </c>
      <c r="E2258" t="n">
        <v>108</v>
      </c>
    </row>
    <row r="2259">
      <c r="A2259" t="inlineStr">
        <is>
          <t>CIAN</t>
        </is>
      </c>
      <c r="B2259" t="inlineStr">
        <is>
          <t>Казань</t>
        </is>
      </c>
      <c r="C2259" t="inlineStr">
        <is>
          <t>Аренда · Коммерческая · Гараж</t>
        </is>
      </c>
      <c r="D2259" t="inlineStr">
        <is>
          <t>Топ, ₽/сут</t>
        </is>
      </c>
      <c r="E2259" t="n">
        <v>98</v>
      </c>
    </row>
    <row r="2260">
      <c r="A2260" t="inlineStr">
        <is>
          <t>CIAN</t>
        </is>
      </c>
      <c r="B2260" t="inlineStr">
        <is>
          <t>Казань</t>
        </is>
      </c>
      <c r="C2260" t="inlineStr">
        <is>
          <t>Аренда · Коммерческая · Гараж</t>
        </is>
      </c>
      <c r="D2260" t="inlineStr">
        <is>
          <t>Премиум, ₽/сут</t>
        </is>
      </c>
      <c r="E2260" t="n">
        <v>42</v>
      </c>
    </row>
    <row r="2261">
      <c r="A2261" t="inlineStr">
        <is>
          <t>CIAN</t>
        </is>
      </c>
      <c r="B2261" t="inlineStr">
        <is>
          <t>Казань</t>
        </is>
      </c>
      <c r="C2261" t="inlineStr">
        <is>
          <t>Аренда · Коммерческая · Гараж</t>
        </is>
      </c>
      <c r="D2261" t="inlineStr">
        <is>
          <t>Стандарт, ₽/сут</t>
        </is>
      </c>
      <c r="E2261" t="n">
        <v>14</v>
      </c>
    </row>
    <row r="2262">
      <c r="A2262" t="inlineStr">
        <is>
          <t>CIAN</t>
        </is>
      </c>
      <c r="B2262" t="inlineStr">
        <is>
          <t>Красноярск</t>
        </is>
      </c>
      <c r="C2262" t="inlineStr">
        <is>
          <t>Аренда · Коммерческая · Гараж</t>
        </is>
      </c>
      <c r="D2262" t="inlineStr">
        <is>
          <t>Публикация, ₽/30 дн</t>
        </is>
      </c>
      <c r="E2262" t="n">
        <v>108</v>
      </c>
    </row>
    <row r="2263">
      <c r="A2263" t="inlineStr">
        <is>
          <t>CIAN</t>
        </is>
      </c>
      <c r="B2263" t="inlineStr">
        <is>
          <t>Красноярск</t>
        </is>
      </c>
      <c r="C2263" t="inlineStr">
        <is>
          <t>Аренда · Коммерческая · Гараж</t>
        </is>
      </c>
      <c r="D2263" t="inlineStr">
        <is>
          <t>Топ, ₽/сут</t>
        </is>
      </c>
      <c r="E2263" t="inlineStr">
        <is>
          <t>—</t>
        </is>
      </c>
    </row>
    <row r="2264">
      <c r="A2264" t="inlineStr">
        <is>
          <t>CIAN</t>
        </is>
      </c>
      <c r="B2264" t="inlineStr">
        <is>
          <t>Красноярск</t>
        </is>
      </c>
      <c r="C2264" t="inlineStr">
        <is>
          <t>Аренда · Коммерческая · Гараж</t>
        </is>
      </c>
      <c r="D2264" t="inlineStr">
        <is>
          <t>Премиум, ₽/сут</t>
        </is>
      </c>
      <c r="E2264" t="inlineStr">
        <is>
          <t>—</t>
        </is>
      </c>
    </row>
    <row r="2265">
      <c r="A2265" t="inlineStr">
        <is>
          <t>CIAN</t>
        </is>
      </c>
      <c r="B2265" t="inlineStr">
        <is>
          <t>Красноярск</t>
        </is>
      </c>
      <c r="C2265" t="inlineStr">
        <is>
          <t>Аренда · Коммерческая · Гараж</t>
        </is>
      </c>
      <c r="D2265" t="inlineStr">
        <is>
          <t>Стандарт, ₽/сут</t>
        </is>
      </c>
      <c r="E2265" t="inlineStr">
        <is>
          <t>—</t>
        </is>
      </c>
    </row>
    <row r="2266">
      <c r="A2266" t="inlineStr">
        <is>
          <t>CIAN</t>
        </is>
      </c>
      <c r="B2266" t="inlineStr">
        <is>
          <t>Нижний Новгород</t>
        </is>
      </c>
      <c r="C2266" t="inlineStr">
        <is>
          <t>Аренда · Коммерческая · Гараж</t>
        </is>
      </c>
      <c r="D2266" t="inlineStr">
        <is>
          <t>Публикация, ₽/30 дн</t>
        </is>
      </c>
      <c r="E2266" t="n">
        <v>108</v>
      </c>
    </row>
    <row r="2267">
      <c r="A2267" t="inlineStr">
        <is>
          <t>CIAN</t>
        </is>
      </c>
      <c r="B2267" t="inlineStr">
        <is>
          <t>Нижний Новгород</t>
        </is>
      </c>
      <c r="C2267" t="inlineStr">
        <is>
          <t>Аренда · Коммерческая · Гараж</t>
        </is>
      </c>
      <c r="D2267" t="inlineStr">
        <is>
          <t>Топ, ₽/сут</t>
        </is>
      </c>
      <c r="E2267" t="n">
        <v>98</v>
      </c>
    </row>
    <row r="2268">
      <c r="A2268" t="inlineStr">
        <is>
          <t>CIAN</t>
        </is>
      </c>
      <c r="B2268" t="inlineStr">
        <is>
          <t>Нижний Новгород</t>
        </is>
      </c>
      <c r="C2268" t="inlineStr">
        <is>
          <t>Аренда · Коммерческая · Гараж</t>
        </is>
      </c>
      <c r="D2268" t="inlineStr">
        <is>
          <t>Премиум, ₽/сут</t>
        </is>
      </c>
      <c r="E2268" t="n">
        <v>42</v>
      </c>
    </row>
    <row r="2269">
      <c r="A2269" t="inlineStr">
        <is>
          <t>CIAN</t>
        </is>
      </c>
      <c r="B2269" t="inlineStr">
        <is>
          <t>Нижний Новгород</t>
        </is>
      </c>
      <c r="C2269" t="inlineStr">
        <is>
          <t>Аренда · Коммерческая · Гараж</t>
        </is>
      </c>
      <c r="D2269" t="inlineStr">
        <is>
          <t>Стандарт, ₽/сут</t>
        </is>
      </c>
      <c r="E2269" t="n">
        <v>14</v>
      </c>
    </row>
    <row r="2270">
      <c r="A2270" t="inlineStr">
        <is>
          <t>CIAN</t>
        </is>
      </c>
      <c r="B2270" t="inlineStr">
        <is>
          <t>Челябинск</t>
        </is>
      </c>
      <c r="C2270" t="inlineStr">
        <is>
          <t>Аренда · Коммерческая · Гараж</t>
        </is>
      </c>
      <c r="D2270" t="inlineStr">
        <is>
          <t>Публикация, ₽/30 дн</t>
        </is>
      </c>
      <c r="E2270" t="n">
        <v>108</v>
      </c>
    </row>
    <row r="2271">
      <c r="A2271" t="inlineStr">
        <is>
          <t>CIAN</t>
        </is>
      </c>
      <c r="B2271" t="inlineStr">
        <is>
          <t>Челябинск</t>
        </is>
      </c>
      <c r="C2271" t="inlineStr">
        <is>
          <t>Аренда · Коммерческая · Гараж</t>
        </is>
      </c>
      <c r="D2271" t="inlineStr">
        <is>
          <t>Топ, ₽/сут</t>
        </is>
      </c>
      <c r="E2271" t="n">
        <v>220</v>
      </c>
    </row>
    <row r="2272">
      <c r="A2272" t="inlineStr">
        <is>
          <t>CIAN</t>
        </is>
      </c>
      <c r="B2272" t="inlineStr">
        <is>
          <t>Челябинск</t>
        </is>
      </c>
      <c r="C2272" t="inlineStr">
        <is>
          <t>Аренда · Коммерческая · Гараж</t>
        </is>
      </c>
      <c r="D2272" t="inlineStr">
        <is>
          <t>Премиум, ₽/сут</t>
        </is>
      </c>
      <c r="E2272" t="n">
        <v>101</v>
      </c>
    </row>
    <row r="2273">
      <c r="A2273" t="inlineStr">
        <is>
          <t>CIAN</t>
        </is>
      </c>
      <c r="B2273" t="inlineStr">
        <is>
          <t>Челябинск</t>
        </is>
      </c>
      <c r="C2273" t="inlineStr">
        <is>
          <t>Аренда · Коммерческая · Гараж</t>
        </is>
      </c>
      <c r="D2273" t="inlineStr">
        <is>
          <t>Стандарт, ₽/сут</t>
        </is>
      </c>
      <c r="E2273" t="n">
        <v>30</v>
      </c>
    </row>
    <row r="2274">
      <c r="A2274" t="inlineStr">
        <is>
          <t>CIAN</t>
        </is>
      </c>
      <c r="B2274" t="inlineStr">
        <is>
          <t>Уфа</t>
        </is>
      </c>
      <c r="C2274" t="inlineStr">
        <is>
          <t>Аренда · Коммерческая · Гараж</t>
        </is>
      </c>
      <c r="D2274" t="inlineStr">
        <is>
          <t>Публикация, ₽/30 дн</t>
        </is>
      </c>
      <c r="E2274" t="n">
        <v>108</v>
      </c>
    </row>
    <row r="2275">
      <c r="A2275" t="inlineStr">
        <is>
          <t>CIAN</t>
        </is>
      </c>
      <c r="B2275" t="inlineStr">
        <is>
          <t>Уфа</t>
        </is>
      </c>
      <c r="C2275" t="inlineStr">
        <is>
          <t>Аренда · Коммерческая · Гараж</t>
        </is>
      </c>
      <c r="D2275" t="inlineStr">
        <is>
          <t>Топ, ₽/сут</t>
        </is>
      </c>
      <c r="E2275" t="n">
        <v>98</v>
      </c>
    </row>
    <row r="2276">
      <c r="A2276" t="inlineStr">
        <is>
          <t>CIAN</t>
        </is>
      </c>
      <c r="B2276" t="inlineStr">
        <is>
          <t>Уфа</t>
        </is>
      </c>
      <c r="C2276" t="inlineStr">
        <is>
          <t>Аренда · Коммерческая · Гараж</t>
        </is>
      </c>
      <c r="D2276" t="inlineStr">
        <is>
          <t>Премиум, ₽/сут</t>
        </is>
      </c>
      <c r="E2276" t="n">
        <v>42</v>
      </c>
    </row>
    <row r="2277">
      <c r="A2277" t="inlineStr">
        <is>
          <t>CIAN</t>
        </is>
      </c>
      <c r="B2277" t="inlineStr">
        <is>
          <t>Уфа</t>
        </is>
      </c>
      <c r="C2277" t="inlineStr">
        <is>
          <t>Аренда · Коммерческая · Гараж</t>
        </is>
      </c>
      <c r="D2277" t="inlineStr">
        <is>
          <t>Стандарт, ₽/сут</t>
        </is>
      </c>
      <c r="E2277" t="n">
        <v>14</v>
      </c>
    </row>
    <row r="2278">
      <c r="A2278" t="inlineStr">
        <is>
          <t>CIAN</t>
        </is>
      </c>
      <c r="B2278" t="inlineStr">
        <is>
          <t>Краснодар</t>
        </is>
      </c>
      <c r="C2278" t="inlineStr">
        <is>
          <t>Аренда · Коммерческая · Гараж</t>
        </is>
      </c>
      <c r="D2278" t="inlineStr">
        <is>
          <t>Публикация, ₽/30 дн</t>
        </is>
      </c>
      <c r="E2278" t="n">
        <v>3</v>
      </c>
    </row>
    <row r="2279">
      <c r="A2279" t="inlineStr">
        <is>
          <t>CIAN</t>
        </is>
      </c>
      <c r="B2279" t="inlineStr">
        <is>
          <t>Краснодар</t>
        </is>
      </c>
      <c r="C2279" t="inlineStr">
        <is>
          <t>Аренда · Коммерческая · Гараж</t>
        </is>
      </c>
      <c r="D2279" t="inlineStr">
        <is>
          <t>Топ, ₽/сут</t>
        </is>
      </c>
      <c r="E2279" t="n">
        <v>101</v>
      </c>
    </row>
    <row r="2280">
      <c r="A2280" t="inlineStr">
        <is>
          <t>CIAN</t>
        </is>
      </c>
      <c r="B2280" t="inlineStr">
        <is>
          <t>Краснодар</t>
        </is>
      </c>
      <c r="C2280" t="inlineStr">
        <is>
          <t>Аренда · Коммерческая · Гараж</t>
        </is>
      </c>
      <c r="D2280" t="inlineStr">
        <is>
          <t>Премиум, ₽/сут</t>
        </is>
      </c>
      <c r="E2280" t="n">
        <v>44</v>
      </c>
    </row>
    <row r="2281">
      <c r="A2281" t="inlineStr">
        <is>
          <t>CIAN</t>
        </is>
      </c>
      <c r="B2281" t="inlineStr">
        <is>
          <t>Краснодар</t>
        </is>
      </c>
      <c r="C2281" t="inlineStr">
        <is>
          <t>Аренда · Коммерческая · Гараж</t>
        </is>
      </c>
      <c r="D2281" t="inlineStr">
        <is>
          <t>Стандарт, ₽/сут</t>
        </is>
      </c>
      <c r="E2281" t="n">
        <v>15</v>
      </c>
    </row>
    <row r="2282">
      <c r="A2282" t="inlineStr">
        <is>
          <t>CIAN</t>
        </is>
      </c>
      <c r="B2282" t="inlineStr">
        <is>
          <t>Самара</t>
        </is>
      </c>
      <c r="C2282" t="inlineStr">
        <is>
          <t>Аренда · Коммерческая · Гараж</t>
        </is>
      </c>
      <c r="D2282" t="inlineStr">
        <is>
          <t>Публикация, ₽/30 дн</t>
        </is>
      </c>
      <c r="E2282" t="n">
        <v>108</v>
      </c>
    </row>
    <row r="2283">
      <c r="A2283" t="inlineStr">
        <is>
          <t>CIAN</t>
        </is>
      </c>
      <c r="B2283" t="inlineStr">
        <is>
          <t>Самара</t>
        </is>
      </c>
      <c r="C2283" t="inlineStr">
        <is>
          <t>Аренда · Коммерческая · Гараж</t>
        </is>
      </c>
      <c r="D2283" t="inlineStr">
        <is>
          <t>Топ, ₽/сут</t>
        </is>
      </c>
      <c r="E2283" t="inlineStr">
        <is>
          <t>—</t>
        </is>
      </c>
    </row>
    <row r="2284">
      <c r="A2284" t="inlineStr">
        <is>
          <t>CIAN</t>
        </is>
      </c>
      <c r="B2284" t="inlineStr">
        <is>
          <t>Самара</t>
        </is>
      </c>
      <c r="C2284" t="inlineStr">
        <is>
          <t>Аренда · Коммерческая · Гараж</t>
        </is>
      </c>
      <c r="D2284" t="inlineStr">
        <is>
          <t>Премиум, ₽/сут</t>
        </is>
      </c>
      <c r="E2284" t="inlineStr">
        <is>
          <t>—</t>
        </is>
      </c>
    </row>
    <row r="2285">
      <c r="A2285" t="inlineStr">
        <is>
          <t>CIAN</t>
        </is>
      </c>
      <c r="B2285" t="inlineStr">
        <is>
          <t>Самара</t>
        </is>
      </c>
      <c r="C2285" t="inlineStr">
        <is>
          <t>Аренда · Коммерческая · Гараж</t>
        </is>
      </c>
      <c r="D2285" t="inlineStr">
        <is>
          <t>Стандарт, ₽/сут</t>
        </is>
      </c>
      <c r="E2285" t="inlineStr">
        <is>
          <t>—</t>
        </is>
      </c>
    </row>
    <row r="2286">
      <c r="A2286" t="inlineStr">
        <is>
          <t>CIAN</t>
        </is>
      </c>
      <c r="B2286" t="inlineStr">
        <is>
          <t>Ростов-на-Дону</t>
        </is>
      </c>
      <c r="C2286" t="inlineStr">
        <is>
          <t>Аренда · Коммерческая · Гараж</t>
        </is>
      </c>
      <c r="D2286" t="inlineStr">
        <is>
          <t>Публикация, ₽/30 дн</t>
        </is>
      </c>
      <c r="E2286" t="n">
        <v>36</v>
      </c>
    </row>
    <row r="2287">
      <c r="A2287" t="inlineStr">
        <is>
          <t>CIAN</t>
        </is>
      </c>
      <c r="B2287" t="inlineStr">
        <is>
          <t>Ростов-на-Дону</t>
        </is>
      </c>
      <c r="C2287" t="inlineStr">
        <is>
          <t>Аренда · Коммерческая · Гараж</t>
        </is>
      </c>
      <c r="D2287" t="inlineStr">
        <is>
          <t>Топ, ₽/сут</t>
        </is>
      </c>
      <c r="E2287" t="n">
        <v>102</v>
      </c>
    </row>
    <row r="2288">
      <c r="A2288" t="inlineStr">
        <is>
          <t>CIAN</t>
        </is>
      </c>
      <c r="B2288" t="inlineStr">
        <is>
          <t>Ростов-на-Дону</t>
        </is>
      </c>
      <c r="C2288" t="inlineStr">
        <is>
          <t>Аренда · Коммерческая · Гараж</t>
        </is>
      </c>
      <c r="D2288" t="inlineStr">
        <is>
          <t>Премиум, ₽/сут</t>
        </is>
      </c>
      <c r="E2288" t="n">
        <v>46</v>
      </c>
    </row>
    <row r="2289">
      <c r="A2289" t="inlineStr">
        <is>
          <t>CIAN</t>
        </is>
      </c>
      <c r="B2289" t="inlineStr">
        <is>
          <t>Ростов-на-Дону</t>
        </is>
      </c>
      <c r="C2289" t="inlineStr">
        <is>
          <t>Аренда · Коммерческая · Гараж</t>
        </is>
      </c>
      <c r="D2289" t="inlineStr">
        <is>
          <t>Стандарт, ₽/сут</t>
        </is>
      </c>
      <c r="E2289" t="n">
        <v>16</v>
      </c>
    </row>
    <row r="2290">
      <c r="A2290" t="inlineStr">
        <is>
          <t>CIAN</t>
        </is>
      </c>
      <c r="B2290" t="inlineStr">
        <is>
          <t>Омск</t>
        </is>
      </c>
      <c r="C2290" t="inlineStr">
        <is>
          <t>Аренда · Коммерческая · Гараж</t>
        </is>
      </c>
      <c r="D2290" t="inlineStr">
        <is>
          <t>Публикация, ₽/30 дн</t>
        </is>
      </c>
      <c r="E2290" t="n">
        <v>9</v>
      </c>
    </row>
    <row r="2291">
      <c r="A2291" t="inlineStr">
        <is>
          <t>CIAN</t>
        </is>
      </c>
      <c r="B2291" t="inlineStr">
        <is>
          <t>Омск</t>
        </is>
      </c>
      <c r="C2291" t="inlineStr">
        <is>
          <t>Аренда · Коммерческая · Гараж</t>
        </is>
      </c>
      <c r="D2291" t="inlineStr">
        <is>
          <t>Топ, ₽/сут</t>
        </is>
      </c>
      <c r="E2291" t="n">
        <v>171</v>
      </c>
    </row>
    <row r="2292">
      <c r="A2292" t="inlineStr">
        <is>
          <t>CIAN</t>
        </is>
      </c>
      <c r="B2292" t="inlineStr">
        <is>
          <t>Омск</t>
        </is>
      </c>
      <c r="C2292" t="inlineStr">
        <is>
          <t>Аренда · Коммерческая · Гараж</t>
        </is>
      </c>
      <c r="D2292" t="inlineStr">
        <is>
          <t>Премиум, ₽/сут</t>
        </is>
      </c>
      <c r="E2292" t="n">
        <v>94</v>
      </c>
    </row>
    <row r="2293">
      <c r="A2293" t="inlineStr">
        <is>
          <t>CIAN</t>
        </is>
      </c>
      <c r="B2293" t="inlineStr">
        <is>
          <t>Омск</t>
        </is>
      </c>
      <c r="C2293" t="inlineStr">
        <is>
          <t>Аренда · Коммерческая · Гараж</t>
        </is>
      </c>
      <c r="D2293" t="inlineStr">
        <is>
          <t>Стандарт, ₽/сут</t>
        </is>
      </c>
      <c r="E2293" t="n">
        <v>29</v>
      </c>
    </row>
    <row r="2294">
      <c r="A2294" t="inlineStr">
        <is>
          <t>CIAN</t>
        </is>
      </c>
      <c r="B2294" t="inlineStr">
        <is>
          <t>Воронеж</t>
        </is>
      </c>
      <c r="C2294" t="inlineStr">
        <is>
          <t>Аренда · Коммерческая · Гараж</t>
        </is>
      </c>
      <c r="D2294" t="inlineStr">
        <is>
          <t>Публикация, ₽/30 дн</t>
        </is>
      </c>
      <c r="E2294" t="n">
        <v>108</v>
      </c>
    </row>
    <row r="2295">
      <c r="A2295" t="inlineStr">
        <is>
          <t>CIAN</t>
        </is>
      </c>
      <c r="B2295" t="inlineStr">
        <is>
          <t>Воронеж</t>
        </is>
      </c>
      <c r="C2295" t="inlineStr">
        <is>
          <t>Аренда · Коммерческая · Гараж</t>
        </is>
      </c>
      <c r="D2295" t="inlineStr">
        <is>
          <t>Топ, ₽/сут</t>
        </is>
      </c>
      <c r="E2295" t="inlineStr">
        <is>
          <t>—</t>
        </is>
      </c>
    </row>
    <row r="2296">
      <c r="A2296" t="inlineStr">
        <is>
          <t>CIAN</t>
        </is>
      </c>
      <c r="B2296" t="inlineStr">
        <is>
          <t>Воронеж</t>
        </is>
      </c>
      <c r="C2296" t="inlineStr">
        <is>
          <t>Аренда · Коммерческая · Гараж</t>
        </is>
      </c>
      <c r="D2296" t="inlineStr">
        <is>
          <t>Премиум, ₽/сут</t>
        </is>
      </c>
      <c r="E2296" t="inlineStr">
        <is>
          <t>—</t>
        </is>
      </c>
    </row>
    <row r="2297">
      <c r="A2297" t="inlineStr">
        <is>
          <t>CIAN</t>
        </is>
      </c>
      <c r="B2297" t="inlineStr">
        <is>
          <t>Воронеж</t>
        </is>
      </c>
      <c r="C2297" t="inlineStr">
        <is>
          <t>Аренда · Коммерческая · Гараж</t>
        </is>
      </c>
      <c r="D2297" t="inlineStr">
        <is>
          <t>Стандарт, ₽/сут</t>
        </is>
      </c>
      <c r="E2297" t="inlineStr">
        <is>
          <t>—</t>
        </is>
      </c>
    </row>
    <row r="2298">
      <c r="A2298" t="inlineStr">
        <is>
          <t>CIAN</t>
        </is>
      </c>
      <c r="B2298" t="inlineStr">
        <is>
          <t>Пермь</t>
        </is>
      </c>
      <c r="C2298" t="inlineStr">
        <is>
          <t>Аренда · Коммерческая · Гараж</t>
        </is>
      </c>
      <c r="D2298" t="inlineStr">
        <is>
          <t>Публикация, ₽/30 дн</t>
        </is>
      </c>
      <c r="E2298" t="n">
        <v>108</v>
      </c>
    </row>
    <row r="2299">
      <c r="A2299" t="inlineStr">
        <is>
          <t>CIAN</t>
        </is>
      </c>
      <c r="B2299" t="inlineStr">
        <is>
          <t>Пермь</t>
        </is>
      </c>
      <c r="C2299" t="inlineStr">
        <is>
          <t>Аренда · Коммерческая · Гараж</t>
        </is>
      </c>
      <c r="D2299" t="inlineStr">
        <is>
          <t>Топ, ₽/сут</t>
        </is>
      </c>
      <c r="E2299" t="inlineStr">
        <is>
          <t>—</t>
        </is>
      </c>
    </row>
    <row r="2300">
      <c r="A2300" t="inlineStr">
        <is>
          <t>CIAN</t>
        </is>
      </c>
      <c r="B2300" t="inlineStr">
        <is>
          <t>Пермь</t>
        </is>
      </c>
      <c r="C2300" t="inlineStr">
        <is>
          <t>Аренда · Коммерческая · Гараж</t>
        </is>
      </c>
      <c r="D2300" t="inlineStr">
        <is>
          <t>Премиум, ₽/сут</t>
        </is>
      </c>
      <c r="E2300" t="inlineStr">
        <is>
          <t>—</t>
        </is>
      </c>
    </row>
    <row r="2301">
      <c r="A2301" t="inlineStr">
        <is>
          <t>CIAN</t>
        </is>
      </c>
      <c r="B2301" t="inlineStr">
        <is>
          <t>Пермь</t>
        </is>
      </c>
      <c r="C2301" t="inlineStr">
        <is>
          <t>Аренда · Коммерческая · Гараж</t>
        </is>
      </c>
      <c r="D2301" t="inlineStr">
        <is>
          <t>Стандарт, ₽/сут</t>
        </is>
      </c>
      <c r="E2301" t="inlineStr">
        <is>
          <t>—</t>
        </is>
      </c>
    </row>
    <row r="2302">
      <c r="A2302" t="inlineStr">
        <is>
          <t>CIAN</t>
        </is>
      </c>
      <c r="B2302" t="inlineStr">
        <is>
          <t>Волгоград</t>
        </is>
      </c>
      <c r="C2302" t="inlineStr">
        <is>
          <t>Аренда · Коммерческая · Гараж</t>
        </is>
      </c>
      <c r="D2302" t="inlineStr">
        <is>
          <t>Публикация, ₽/30 дн</t>
        </is>
      </c>
      <c r="E2302" t="n">
        <v>108</v>
      </c>
    </row>
    <row r="2303">
      <c r="A2303" t="inlineStr">
        <is>
          <t>CIAN</t>
        </is>
      </c>
      <c r="B2303" t="inlineStr">
        <is>
          <t>Волгоград</t>
        </is>
      </c>
      <c r="C2303" t="inlineStr">
        <is>
          <t>Аренда · Коммерческая · Гараж</t>
        </is>
      </c>
      <c r="D2303" t="inlineStr">
        <is>
          <t>Топ, ₽/сут</t>
        </is>
      </c>
      <c r="E2303" t="inlineStr">
        <is>
          <t>—</t>
        </is>
      </c>
    </row>
    <row r="2304">
      <c r="A2304" t="inlineStr">
        <is>
          <t>CIAN</t>
        </is>
      </c>
      <c r="B2304" t="inlineStr">
        <is>
          <t>Волгоград</t>
        </is>
      </c>
      <c r="C2304" t="inlineStr">
        <is>
          <t>Аренда · Коммерческая · Гараж</t>
        </is>
      </c>
      <c r="D2304" t="inlineStr">
        <is>
          <t>Премиум, ₽/сут</t>
        </is>
      </c>
      <c r="E2304" t="inlineStr">
        <is>
          <t>—</t>
        </is>
      </c>
    </row>
    <row r="2305">
      <c r="A2305" t="inlineStr">
        <is>
          <t>CIAN</t>
        </is>
      </c>
      <c r="B2305" t="inlineStr">
        <is>
          <t>Волгоград</t>
        </is>
      </c>
      <c r="C2305" t="inlineStr">
        <is>
          <t>Аренда · Коммерческая · Гараж</t>
        </is>
      </c>
      <c r="D2305" t="inlineStr">
        <is>
          <t>Стандарт, ₽/сут</t>
        </is>
      </c>
      <c r="E2305" t="inlineStr">
        <is>
          <t>—</t>
        </is>
      </c>
    </row>
    <row r="2306">
      <c r="A2306" t="inlineStr">
        <is>
          <t>CIAN</t>
        </is>
      </c>
      <c r="B2306" t="inlineStr">
        <is>
          <t>Москва</t>
        </is>
      </c>
      <c r="C2306" t="inlineStr">
        <is>
          <t>Аренда · Коммерческая · Бизнес</t>
        </is>
      </c>
      <c r="D2306" t="inlineStr">
        <is>
          <t>Публикация, ₽/30 дн</t>
        </is>
      </c>
      <c r="E2306" t="n">
        <v>3570</v>
      </c>
    </row>
    <row r="2307">
      <c r="A2307" t="inlineStr">
        <is>
          <t>CIAN</t>
        </is>
      </c>
      <c r="B2307" t="inlineStr">
        <is>
          <t>Москва</t>
        </is>
      </c>
      <c r="C2307" t="inlineStr">
        <is>
          <t>Аренда · Коммерческая · Бизнес</t>
        </is>
      </c>
      <c r="D2307" t="inlineStr">
        <is>
          <t>Топ, ₽/сут</t>
        </is>
      </c>
      <c r="E2307" t="n">
        <v>1090</v>
      </c>
    </row>
    <row r="2308">
      <c r="A2308" t="inlineStr">
        <is>
          <t>CIAN</t>
        </is>
      </c>
      <c r="B2308" t="inlineStr">
        <is>
          <t>Москва</t>
        </is>
      </c>
      <c r="C2308" t="inlineStr">
        <is>
          <t>Аренда · Коммерческая · Бизнес</t>
        </is>
      </c>
      <c r="D2308" t="inlineStr">
        <is>
          <t>Премиум, ₽/сут</t>
        </is>
      </c>
      <c r="E2308" t="n">
        <v>588</v>
      </c>
    </row>
    <row r="2309">
      <c r="A2309" t="inlineStr">
        <is>
          <t>CIAN</t>
        </is>
      </c>
      <c r="B2309" t="inlineStr">
        <is>
          <t>Москва</t>
        </is>
      </c>
      <c r="C2309" t="inlineStr">
        <is>
          <t>Аренда · Коммерческая · Бизнес</t>
        </is>
      </c>
      <c r="D2309" t="inlineStr">
        <is>
          <t>Стандарт, ₽/сут</t>
        </is>
      </c>
      <c r="E2309" t="n">
        <v>271</v>
      </c>
    </row>
    <row r="2310">
      <c r="A2310" t="inlineStr">
        <is>
          <t>CIAN</t>
        </is>
      </c>
      <c r="B2310" t="inlineStr">
        <is>
          <t>Санкт-Петербург</t>
        </is>
      </c>
      <c r="C2310" t="inlineStr">
        <is>
          <t>Аренда · Коммерческая · Бизнес</t>
        </is>
      </c>
      <c r="D2310" t="inlineStr">
        <is>
          <t>Публикация, ₽/30 дн</t>
        </is>
      </c>
      <c r="E2310" t="n">
        <v>1476</v>
      </c>
    </row>
    <row r="2311">
      <c r="A2311" t="inlineStr">
        <is>
          <t>CIAN</t>
        </is>
      </c>
      <c r="B2311" t="inlineStr">
        <is>
          <t>Санкт-Петербург</t>
        </is>
      </c>
      <c r="C2311" t="inlineStr">
        <is>
          <t>Аренда · Коммерческая · Бизнес</t>
        </is>
      </c>
      <c r="D2311" t="inlineStr">
        <is>
          <t>Топ, ₽/сут</t>
        </is>
      </c>
      <c r="E2311" t="n">
        <v>752</v>
      </c>
    </row>
    <row r="2312">
      <c r="A2312" t="inlineStr">
        <is>
          <t>CIAN</t>
        </is>
      </c>
      <c r="B2312" t="inlineStr">
        <is>
          <t>Санкт-Петербург</t>
        </is>
      </c>
      <c r="C2312" t="inlineStr">
        <is>
          <t>Аренда · Коммерческая · Бизнес</t>
        </is>
      </c>
      <c r="D2312" t="inlineStr">
        <is>
          <t>Премиум, ₽/сут</t>
        </is>
      </c>
      <c r="E2312" t="n">
        <v>677</v>
      </c>
    </row>
    <row r="2313">
      <c r="A2313" t="inlineStr">
        <is>
          <t>CIAN</t>
        </is>
      </c>
      <c r="B2313" t="inlineStr">
        <is>
          <t>Санкт-Петербург</t>
        </is>
      </c>
      <c r="C2313" t="inlineStr">
        <is>
          <t>Аренда · Коммерческая · Бизнес</t>
        </is>
      </c>
      <c r="D2313" t="inlineStr">
        <is>
          <t>Стандарт, ₽/сут</t>
        </is>
      </c>
      <c r="E2313" t="n">
        <v>618</v>
      </c>
    </row>
    <row r="2314">
      <c r="A2314" t="inlineStr">
        <is>
          <t>CIAN</t>
        </is>
      </c>
      <c r="B2314" t="inlineStr">
        <is>
          <t>Новосибирск</t>
        </is>
      </c>
      <c r="C2314" t="inlineStr">
        <is>
          <t>Аренда · Коммерческая · Бизнес</t>
        </is>
      </c>
      <c r="D2314" t="inlineStr">
        <is>
          <t>Публикация, ₽/30 дн</t>
        </is>
      </c>
      <c r="E2314" t="n">
        <v>1500</v>
      </c>
    </row>
    <row r="2315">
      <c r="A2315" t="inlineStr">
        <is>
          <t>CIAN</t>
        </is>
      </c>
      <c r="B2315" t="inlineStr">
        <is>
          <t>Новосибирск</t>
        </is>
      </c>
      <c r="C2315" t="inlineStr">
        <is>
          <t>Аренда · Коммерческая · Бизнес</t>
        </is>
      </c>
      <c r="D2315" t="inlineStr">
        <is>
          <t>Топ, ₽/сут</t>
        </is>
      </c>
      <c r="E2315" t="n">
        <v>419</v>
      </c>
    </row>
    <row r="2316">
      <c r="A2316" t="inlineStr">
        <is>
          <t>CIAN</t>
        </is>
      </c>
      <c r="B2316" t="inlineStr">
        <is>
          <t>Новосибирск</t>
        </is>
      </c>
      <c r="C2316" t="inlineStr">
        <is>
          <t>Аренда · Коммерческая · Бизнес</t>
        </is>
      </c>
      <c r="D2316" t="inlineStr">
        <is>
          <t>Премиум, ₽/сут</t>
        </is>
      </c>
      <c r="E2316" t="n">
        <v>190</v>
      </c>
    </row>
    <row r="2317">
      <c r="A2317" t="inlineStr">
        <is>
          <t>CIAN</t>
        </is>
      </c>
      <c r="B2317" t="inlineStr">
        <is>
          <t>Новосибирск</t>
        </is>
      </c>
      <c r="C2317" t="inlineStr">
        <is>
          <t>Аренда · Коммерческая · Бизнес</t>
        </is>
      </c>
      <c r="D2317" t="inlineStr">
        <is>
          <t>Стандарт, ₽/сут</t>
        </is>
      </c>
      <c r="E2317" t="n">
        <v>56</v>
      </c>
    </row>
    <row r="2318">
      <c r="A2318" t="inlineStr">
        <is>
          <t>CIAN</t>
        </is>
      </c>
      <c r="B2318" t="inlineStr">
        <is>
          <t>Екатеринбург</t>
        </is>
      </c>
      <c r="C2318" t="inlineStr">
        <is>
          <t>Аренда · Коммерческая · Бизнес</t>
        </is>
      </c>
      <c r="D2318" t="inlineStr">
        <is>
          <t>Публикация, ₽/30 дн</t>
        </is>
      </c>
      <c r="E2318" t="n">
        <v>1470</v>
      </c>
    </row>
    <row r="2319">
      <c r="A2319" t="inlineStr">
        <is>
          <t>CIAN</t>
        </is>
      </c>
      <c r="B2319" t="inlineStr">
        <is>
          <t>Екатеринбург</t>
        </is>
      </c>
      <c r="C2319" t="inlineStr">
        <is>
          <t>Аренда · Коммерческая · Бизнес</t>
        </is>
      </c>
      <c r="D2319" t="inlineStr">
        <is>
          <t>Топ, ₽/сут</t>
        </is>
      </c>
      <c r="E2319" t="n">
        <v>542</v>
      </c>
    </row>
    <row r="2320">
      <c r="A2320" t="inlineStr">
        <is>
          <t>CIAN</t>
        </is>
      </c>
      <c r="B2320" t="inlineStr">
        <is>
          <t>Екатеринбург</t>
        </is>
      </c>
      <c r="C2320" t="inlineStr">
        <is>
          <t>Аренда · Коммерческая · Бизнес</t>
        </is>
      </c>
      <c r="D2320" t="inlineStr">
        <is>
          <t>Премиум, ₽/сут</t>
        </is>
      </c>
      <c r="E2320" t="n">
        <v>267</v>
      </c>
    </row>
    <row r="2321">
      <c r="A2321" t="inlineStr">
        <is>
          <t>CIAN</t>
        </is>
      </c>
      <c r="B2321" t="inlineStr">
        <is>
          <t>Екатеринбург</t>
        </is>
      </c>
      <c r="C2321" t="inlineStr">
        <is>
          <t>Аренда · Коммерческая · Бизнес</t>
        </is>
      </c>
      <c r="D2321" t="inlineStr">
        <is>
          <t>Стандарт, ₽/сут</t>
        </is>
      </c>
      <c r="E2321" t="n">
        <v>105</v>
      </c>
    </row>
    <row r="2322">
      <c r="A2322" t="inlineStr">
        <is>
          <t>CIAN</t>
        </is>
      </c>
      <c r="B2322" t="inlineStr">
        <is>
          <t>Казань</t>
        </is>
      </c>
      <c r="C2322" t="inlineStr">
        <is>
          <t>Аренда · Коммерческая · Бизнес</t>
        </is>
      </c>
      <c r="D2322" t="inlineStr">
        <is>
          <t>Публикация, ₽/30 дн</t>
        </is>
      </c>
      <c r="E2322" t="n">
        <v>642</v>
      </c>
    </row>
    <row r="2323">
      <c r="A2323" t="inlineStr">
        <is>
          <t>CIAN</t>
        </is>
      </c>
      <c r="B2323" t="inlineStr">
        <is>
          <t>Казань</t>
        </is>
      </c>
      <c r="C2323" t="inlineStr">
        <is>
          <t>Аренда · Коммерческая · Бизнес</t>
        </is>
      </c>
      <c r="D2323" t="inlineStr">
        <is>
          <t>Топ, ₽/сут</t>
        </is>
      </c>
      <c r="E2323" t="n">
        <v>162</v>
      </c>
    </row>
    <row r="2324">
      <c r="A2324" t="inlineStr">
        <is>
          <t>CIAN</t>
        </is>
      </c>
      <c r="B2324" t="inlineStr">
        <is>
          <t>Казань</t>
        </is>
      </c>
      <c r="C2324" t="inlineStr">
        <is>
          <t>Аренда · Коммерческая · Бизнес</t>
        </is>
      </c>
      <c r="D2324" t="inlineStr">
        <is>
          <t>Премиум, ₽/сут</t>
        </is>
      </c>
      <c r="E2324" t="n">
        <v>71</v>
      </c>
    </row>
    <row r="2325">
      <c r="A2325" t="inlineStr">
        <is>
          <t>CIAN</t>
        </is>
      </c>
      <c r="B2325" t="inlineStr">
        <is>
          <t>Казань</t>
        </is>
      </c>
      <c r="C2325" t="inlineStr">
        <is>
          <t>Аренда · Коммерческая · Бизнес</t>
        </is>
      </c>
      <c r="D2325" t="inlineStr">
        <is>
          <t>Стандарт, ₽/сут</t>
        </is>
      </c>
      <c r="E2325" t="n">
        <v>23</v>
      </c>
    </row>
    <row r="2326">
      <c r="A2326" t="inlineStr">
        <is>
          <t>CIAN</t>
        </is>
      </c>
      <c r="B2326" t="inlineStr">
        <is>
          <t>Красноярск</t>
        </is>
      </c>
      <c r="C2326" t="inlineStr">
        <is>
          <t>Аренда · Коммерческая · Бизнес</t>
        </is>
      </c>
      <c r="D2326" t="inlineStr">
        <is>
          <t>Публикация, ₽/30 дн</t>
        </is>
      </c>
      <c r="E2326" t="n">
        <v>741</v>
      </c>
    </row>
    <row r="2327">
      <c r="A2327" t="inlineStr">
        <is>
          <t>CIAN</t>
        </is>
      </c>
      <c r="B2327" t="inlineStr">
        <is>
          <t>Красноярск</t>
        </is>
      </c>
      <c r="C2327" t="inlineStr">
        <is>
          <t>Аренда · Коммерческая · Бизнес</t>
        </is>
      </c>
      <c r="D2327" t="inlineStr">
        <is>
          <t>Топ, ₽/сут</t>
        </is>
      </c>
      <c r="E2327" t="inlineStr">
        <is>
          <t>—</t>
        </is>
      </c>
    </row>
    <row r="2328">
      <c r="A2328" t="inlineStr">
        <is>
          <t>CIAN</t>
        </is>
      </c>
      <c r="B2328" t="inlineStr">
        <is>
          <t>Красноярск</t>
        </is>
      </c>
      <c r="C2328" t="inlineStr">
        <is>
          <t>Аренда · Коммерческая · Бизнес</t>
        </is>
      </c>
      <c r="D2328" t="inlineStr">
        <is>
          <t>Премиум, ₽/сут</t>
        </is>
      </c>
      <c r="E2328" t="inlineStr">
        <is>
          <t>—</t>
        </is>
      </c>
    </row>
    <row r="2329">
      <c r="A2329" t="inlineStr">
        <is>
          <t>CIAN</t>
        </is>
      </c>
      <c r="B2329" t="inlineStr">
        <is>
          <t>Красноярск</t>
        </is>
      </c>
      <c r="C2329" t="inlineStr">
        <is>
          <t>Аренда · Коммерческая · Бизнес</t>
        </is>
      </c>
      <c r="D2329" t="inlineStr">
        <is>
          <t>Стандарт, ₽/сут</t>
        </is>
      </c>
      <c r="E2329" t="inlineStr">
        <is>
          <t>—</t>
        </is>
      </c>
    </row>
    <row r="2330">
      <c r="A2330" t="inlineStr">
        <is>
          <t>CIAN</t>
        </is>
      </c>
      <c r="B2330" t="inlineStr">
        <is>
          <t>Нижний Новгород</t>
        </is>
      </c>
      <c r="C2330" t="inlineStr">
        <is>
          <t>Аренда · Коммерческая · Бизнес</t>
        </is>
      </c>
      <c r="D2330" t="inlineStr">
        <is>
          <t>Публикация, ₽/30 дн</t>
        </is>
      </c>
      <c r="E2330" t="n">
        <v>330</v>
      </c>
    </row>
    <row r="2331">
      <c r="A2331" t="inlineStr">
        <is>
          <t>CIAN</t>
        </is>
      </c>
      <c r="B2331" t="inlineStr">
        <is>
          <t>Нижний Новгород</t>
        </is>
      </c>
      <c r="C2331" t="inlineStr">
        <is>
          <t>Аренда · Коммерческая · Бизнес</t>
        </is>
      </c>
      <c r="D2331" t="inlineStr">
        <is>
          <t>Топ, ₽/сут</t>
        </is>
      </c>
      <c r="E2331" t="n">
        <v>176</v>
      </c>
    </row>
    <row r="2332">
      <c r="A2332" t="inlineStr">
        <is>
          <t>CIAN</t>
        </is>
      </c>
      <c r="B2332" t="inlineStr">
        <is>
          <t>Нижний Новгород</t>
        </is>
      </c>
      <c r="C2332" t="inlineStr">
        <is>
          <t>Аренда · Коммерческая · Бизнес</t>
        </is>
      </c>
      <c r="D2332" t="inlineStr">
        <is>
          <t>Премиум, ₽/сут</t>
        </is>
      </c>
      <c r="E2332" t="n">
        <v>74</v>
      </c>
    </row>
    <row r="2333">
      <c r="A2333" t="inlineStr">
        <is>
          <t>CIAN</t>
        </is>
      </c>
      <c r="B2333" t="inlineStr">
        <is>
          <t>Нижний Новгород</t>
        </is>
      </c>
      <c r="C2333" t="inlineStr">
        <is>
          <t>Аренда · Коммерческая · Бизнес</t>
        </is>
      </c>
      <c r="D2333" t="inlineStr">
        <is>
          <t>Стандарт, ₽/сут</t>
        </is>
      </c>
      <c r="E2333" t="n">
        <v>23</v>
      </c>
    </row>
    <row r="2334">
      <c r="A2334" t="inlineStr">
        <is>
          <t>CIAN</t>
        </is>
      </c>
      <c r="B2334" t="inlineStr">
        <is>
          <t>Челябинск</t>
        </is>
      </c>
      <c r="C2334" t="inlineStr">
        <is>
          <t>Аренда · Коммерческая · Бизнес</t>
        </is>
      </c>
      <c r="D2334" t="inlineStr">
        <is>
          <t>Публикация, ₽/30 дн</t>
        </is>
      </c>
      <c r="E2334" t="n">
        <v>585</v>
      </c>
    </row>
    <row r="2335">
      <c r="A2335" t="inlineStr">
        <is>
          <t>CIAN</t>
        </is>
      </c>
      <c r="B2335" t="inlineStr">
        <is>
          <t>Челябинск</t>
        </is>
      </c>
      <c r="C2335" t="inlineStr">
        <is>
          <t>Аренда · Коммерческая · Бизнес</t>
        </is>
      </c>
      <c r="D2335" t="inlineStr">
        <is>
          <t>Топ, ₽/сут</t>
        </is>
      </c>
      <c r="E2335" t="n">
        <v>302</v>
      </c>
    </row>
    <row r="2336">
      <c r="A2336" t="inlineStr">
        <is>
          <t>CIAN</t>
        </is>
      </c>
      <c r="B2336" t="inlineStr">
        <is>
          <t>Челябинск</t>
        </is>
      </c>
      <c r="C2336" t="inlineStr">
        <is>
          <t>Аренда · Коммерческая · Бизнес</t>
        </is>
      </c>
      <c r="D2336" t="inlineStr">
        <is>
          <t>Премиум, ₽/сут</t>
        </is>
      </c>
      <c r="E2336" t="n">
        <v>137</v>
      </c>
    </row>
    <row r="2337">
      <c r="A2337" t="inlineStr">
        <is>
          <t>CIAN</t>
        </is>
      </c>
      <c r="B2337" t="inlineStr">
        <is>
          <t>Челябинск</t>
        </is>
      </c>
      <c r="C2337" t="inlineStr">
        <is>
          <t>Аренда · Коммерческая · Бизнес</t>
        </is>
      </c>
      <c r="D2337" t="inlineStr">
        <is>
          <t>Стандарт, ₽/сут</t>
        </is>
      </c>
      <c r="E2337" t="n">
        <v>41</v>
      </c>
    </row>
    <row r="2338">
      <c r="A2338" t="inlineStr">
        <is>
          <t>CIAN</t>
        </is>
      </c>
      <c r="B2338" t="inlineStr">
        <is>
          <t>Уфа</t>
        </is>
      </c>
      <c r="C2338" t="inlineStr">
        <is>
          <t>Аренда · Коммерческая · Бизнес</t>
        </is>
      </c>
      <c r="D2338" t="inlineStr">
        <is>
          <t>Публикация, ₽/30 дн</t>
        </is>
      </c>
      <c r="E2338" t="n">
        <v>648</v>
      </c>
    </row>
    <row r="2339">
      <c r="A2339" t="inlineStr">
        <is>
          <t>CIAN</t>
        </is>
      </c>
      <c r="B2339" t="inlineStr">
        <is>
          <t>Уфа</t>
        </is>
      </c>
      <c r="C2339" t="inlineStr">
        <is>
          <t>Аренда · Коммерческая · Бизнес</t>
        </is>
      </c>
      <c r="D2339" t="inlineStr">
        <is>
          <t>Топ, ₽/сут</t>
        </is>
      </c>
      <c r="E2339" t="n">
        <v>133</v>
      </c>
    </row>
    <row r="2340">
      <c r="A2340" t="inlineStr">
        <is>
          <t>CIAN</t>
        </is>
      </c>
      <c r="B2340" t="inlineStr">
        <is>
          <t>Уфа</t>
        </is>
      </c>
      <c r="C2340" t="inlineStr">
        <is>
          <t>Аренда · Коммерческая · Бизнес</t>
        </is>
      </c>
      <c r="D2340" t="inlineStr">
        <is>
          <t>Премиум, ₽/сут</t>
        </is>
      </c>
      <c r="E2340" t="n">
        <v>58</v>
      </c>
    </row>
    <row r="2341">
      <c r="A2341" t="inlineStr">
        <is>
          <t>CIAN</t>
        </is>
      </c>
      <c r="B2341" t="inlineStr">
        <is>
          <t>Уфа</t>
        </is>
      </c>
      <c r="C2341" t="inlineStr">
        <is>
          <t>Аренда · Коммерческая · Бизнес</t>
        </is>
      </c>
      <c r="D2341" t="inlineStr">
        <is>
          <t>Стандарт, ₽/сут</t>
        </is>
      </c>
      <c r="E2341" t="n">
        <v>18</v>
      </c>
    </row>
    <row r="2342">
      <c r="A2342" t="inlineStr">
        <is>
          <t>CIAN</t>
        </is>
      </c>
      <c r="B2342" t="inlineStr">
        <is>
          <t>Краснодар</t>
        </is>
      </c>
      <c r="C2342" t="inlineStr">
        <is>
          <t>Аренда · Коммерческая · Бизнес</t>
        </is>
      </c>
      <c r="D2342" t="inlineStr">
        <is>
          <t>Публикация, ₽/30 дн</t>
        </is>
      </c>
      <c r="E2342" t="n">
        <v>570</v>
      </c>
    </row>
    <row r="2343">
      <c r="A2343" t="inlineStr">
        <is>
          <t>CIAN</t>
        </is>
      </c>
      <c r="B2343" t="inlineStr">
        <is>
          <t>Краснодар</t>
        </is>
      </c>
      <c r="C2343" t="inlineStr">
        <is>
          <t>Аренда · Коммерческая · Бизнес</t>
        </is>
      </c>
      <c r="D2343" t="inlineStr">
        <is>
          <t>Топ, ₽/сут</t>
        </is>
      </c>
      <c r="E2343" t="n">
        <v>169</v>
      </c>
    </row>
    <row r="2344">
      <c r="A2344" t="inlineStr">
        <is>
          <t>CIAN</t>
        </is>
      </c>
      <c r="B2344" t="inlineStr">
        <is>
          <t>Краснодар</t>
        </is>
      </c>
      <c r="C2344" t="inlineStr">
        <is>
          <t>Аренда · Коммерческая · Бизнес</t>
        </is>
      </c>
      <c r="D2344" t="inlineStr">
        <is>
          <t>Премиум, ₽/сут</t>
        </is>
      </c>
      <c r="E2344" t="n">
        <v>70</v>
      </c>
    </row>
    <row r="2345">
      <c r="A2345" t="inlineStr">
        <is>
          <t>CIAN</t>
        </is>
      </c>
      <c r="B2345" t="inlineStr">
        <is>
          <t>Краснодар</t>
        </is>
      </c>
      <c r="C2345" t="inlineStr">
        <is>
          <t>Аренда · Коммерческая · Бизнес</t>
        </is>
      </c>
      <c r="D2345" t="inlineStr">
        <is>
          <t>Стандарт, ₽/сут</t>
        </is>
      </c>
      <c r="E2345" t="n">
        <v>40</v>
      </c>
    </row>
    <row r="2346">
      <c r="A2346" t="inlineStr">
        <is>
          <t>CIAN</t>
        </is>
      </c>
      <c r="B2346" t="inlineStr">
        <is>
          <t>Самара</t>
        </is>
      </c>
      <c r="C2346" t="inlineStr">
        <is>
          <t>Аренда · Коммерческая · Бизнес</t>
        </is>
      </c>
      <c r="D2346" t="inlineStr">
        <is>
          <t>Публикация, ₽/30 дн</t>
        </is>
      </c>
      <c r="E2346" t="n">
        <v>372</v>
      </c>
    </row>
    <row r="2347">
      <c r="A2347" t="inlineStr">
        <is>
          <t>CIAN</t>
        </is>
      </c>
      <c r="B2347" t="inlineStr">
        <is>
          <t>Самара</t>
        </is>
      </c>
      <c r="C2347" t="inlineStr">
        <is>
          <t>Аренда · Коммерческая · Бизнес</t>
        </is>
      </c>
      <c r="D2347" t="inlineStr">
        <is>
          <t>Топ, ₽/сут</t>
        </is>
      </c>
      <c r="E2347" t="inlineStr">
        <is>
          <t>—</t>
        </is>
      </c>
    </row>
    <row r="2348">
      <c r="A2348" t="inlineStr">
        <is>
          <t>CIAN</t>
        </is>
      </c>
      <c r="B2348" t="inlineStr">
        <is>
          <t>Самара</t>
        </is>
      </c>
      <c r="C2348" t="inlineStr">
        <is>
          <t>Аренда · Коммерческая · Бизнес</t>
        </is>
      </c>
      <c r="D2348" t="inlineStr">
        <is>
          <t>Премиум, ₽/сут</t>
        </is>
      </c>
      <c r="E2348" t="inlineStr">
        <is>
          <t>—</t>
        </is>
      </c>
    </row>
    <row r="2349">
      <c r="A2349" t="inlineStr">
        <is>
          <t>CIAN</t>
        </is>
      </c>
      <c r="B2349" t="inlineStr">
        <is>
          <t>Самара</t>
        </is>
      </c>
      <c r="C2349" t="inlineStr">
        <is>
          <t>Аренда · Коммерческая · Бизнес</t>
        </is>
      </c>
      <c r="D2349" t="inlineStr">
        <is>
          <t>Стандарт, ₽/сут</t>
        </is>
      </c>
      <c r="E2349" t="inlineStr">
        <is>
          <t>—</t>
        </is>
      </c>
    </row>
    <row r="2350">
      <c r="A2350" t="inlineStr">
        <is>
          <t>CIAN</t>
        </is>
      </c>
      <c r="B2350" t="inlineStr">
        <is>
          <t>Ростов-на-Дону</t>
        </is>
      </c>
      <c r="C2350" t="inlineStr">
        <is>
          <t>Аренда · Коммерческая · Бизнес</t>
        </is>
      </c>
      <c r="D2350" t="inlineStr">
        <is>
          <t>Публикация, ₽/30 дн</t>
        </is>
      </c>
      <c r="E2350" t="n">
        <v>513</v>
      </c>
    </row>
    <row r="2351">
      <c r="A2351" t="inlineStr">
        <is>
          <t>CIAN</t>
        </is>
      </c>
      <c r="B2351" t="inlineStr">
        <is>
          <t>Ростов-на-Дону</t>
        </is>
      </c>
      <c r="C2351" t="inlineStr">
        <is>
          <t>Аренда · Коммерческая · Бизнес</t>
        </is>
      </c>
      <c r="D2351" t="inlineStr">
        <is>
          <t>Топ, ₽/сут</t>
        </is>
      </c>
      <c r="E2351" t="n">
        <v>150</v>
      </c>
    </row>
    <row r="2352">
      <c r="A2352" t="inlineStr">
        <is>
          <t>CIAN</t>
        </is>
      </c>
      <c r="B2352" t="inlineStr">
        <is>
          <t>Ростов-на-Дону</t>
        </is>
      </c>
      <c r="C2352" t="inlineStr">
        <is>
          <t>Аренда · Коммерческая · Бизнес</t>
        </is>
      </c>
      <c r="D2352" t="inlineStr">
        <is>
          <t>Премиум, ₽/сут</t>
        </is>
      </c>
      <c r="E2352" t="n">
        <v>62</v>
      </c>
    </row>
    <row r="2353">
      <c r="A2353" t="inlineStr">
        <is>
          <t>CIAN</t>
        </is>
      </c>
      <c r="B2353" t="inlineStr">
        <is>
          <t>Ростов-на-Дону</t>
        </is>
      </c>
      <c r="C2353" t="inlineStr">
        <is>
          <t>Аренда · Коммерческая · Бизнес</t>
        </is>
      </c>
      <c r="D2353" t="inlineStr">
        <is>
          <t>Стандарт, ₽/сут</t>
        </is>
      </c>
      <c r="E2353" t="n">
        <v>20</v>
      </c>
    </row>
    <row r="2354">
      <c r="A2354" t="inlineStr">
        <is>
          <t>CIAN</t>
        </is>
      </c>
      <c r="B2354" t="inlineStr">
        <is>
          <t>Омск</t>
        </is>
      </c>
      <c r="C2354" t="inlineStr">
        <is>
          <t>Аренда · Коммерческая · Бизнес</t>
        </is>
      </c>
      <c r="D2354" t="inlineStr">
        <is>
          <t>Публикация, ₽/30 дн</t>
        </is>
      </c>
      <c r="E2354" t="n">
        <v>642</v>
      </c>
    </row>
    <row r="2355">
      <c r="A2355" t="inlineStr">
        <is>
          <t>CIAN</t>
        </is>
      </c>
      <c r="B2355" t="inlineStr">
        <is>
          <t>Омск</t>
        </is>
      </c>
      <c r="C2355" t="inlineStr">
        <is>
          <t>Аренда · Коммерческая · Бизнес</t>
        </is>
      </c>
      <c r="D2355" t="inlineStr">
        <is>
          <t>Топ, ₽/сут</t>
        </is>
      </c>
      <c r="E2355" t="n">
        <v>223</v>
      </c>
    </row>
    <row r="2356">
      <c r="A2356" t="inlineStr">
        <is>
          <t>CIAN</t>
        </is>
      </c>
      <c r="B2356" t="inlineStr">
        <is>
          <t>Омск</t>
        </is>
      </c>
      <c r="C2356" t="inlineStr">
        <is>
          <t>Аренда · Коммерческая · Бизнес</t>
        </is>
      </c>
      <c r="D2356" t="inlineStr">
        <is>
          <t>Премиум, ₽/сут</t>
        </is>
      </c>
      <c r="E2356" t="n">
        <v>120</v>
      </c>
    </row>
    <row r="2357">
      <c r="A2357" t="inlineStr">
        <is>
          <t>CIAN</t>
        </is>
      </c>
      <c r="B2357" t="inlineStr">
        <is>
          <t>Омск</t>
        </is>
      </c>
      <c r="C2357" t="inlineStr">
        <is>
          <t>Аренда · Коммерческая · Бизнес</t>
        </is>
      </c>
      <c r="D2357" t="inlineStr">
        <is>
          <t>Стандарт, ₽/сут</t>
        </is>
      </c>
      <c r="E2357" t="n">
        <v>38</v>
      </c>
    </row>
    <row r="2358">
      <c r="A2358" t="inlineStr">
        <is>
          <t>CIAN</t>
        </is>
      </c>
      <c r="B2358" t="inlineStr">
        <is>
          <t>Воронеж</t>
        </is>
      </c>
      <c r="C2358" t="inlineStr">
        <is>
          <t>Аренда · Коммерческая · Бизнес</t>
        </is>
      </c>
      <c r="D2358" t="inlineStr">
        <is>
          <t>Публикация, ₽/30 дн</t>
        </is>
      </c>
      <c r="E2358" t="n">
        <v>174</v>
      </c>
    </row>
    <row r="2359">
      <c r="A2359" t="inlineStr">
        <is>
          <t>CIAN</t>
        </is>
      </c>
      <c r="B2359" t="inlineStr">
        <is>
          <t>Воронеж</t>
        </is>
      </c>
      <c r="C2359" t="inlineStr">
        <is>
          <t>Аренда · Коммерческая · Бизнес</t>
        </is>
      </c>
      <c r="D2359" t="inlineStr">
        <is>
          <t>Топ, ₽/сут</t>
        </is>
      </c>
      <c r="E2359" t="inlineStr">
        <is>
          <t>—</t>
        </is>
      </c>
    </row>
    <row r="2360">
      <c r="A2360" t="inlineStr">
        <is>
          <t>CIAN</t>
        </is>
      </c>
      <c r="B2360" t="inlineStr">
        <is>
          <t>Воронеж</t>
        </is>
      </c>
      <c r="C2360" t="inlineStr">
        <is>
          <t>Аренда · Коммерческая · Бизнес</t>
        </is>
      </c>
      <c r="D2360" t="inlineStr">
        <is>
          <t>Премиум, ₽/сут</t>
        </is>
      </c>
      <c r="E2360" t="inlineStr">
        <is>
          <t>—</t>
        </is>
      </c>
    </row>
    <row r="2361">
      <c r="A2361" t="inlineStr">
        <is>
          <t>CIAN</t>
        </is>
      </c>
      <c r="B2361" t="inlineStr">
        <is>
          <t>Воронеж</t>
        </is>
      </c>
      <c r="C2361" t="inlineStr">
        <is>
          <t>Аренда · Коммерческая · Бизнес</t>
        </is>
      </c>
      <c r="D2361" t="inlineStr">
        <is>
          <t>Стандарт, ₽/сут</t>
        </is>
      </c>
      <c r="E2361" t="inlineStr">
        <is>
          <t>—</t>
        </is>
      </c>
    </row>
    <row r="2362">
      <c r="A2362" t="inlineStr">
        <is>
          <t>CIAN</t>
        </is>
      </c>
      <c r="B2362" t="inlineStr">
        <is>
          <t>Пермь</t>
        </is>
      </c>
      <c r="C2362" t="inlineStr">
        <is>
          <t>Аренда · Коммерческая · Бизнес</t>
        </is>
      </c>
      <c r="D2362" t="inlineStr">
        <is>
          <t>Публикация, ₽/30 дн</t>
        </is>
      </c>
      <c r="E2362" t="n">
        <v>108</v>
      </c>
    </row>
    <row r="2363">
      <c r="A2363" t="inlineStr">
        <is>
          <t>CIAN</t>
        </is>
      </c>
      <c r="B2363" t="inlineStr">
        <is>
          <t>Пермь</t>
        </is>
      </c>
      <c r="C2363" t="inlineStr">
        <is>
          <t>Аренда · Коммерческая · Бизнес</t>
        </is>
      </c>
      <c r="D2363" t="inlineStr">
        <is>
          <t>Топ, ₽/сут</t>
        </is>
      </c>
      <c r="E2363" t="inlineStr">
        <is>
          <t>—</t>
        </is>
      </c>
    </row>
    <row r="2364">
      <c r="A2364" t="inlineStr">
        <is>
          <t>CIAN</t>
        </is>
      </c>
      <c r="B2364" t="inlineStr">
        <is>
          <t>Пермь</t>
        </is>
      </c>
      <c r="C2364" t="inlineStr">
        <is>
          <t>Аренда · Коммерческая · Бизнес</t>
        </is>
      </c>
      <c r="D2364" t="inlineStr">
        <is>
          <t>Премиум, ₽/сут</t>
        </is>
      </c>
      <c r="E2364" t="inlineStr">
        <is>
          <t>—</t>
        </is>
      </c>
    </row>
    <row r="2365">
      <c r="A2365" t="inlineStr">
        <is>
          <t>CIAN</t>
        </is>
      </c>
      <c r="B2365" t="inlineStr">
        <is>
          <t>Пермь</t>
        </is>
      </c>
      <c r="C2365" t="inlineStr">
        <is>
          <t>Аренда · Коммерческая · Бизнес</t>
        </is>
      </c>
      <c r="D2365" t="inlineStr">
        <is>
          <t>Стандарт, ₽/сут</t>
        </is>
      </c>
      <c r="E2365" t="inlineStr">
        <is>
          <t>—</t>
        </is>
      </c>
    </row>
    <row r="2366">
      <c r="A2366" t="inlineStr">
        <is>
          <t>CIAN</t>
        </is>
      </c>
      <c r="B2366" t="inlineStr">
        <is>
          <t>Волгоград</t>
        </is>
      </c>
      <c r="C2366" t="inlineStr">
        <is>
          <t>Аренда · Коммерческая · Бизнес</t>
        </is>
      </c>
      <c r="D2366" t="inlineStr">
        <is>
          <t>Публикация, ₽/30 дн</t>
        </is>
      </c>
      <c r="E2366" t="n">
        <v>234</v>
      </c>
    </row>
    <row r="2367">
      <c r="A2367" t="inlineStr">
        <is>
          <t>CIAN</t>
        </is>
      </c>
      <c r="B2367" t="inlineStr">
        <is>
          <t>Волгоград</t>
        </is>
      </c>
      <c r="C2367" t="inlineStr">
        <is>
          <t>Аренда · Коммерческая · Бизнес</t>
        </is>
      </c>
      <c r="D2367" t="inlineStr">
        <is>
          <t>Топ, ₽/сут</t>
        </is>
      </c>
      <c r="E2367" t="inlineStr">
        <is>
          <t>—</t>
        </is>
      </c>
    </row>
    <row r="2368">
      <c r="A2368" t="inlineStr">
        <is>
          <t>CIAN</t>
        </is>
      </c>
      <c r="B2368" t="inlineStr">
        <is>
          <t>Волгоград</t>
        </is>
      </c>
      <c r="C2368" t="inlineStr">
        <is>
          <t>Аренда · Коммерческая · Бизнес</t>
        </is>
      </c>
      <c r="D2368" t="inlineStr">
        <is>
          <t>Премиум, ₽/сут</t>
        </is>
      </c>
      <c r="E2368" t="inlineStr">
        <is>
          <t>—</t>
        </is>
      </c>
    </row>
    <row r="2369">
      <c r="A2369" t="inlineStr">
        <is>
          <t>CIAN</t>
        </is>
      </c>
      <c r="B2369" t="inlineStr">
        <is>
          <t>Волгоград</t>
        </is>
      </c>
      <c r="C2369" t="inlineStr">
        <is>
          <t>Аренда · Коммерческая · Бизнес</t>
        </is>
      </c>
      <c r="D2369" t="inlineStr">
        <is>
          <t>Стандарт, ₽/сут</t>
        </is>
      </c>
      <c r="E2369" t="inlineStr">
        <is>
          <t>—</t>
        </is>
      </c>
    </row>
    <row r="2370">
      <c r="A2370" t="inlineStr">
        <is>
          <t>CIAN</t>
        </is>
      </c>
      <c r="B2370" t="inlineStr">
        <is>
          <t>Москва</t>
        </is>
      </c>
      <c r="C2370" t="inlineStr">
        <is>
          <t>Аренда · Коммерческая · Коммерческая земля</t>
        </is>
      </c>
      <c r="D2370" t="inlineStr">
        <is>
          <t>Публикация, ₽/30 дн</t>
        </is>
      </c>
      <c r="E2370" t="n">
        <v>1413</v>
      </c>
    </row>
    <row r="2371">
      <c r="A2371" t="inlineStr">
        <is>
          <t>CIAN</t>
        </is>
      </c>
      <c r="B2371" t="inlineStr">
        <is>
          <t>Москва</t>
        </is>
      </c>
      <c r="C2371" t="inlineStr">
        <is>
          <t>Аренда · Коммерческая · Коммерческая земля</t>
        </is>
      </c>
      <c r="D2371" t="inlineStr">
        <is>
          <t>Топ, ₽/сут</t>
        </is>
      </c>
      <c r="E2371" t="n">
        <v>889</v>
      </c>
    </row>
    <row r="2372">
      <c r="A2372" t="inlineStr">
        <is>
          <t>CIAN</t>
        </is>
      </c>
      <c r="B2372" t="inlineStr">
        <is>
          <t>Москва</t>
        </is>
      </c>
      <c r="C2372" t="inlineStr">
        <is>
          <t>Аренда · Коммерческая · Коммерческая земля</t>
        </is>
      </c>
      <c r="D2372" t="inlineStr">
        <is>
          <t>Премиум, ₽/сут</t>
        </is>
      </c>
      <c r="E2372" t="n">
        <v>351</v>
      </c>
    </row>
    <row r="2373">
      <c r="A2373" t="inlineStr">
        <is>
          <t>CIAN</t>
        </is>
      </c>
      <c r="B2373" t="inlineStr">
        <is>
          <t>Москва</t>
        </is>
      </c>
      <c r="C2373" t="inlineStr">
        <is>
          <t>Аренда · Коммерческая · Коммерческая земля</t>
        </is>
      </c>
      <c r="D2373" t="inlineStr">
        <is>
          <t>Стандарт, ₽/сут</t>
        </is>
      </c>
      <c r="E2373" t="n">
        <v>105</v>
      </c>
    </row>
    <row r="2374">
      <c r="A2374" t="inlineStr">
        <is>
          <t>CIAN</t>
        </is>
      </c>
      <c r="B2374" t="inlineStr">
        <is>
          <t>Санкт-Петербург</t>
        </is>
      </c>
      <c r="C2374" t="inlineStr">
        <is>
          <t>Аренда · Коммерческая · Коммерческая земля</t>
        </is>
      </c>
      <c r="D2374" t="inlineStr">
        <is>
          <t>Публикация, ₽/30 дн</t>
        </is>
      </c>
      <c r="E2374" t="n">
        <v>255</v>
      </c>
    </row>
    <row r="2375">
      <c r="A2375" t="inlineStr">
        <is>
          <t>CIAN</t>
        </is>
      </c>
      <c r="B2375" t="inlineStr">
        <is>
          <t>Санкт-Петербург</t>
        </is>
      </c>
      <c r="C2375" t="inlineStr">
        <is>
          <t>Аренда · Коммерческая · Коммерческая земля</t>
        </is>
      </c>
      <c r="D2375" t="inlineStr">
        <is>
          <t>Топ, ₽/сут</t>
        </is>
      </c>
      <c r="E2375" t="n">
        <v>635</v>
      </c>
    </row>
    <row r="2376">
      <c r="A2376" t="inlineStr">
        <is>
          <t>CIAN</t>
        </is>
      </c>
      <c r="B2376" t="inlineStr">
        <is>
          <t>Санкт-Петербург</t>
        </is>
      </c>
      <c r="C2376" t="inlineStr">
        <is>
          <t>Аренда · Коммерческая · Коммерческая земля</t>
        </is>
      </c>
      <c r="D2376" t="inlineStr">
        <is>
          <t>Премиум, ₽/сут</t>
        </is>
      </c>
      <c r="E2376" t="n">
        <v>281</v>
      </c>
    </row>
    <row r="2377">
      <c r="A2377" t="inlineStr">
        <is>
          <t>CIAN</t>
        </is>
      </c>
      <c r="B2377" t="inlineStr">
        <is>
          <t>Санкт-Петербург</t>
        </is>
      </c>
      <c r="C2377" t="inlineStr">
        <is>
          <t>Аренда · Коммерческая · Коммерческая земля</t>
        </is>
      </c>
      <c r="D2377" t="inlineStr">
        <is>
          <t>Стандарт, ₽/сут</t>
        </is>
      </c>
      <c r="E2377" t="n">
        <v>86</v>
      </c>
    </row>
    <row r="2378">
      <c r="A2378" t="inlineStr">
        <is>
          <t>CIAN</t>
        </is>
      </c>
      <c r="B2378" t="inlineStr">
        <is>
          <t>Новосибирск</t>
        </is>
      </c>
      <c r="C2378" t="inlineStr">
        <is>
          <t>Аренда · Коммерческая · Коммерческая земля</t>
        </is>
      </c>
      <c r="D2378" t="inlineStr">
        <is>
          <t>Публикация, ₽/30 дн</t>
        </is>
      </c>
      <c r="E2378" t="n">
        <v>324</v>
      </c>
    </row>
    <row r="2379">
      <c r="A2379" t="inlineStr">
        <is>
          <t>CIAN</t>
        </is>
      </c>
      <c r="B2379" t="inlineStr">
        <is>
          <t>Новосибирск</t>
        </is>
      </c>
      <c r="C2379" t="inlineStr">
        <is>
          <t>Аренда · Коммерческая · Коммерческая земля</t>
        </is>
      </c>
      <c r="D2379" t="inlineStr">
        <is>
          <t>Топ, ₽/сут</t>
        </is>
      </c>
      <c r="E2379" t="n">
        <v>319</v>
      </c>
    </row>
    <row r="2380">
      <c r="A2380" t="inlineStr">
        <is>
          <t>CIAN</t>
        </is>
      </c>
      <c r="B2380" t="inlineStr">
        <is>
          <t>Новосибирск</t>
        </is>
      </c>
      <c r="C2380" t="inlineStr">
        <is>
          <t>Аренда · Коммерческая · Коммерческая земля</t>
        </is>
      </c>
      <c r="D2380" t="inlineStr">
        <is>
          <t>Премиум, ₽/сут</t>
        </is>
      </c>
      <c r="E2380" t="n">
        <v>150</v>
      </c>
    </row>
    <row r="2381">
      <c r="A2381" t="inlineStr">
        <is>
          <t>CIAN</t>
        </is>
      </c>
      <c r="B2381" t="inlineStr">
        <is>
          <t>Новосибирск</t>
        </is>
      </c>
      <c r="C2381" t="inlineStr">
        <is>
          <t>Аренда · Коммерческая · Коммерческая земля</t>
        </is>
      </c>
      <c r="D2381" t="inlineStr">
        <is>
          <t>Стандарт, ₽/сут</t>
        </is>
      </c>
      <c r="E2381" t="n">
        <v>45</v>
      </c>
    </row>
    <row r="2382">
      <c r="A2382" t="inlineStr">
        <is>
          <t>CIAN</t>
        </is>
      </c>
      <c r="B2382" t="inlineStr">
        <is>
          <t>Екатеринбург</t>
        </is>
      </c>
      <c r="C2382" t="inlineStr">
        <is>
          <t>Аренда · Коммерческая · Коммерческая земля</t>
        </is>
      </c>
      <c r="D2382" t="inlineStr">
        <is>
          <t>Публикация, ₽/30 дн</t>
        </is>
      </c>
      <c r="E2382" t="n">
        <v>204</v>
      </c>
    </row>
    <row r="2383">
      <c r="A2383" t="inlineStr">
        <is>
          <t>CIAN</t>
        </is>
      </c>
      <c r="B2383" t="inlineStr">
        <is>
          <t>Екатеринбург</t>
        </is>
      </c>
      <c r="C2383" t="inlineStr">
        <is>
          <t>Аренда · Коммерческая · Коммерческая земля</t>
        </is>
      </c>
      <c r="D2383" t="inlineStr">
        <is>
          <t>Топ, ₽/сут</t>
        </is>
      </c>
      <c r="E2383" t="n">
        <v>437</v>
      </c>
    </row>
    <row r="2384">
      <c r="A2384" t="inlineStr">
        <is>
          <t>CIAN</t>
        </is>
      </c>
      <c r="B2384" t="inlineStr">
        <is>
          <t>Екатеринбург</t>
        </is>
      </c>
      <c r="C2384" t="inlineStr">
        <is>
          <t>Аренда · Коммерческая · Коммерческая земля</t>
        </is>
      </c>
      <c r="D2384" t="inlineStr">
        <is>
          <t>Премиум, ₽/сут</t>
        </is>
      </c>
      <c r="E2384" t="n">
        <v>233</v>
      </c>
    </row>
    <row r="2385">
      <c r="A2385" t="inlineStr">
        <is>
          <t>CIAN</t>
        </is>
      </c>
      <c r="B2385" t="inlineStr">
        <is>
          <t>Екатеринбург</t>
        </is>
      </c>
      <c r="C2385" t="inlineStr">
        <is>
          <t>Аренда · Коммерческая · Коммерческая земля</t>
        </is>
      </c>
      <c r="D2385" t="inlineStr">
        <is>
          <t>Стандарт, ₽/сут</t>
        </is>
      </c>
      <c r="E2385" t="n">
        <v>72</v>
      </c>
    </row>
    <row r="2386">
      <c r="A2386" t="inlineStr">
        <is>
          <t>CIAN</t>
        </is>
      </c>
      <c r="B2386" t="inlineStr">
        <is>
          <t>Казань</t>
        </is>
      </c>
      <c r="C2386" t="inlineStr">
        <is>
          <t>Аренда · Коммерческая · Коммерческая земля</t>
        </is>
      </c>
      <c r="D2386" t="inlineStr">
        <is>
          <t>Публикация, ₽/30 дн</t>
        </is>
      </c>
      <c r="E2386" t="n">
        <v>81</v>
      </c>
    </row>
    <row r="2387">
      <c r="A2387" t="inlineStr">
        <is>
          <t>CIAN</t>
        </is>
      </c>
      <c r="B2387" t="inlineStr">
        <is>
          <t>Казань</t>
        </is>
      </c>
      <c r="C2387" t="inlineStr">
        <is>
          <t>Аренда · Коммерческая · Коммерческая земля</t>
        </is>
      </c>
      <c r="D2387" t="inlineStr">
        <is>
          <t>Топ, ₽/сут</t>
        </is>
      </c>
      <c r="E2387" t="n">
        <v>134</v>
      </c>
    </row>
    <row r="2388">
      <c r="A2388" t="inlineStr">
        <is>
          <t>CIAN</t>
        </is>
      </c>
      <c r="B2388" t="inlineStr">
        <is>
          <t>Казань</t>
        </is>
      </c>
      <c r="C2388" t="inlineStr">
        <is>
          <t>Аренда · Коммерческая · Коммерческая земля</t>
        </is>
      </c>
      <c r="D2388" t="inlineStr">
        <is>
          <t>Премиум, ₽/сут</t>
        </is>
      </c>
      <c r="E2388" t="n">
        <v>58</v>
      </c>
    </row>
    <row r="2389">
      <c r="A2389" t="inlineStr">
        <is>
          <t>CIAN</t>
        </is>
      </c>
      <c r="B2389" t="inlineStr">
        <is>
          <t>Казань</t>
        </is>
      </c>
      <c r="C2389" t="inlineStr">
        <is>
          <t>Аренда · Коммерческая · Коммерческая земля</t>
        </is>
      </c>
      <c r="D2389" t="inlineStr">
        <is>
          <t>Стандарт, ₽/сут</t>
        </is>
      </c>
      <c r="E2389" t="n">
        <v>18</v>
      </c>
    </row>
    <row r="2390">
      <c r="A2390" t="inlineStr">
        <is>
          <t>CIAN</t>
        </is>
      </c>
      <c r="B2390" t="inlineStr">
        <is>
          <t>Красноярск</t>
        </is>
      </c>
      <c r="C2390" t="inlineStr">
        <is>
          <t>Аренда · Коммерческая · Коммерческая земля</t>
        </is>
      </c>
      <c r="D2390" t="inlineStr">
        <is>
          <t>Публикация, ₽/30 дн</t>
        </is>
      </c>
      <c r="E2390" t="n">
        <v>108</v>
      </c>
    </row>
    <row r="2391">
      <c r="A2391" t="inlineStr">
        <is>
          <t>CIAN</t>
        </is>
      </c>
      <c r="B2391" t="inlineStr">
        <is>
          <t>Красноярск</t>
        </is>
      </c>
      <c r="C2391" t="inlineStr">
        <is>
          <t>Аренда · Коммерческая · Коммерческая земля</t>
        </is>
      </c>
      <c r="D2391" t="inlineStr">
        <is>
          <t>Топ, ₽/сут</t>
        </is>
      </c>
      <c r="E2391" t="inlineStr">
        <is>
          <t>—</t>
        </is>
      </c>
    </row>
    <row r="2392">
      <c r="A2392" t="inlineStr">
        <is>
          <t>CIAN</t>
        </is>
      </c>
      <c r="B2392" t="inlineStr">
        <is>
          <t>Красноярск</t>
        </is>
      </c>
      <c r="C2392" t="inlineStr">
        <is>
          <t>Аренда · Коммерческая · Коммерческая земля</t>
        </is>
      </c>
      <c r="D2392" t="inlineStr">
        <is>
          <t>Премиум, ₽/сут</t>
        </is>
      </c>
      <c r="E2392" t="inlineStr">
        <is>
          <t>—</t>
        </is>
      </c>
    </row>
    <row r="2393">
      <c r="A2393" t="inlineStr">
        <is>
          <t>CIAN</t>
        </is>
      </c>
      <c r="B2393" t="inlineStr">
        <is>
          <t>Красноярск</t>
        </is>
      </c>
      <c r="C2393" t="inlineStr">
        <is>
          <t>Аренда · Коммерческая · Коммерческая земля</t>
        </is>
      </c>
      <c r="D2393" t="inlineStr">
        <is>
          <t>Стандарт, ₽/сут</t>
        </is>
      </c>
      <c r="E2393" t="inlineStr">
        <is>
          <t>—</t>
        </is>
      </c>
    </row>
    <row r="2394">
      <c r="A2394" t="inlineStr">
        <is>
          <t>CIAN</t>
        </is>
      </c>
      <c r="B2394" t="inlineStr">
        <is>
          <t>Нижний Новгород</t>
        </is>
      </c>
      <c r="C2394" t="inlineStr">
        <is>
          <t>Аренда · Коммерческая · Коммерческая земля</t>
        </is>
      </c>
      <c r="D2394" t="inlineStr">
        <is>
          <t>Публикация, ₽/30 дн</t>
        </is>
      </c>
      <c r="E2394" t="n">
        <v>90</v>
      </c>
    </row>
    <row r="2395">
      <c r="A2395" t="inlineStr">
        <is>
          <t>CIAN</t>
        </is>
      </c>
      <c r="B2395" t="inlineStr">
        <is>
          <t>Нижний Новгород</t>
        </is>
      </c>
      <c r="C2395" t="inlineStr">
        <is>
          <t>Аренда · Коммерческая · Коммерческая земля</t>
        </is>
      </c>
      <c r="D2395" t="inlineStr">
        <is>
          <t>Топ, ₽/сут</t>
        </is>
      </c>
      <c r="E2395" t="n">
        <v>142</v>
      </c>
    </row>
    <row r="2396">
      <c r="A2396" t="inlineStr">
        <is>
          <t>CIAN</t>
        </is>
      </c>
      <c r="B2396" t="inlineStr">
        <is>
          <t>Нижний Новгород</t>
        </is>
      </c>
      <c r="C2396" t="inlineStr">
        <is>
          <t>Аренда · Коммерческая · Коммерческая земля</t>
        </is>
      </c>
      <c r="D2396" t="inlineStr">
        <is>
          <t>Премиум, ₽/сут</t>
        </is>
      </c>
      <c r="E2396" t="n">
        <v>65</v>
      </c>
    </row>
    <row r="2397">
      <c r="A2397" t="inlineStr">
        <is>
          <t>CIAN</t>
        </is>
      </c>
      <c r="B2397" t="inlineStr">
        <is>
          <t>Нижний Новгород</t>
        </is>
      </c>
      <c r="C2397" t="inlineStr">
        <is>
          <t>Аренда · Коммерческая · Коммерческая земля</t>
        </is>
      </c>
      <c r="D2397" t="inlineStr">
        <is>
          <t>Стандарт, ₽/сут</t>
        </is>
      </c>
      <c r="E2397" t="n">
        <v>20</v>
      </c>
    </row>
    <row r="2398">
      <c r="A2398" t="inlineStr">
        <is>
          <t>CIAN</t>
        </is>
      </c>
      <c r="B2398" t="inlineStr">
        <is>
          <t>Челябинск</t>
        </is>
      </c>
      <c r="C2398" t="inlineStr">
        <is>
          <t>Аренда · Коммерческая · Коммерческая земля</t>
        </is>
      </c>
      <c r="D2398" t="inlineStr">
        <is>
          <t>Публикация, ₽/30 дн</t>
        </is>
      </c>
      <c r="E2398" t="n">
        <v>81</v>
      </c>
    </row>
    <row r="2399">
      <c r="A2399" t="inlineStr">
        <is>
          <t>CIAN</t>
        </is>
      </c>
      <c r="B2399" t="inlineStr">
        <is>
          <t>Челябинск</t>
        </is>
      </c>
      <c r="C2399" t="inlineStr">
        <is>
          <t>Аренда · Коммерческая · Коммерческая земля</t>
        </is>
      </c>
      <c r="D2399" t="inlineStr">
        <is>
          <t>Топ, ₽/сут</t>
        </is>
      </c>
      <c r="E2399" t="n">
        <v>220</v>
      </c>
    </row>
    <row r="2400">
      <c r="A2400" t="inlineStr">
        <is>
          <t>CIAN</t>
        </is>
      </c>
      <c r="B2400" t="inlineStr">
        <is>
          <t>Челябинск</t>
        </is>
      </c>
      <c r="C2400" t="inlineStr">
        <is>
          <t>Аренда · Коммерческая · Коммерческая земля</t>
        </is>
      </c>
      <c r="D2400" t="inlineStr">
        <is>
          <t>Премиум, ₽/сут</t>
        </is>
      </c>
      <c r="E2400" t="n">
        <v>108</v>
      </c>
    </row>
    <row r="2401">
      <c r="A2401" t="inlineStr">
        <is>
          <t>CIAN</t>
        </is>
      </c>
      <c r="B2401" t="inlineStr">
        <is>
          <t>Челябинск</t>
        </is>
      </c>
      <c r="C2401" t="inlineStr">
        <is>
          <t>Аренда · Коммерческая · Коммерческая земля</t>
        </is>
      </c>
      <c r="D2401" t="inlineStr">
        <is>
          <t>Стандарт, ₽/сут</t>
        </is>
      </c>
      <c r="E2401" t="n">
        <v>32</v>
      </c>
    </row>
    <row r="2402">
      <c r="A2402" t="inlineStr">
        <is>
          <t>CIAN</t>
        </is>
      </c>
      <c r="B2402" t="inlineStr">
        <is>
          <t>Уфа</t>
        </is>
      </c>
      <c r="C2402" t="inlineStr">
        <is>
          <t>Аренда · Коммерческая · Коммерческая земля</t>
        </is>
      </c>
      <c r="D2402" t="inlineStr">
        <is>
          <t>Публикация, ₽/30 дн</t>
        </is>
      </c>
      <c r="E2402" t="n">
        <v>90</v>
      </c>
    </row>
    <row r="2403">
      <c r="A2403" t="inlineStr">
        <is>
          <t>CIAN</t>
        </is>
      </c>
      <c r="B2403" t="inlineStr">
        <is>
          <t>Уфа</t>
        </is>
      </c>
      <c r="C2403" t="inlineStr">
        <is>
          <t>Аренда · Коммерческая · Коммерческая земля</t>
        </is>
      </c>
      <c r="D2403" t="inlineStr">
        <is>
          <t>Топ, ₽/сут</t>
        </is>
      </c>
      <c r="E2403" t="n">
        <v>109</v>
      </c>
    </row>
    <row r="2404">
      <c r="A2404" t="inlineStr">
        <is>
          <t>CIAN</t>
        </is>
      </c>
      <c r="B2404" t="inlineStr">
        <is>
          <t>Уфа</t>
        </is>
      </c>
      <c r="C2404" t="inlineStr">
        <is>
          <t>Аренда · Коммерческая · Коммерческая земля</t>
        </is>
      </c>
      <c r="D2404" t="inlineStr">
        <is>
          <t>Премиум, ₽/сут</t>
        </is>
      </c>
      <c r="E2404" t="n">
        <v>48</v>
      </c>
    </row>
    <row r="2405">
      <c r="A2405" t="inlineStr">
        <is>
          <t>CIAN</t>
        </is>
      </c>
      <c r="B2405" t="inlineStr">
        <is>
          <t>Уфа</t>
        </is>
      </c>
      <c r="C2405" t="inlineStr">
        <is>
          <t>Аренда · Коммерческая · Коммерческая земля</t>
        </is>
      </c>
      <c r="D2405" t="inlineStr">
        <is>
          <t>Стандарт, ₽/сут</t>
        </is>
      </c>
      <c r="E2405" t="n">
        <v>15</v>
      </c>
    </row>
    <row r="2406">
      <c r="A2406" t="inlineStr">
        <is>
          <t>CIAN</t>
        </is>
      </c>
      <c r="B2406" t="inlineStr">
        <is>
          <t>Краснодар</t>
        </is>
      </c>
      <c r="C2406" t="inlineStr">
        <is>
          <t>Аренда · Коммерческая · Коммерческая земля</t>
        </is>
      </c>
      <c r="D2406" t="inlineStr">
        <is>
          <t>Публикация, ₽/30 дн</t>
        </is>
      </c>
      <c r="E2406" t="n">
        <v>27</v>
      </c>
    </row>
    <row r="2407">
      <c r="A2407" t="inlineStr">
        <is>
          <t>CIAN</t>
        </is>
      </c>
      <c r="B2407" t="inlineStr">
        <is>
          <t>Краснодар</t>
        </is>
      </c>
      <c r="C2407" t="inlineStr">
        <is>
          <t>Аренда · Коммерческая · Коммерческая земля</t>
        </is>
      </c>
      <c r="D2407" t="inlineStr">
        <is>
          <t>Топ, ₽/сут</t>
        </is>
      </c>
      <c r="E2407" t="n">
        <v>129</v>
      </c>
    </row>
    <row r="2408">
      <c r="A2408" t="inlineStr">
        <is>
          <t>CIAN</t>
        </is>
      </c>
      <c r="B2408" t="inlineStr">
        <is>
          <t>Краснодар</t>
        </is>
      </c>
      <c r="C2408" t="inlineStr">
        <is>
          <t>Аренда · Коммерческая · Коммерческая земля</t>
        </is>
      </c>
      <c r="D2408" t="inlineStr">
        <is>
          <t>Премиум, ₽/сут</t>
        </is>
      </c>
      <c r="E2408" t="n">
        <v>58</v>
      </c>
    </row>
    <row r="2409">
      <c r="A2409" t="inlineStr">
        <is>
          <t>CIAN</t>
        </is>
      </c>
      <c r="B2409" t="inlineStr">
        <is>
          <t>Краснодар</t>
        </is>
      </c>
      <c r="C2409" t="inlineStr">
        <is>
          <t>Аренда · Коммерческая · Коммерческая земля</t>
        </is>
      </c>
      <c r="D2409" t="inlineStr">
        <is>
          <t>Стандарт, ₽/сут</t>
        </is>
      </c>
      <c r="E2409" t="n">
        <v>18</v>
      </c>
    </row>
    <row r="2410">
      <c r="A2410" t="inlineStr">
        <is>
          <t>CIAN</t>
        </is>
      </c>
      <c r="B2410" t="inlineStr">
        <is>
          <t>Самара</t>
        </is>
      </c>
      <c r="C2410" t="inlineStr">
        <is>
          <t>Аренда · Коммерческая · Коммерческая земля</t>
        </is>
      </c>
      <c r="D2410" t="inlineStr">
        <is>
          <t>Публикация, ₽/30 дн</t>
        </is>
      </c>
      <c r="E2410" t="n">
        <v>174</v>
      </c>
    </row>
    <row r="2411">
      <c r="A2411" t="inlineStr">
        <is>
          <t>CIAN</t>
        </is>
      </c>
      <c r="B2411" t="inlineStr">
        <is>
          <t>Самара</t>
        </is>
      </c>
      <c r="C2411" t="inlineStr">
        <is>
          <t>Аренда · Коммерческая · Коммерческая земля</t>
        </is>
      </c>
      <c r="D2411" t="inlineStr">
        <is>
          <t>Топ, ₽/сут</t>
        </is>
      </c>
      <c r="E2411" t="inlineStr">
        <is>
          <t>—</t>
        </is>
      </c>
    </row>
    <row r="2412">
      <c r="A2412" t="inlineStr">
        <is>
          <t>CIAN</t>
        </is>
      </c>
      <c r="B2412" t="inlineStr">
        <is>
          <t>Самара</t>
        </is>
      </c>
      <c r="C2412" t="inlineStr">
        <is>
          <t>Аренда · Коммерческая · Коммерческая земля</t>
        </is>
      </c>
      <c r="D2412" t="inlineStr">
        <is>
          <t>Премиум, ₽/сут</t>
        </is>
      </c>
      <c r="E2412" t="inlineStr">
        <is>
          <t>—</t>
        </is>
      </c>
    </row>
    <row r="2413">
      <c r="A2413" t="inlineStr">
        <is>
          <t>CIAN</t>
        </is>
      </c>
      <c r="B2413" t="inlineStr">
        <is>
          <t>Самара</t>
        </is>
      </c>
      <c r="C2413" t="inlineStr">
        <is>
          <t>Аренда · Коммерческая · Коммерческая земля</t>
        </is>
      </c>
      <c r="D2413" t="inlineStr">
        <is>
          <t>Стандарт, ₽/сут</t>
        </is>
      </c>
      <c r="E2413" t="inlineStr">
        <is>
          <t>—</t>
        </is>
      </c>
    </row>
    <row r="2414">
      <c r="A2414" t="inlineStr">
        <is>
          <t>CIAN</t>
        </is>
      </c>
      <c r="B2414" t="inlineStr">
        <is>
          <t>Ростов-на-Дону</t>
        </is>
      </c>
      <c r="C2414" t="inlineStr">
        <is>
          <t>Аренда · Коммерческая · Коммерческая земля</t>
        </is>
      </c>
      <c r="D2414" t="inlineStr">
        <is>
          <t>Публикация, ₽/30 дн</t>
        </is>
      </c>
      <c r="E2414" t="n">
        <v>81</v>
      </c>
    </row>
    <row r="2415">
      <c r="A2415" t="inlineStr">
        <is>
          <t>CIAN</t>
        </is>
      </c>
      <c r="B2415" t="inlineStr">
        <is>
          <t>Ростов-на-Дону</t>
        </is>
      </c>
      <c r="C2415" t="inlineStr">
        <is>
          <t>Аренда · Коммерческая · Коммерческая земля</t>
        </is>
      </c>
      <c r="D2415" t="inlineStr">
        <is>
          <t>Топ, ₽/сут</t>
        </is>
      </c>
      <c r="E2415" t="n">
        <v>119</v>
      </c>
    </row>
    <row r="2416">
      <c r="A2416" t="inlineStr">
        <is>
          <t>CIAN</t>
        </is>
      </c>
      <c r="B2416" t="inlineStr">
        <is>
          <t>Ростов-на-Дону</t>
        </is>
      </c>
      <c r="C2416" t="inlineStr">
        <is>
          <t>Аренда · Коммерческая · Коммерческая земля</t>
        </is>
      </c>
      <c r="D2416" t="inlineStr">
        <is>
          <t>Премиум, ₽/сут</t>
        </is>
      </c>
      <c r="E2416" t="n">
        <v>51</v>
      </c>
    </row>
    <row r="2417">
      <c r="A2417" t="inlineStr">
        <is>
          <t>CIAN</t>
        </is>
      </c>
      <c r="B2417" t="inlineStr">
        <is>
          <t>Ростов-на-Дону</t>
        </is>
      </c>
      <c r="C2417" t="inlineStr">
        <is>
          <t>Аренда · Коммерческая · Коммерческая земля</t>
        </is>
      </c>
      <c r="D2417" t="inlineStr">
        <is>
          <t>Стандарт, ₽/сут</t>
        </is>
      </c>
      <c r="E2417" t="n">
        <v>16</v>
      </c>
    </row>
    <row r="2418">
      <c r="A2418" t="inlineStr">
        <is>
          <t>CIAN</t>
        </is>
      </c>
      <c r="B2418" t="inlineStr">
        <is>
          <t>Омск</t>
        </is>
      </c>
      <c r="C2418" t="inlineStr">
        <is>
          <t>Аренда · Коммерческая · Коммерческая земля</t>
        </is>
      </c>
      <c r="D2418" t="inlineStr">
        <is>
          <t>Публикация, ₽/30 дн</t>
        </is>
      </c>
      <c r="E2418" t="n">
        <v>186</v>
      </c>
    </row>
    <row r="2419">
      <c r="A2419" t="inlineStr">
        <is>
          <t>CIAN</t>
        </is>
      </c>
      <c r="B2419" t="inlineStr">
        <is>
          <t>Омск</t>
        </is>
      </c>
      <c r="C2419" t="inlineStr">
        <is>
          <t>Аренда · Коммерческая · Коммерческая земля</t>
        </is>
      </c>
      <c r="D2419" t="inlineStr">
        <is>
          <t>Топ, ₽/сут</t>
        </is>
      </c>
      <c r="E2419" t="n">
        <v>187</v>
      </c>
    </row>
    <row r="2420">
      <c r="A2420" t="inlineStr">
        <is>
          <t>CIAN</t>
        </is>
      </c>
      <c r="B2420" t="inlineStr">
        <is>
          <t>Омск</t>
        </is>
      </c>
      <c r="C2420" t="inlineStr">
        <is>
          <t>Аренда · Коммерческая · Коммерческая земля</t>
        </is>
      </c>
      <c r="D2420" t="inlineStr">
        <is>
          <t>Премиум, ₽/сут</t>
        </is>
      </c>
      <c r="E2420" t="n">
        <v>103</v>
      </c>
    </row>
    <row r="2421">
      <c r="A2421" t="inlineStr">
        <is>
          <t>CIAN</t>
        </is>
      </c>
      <c r="B2421" t="inlineStr">
        <is>
          <t>Омск</t>
        </is>
      </c>
      <c r="C2421" t="inlineStr">
        <is>
          <t>Аренда · Коммерческая · Коммерческая земля</t>
        </is>
      </c>
      <c r="D2421" t="inlineStr">
        <is>
          <t>Стандарт, ₽/сут</t>
        </is>
      </c>
      <c r="E2421" t="n">
        <v>32</v>
      </c>
    </row>
    <row r="2422">
      <c r="A2422" t="inlineStr">
        <is>
          <t>CIAN</t>
        </is>
      </c>
      <c r="B2422" t="inlineStr">
        <is>
          <t>Воронеж</t>
        </is>
      </c>
      <c r="C2422" t="inlineStr">
        <is>
          <t>Аренда · Коммерческая · Коммерческая земля</t>
        </is>
      </c>
      <c r="D2422" t="inlineStr">
        <is>
          <t>Публикация, ₽/30 дн</t>
        </is>
      </c>
      <c r="E2422" t="n">
        <v>108</v>
      </c>
    </row>
    <row r="2423">
      <c r="A2423" t="inlineStr">
        <is>
          <t>CIAN</t>
        </is>
      </c>
      <c r="B2423" t="inlineStr">
        <is>
          <t>Воронеж</t>
        </is>
      </c>
      <c r="C2423" t="inlineStr">
        <is>
          <t>Аренда · Коммерческая · Коммерческая земля</t>
        </is>
      </c>
      <c r="D2423" t="inlineStr">
        <is>
          <t>Топ, ₽/сут</t>
        </is>
      </c>
      <c r="E2423" t="inlineStr">
        <is>
          <t>—</t>
        </is>
      </c>
    </row>
    <row r="2424">
      <c r="A2424" t="inlineStr">
        <is>
          <t>CIAN</t>
        </is>
      </c>
      <c r="B2424" t="inlineStr">
        <is>
          <t>Воронеж</t>
        </is>
      </c>
      <c r="C2424" t="inlineStr">
        <is>
          <t>Аренда · Коммерческая · Коммерческая земля</t>
        </is>
      </c>
      <c r="D2424" t="inlineStr">
        <is>
          <t>Премиум, ₽/сут</t>
        </is>
      </c>
      <c r="E2424" t="inlineStr">
        <is>
          <t>—</t>
        </is>
      </c>
    </row>
    <row r="2425">
      <c r="A2425" t="inlineStr">
        <is>
          <t>CIAN</t>
        </is>
      </c>
      <c r="B2425" t="inlineStr">
        <is>
          <t>Воронеж</t>
        </is>
      </c>
      <c r="C2425" t="inlineStr">
        <is>
          <t>Аренда · Коммерческая · Коммерческая земля</t>
        </is>
      </c>
      <c r="D2425" t="inlineStr">
        <is>
          <t>Стандарт, ₽/сут</t>
        </is>
      </c>
      <c r="E2425" t="inlineStr">
        <is>
          <t>—</t>
        </is>
      </c>
    </row>
    <row r="2426">
      <c r="A2426" t="inlineStr">
        <is>
          <t>CIAN</t>
        </is>
      </c>
      <c r="B2426" t="inlineStr">
        <is>
          <t>Пермь</t>
        </is>
      </c>
      <c r="C2426" t="inlineStr">
        <is>
          <t>Аренда · Коммерческая · Коммерческая земля</t>
        </is>
      </c>
      <c r="D2426" t="inlineStr">
        <is>
          <t>Публикация, ₽/30 дн</t>
        </is>
      </c>
      <c r="E2426" t="n">
        <v>108</v>
      </c>
    </row>
    <row r="2427">
      <c r="A2427" t="inlineStr">
        <is>
          <t>CIAN</t>
        </is>
      </c>
      <c r="B2427" t="inlineStr">
        <is>
          <t>Пермь</t>
        </is>
      </c>
      <c r="C2427" t="inlineStr">
        <is>
          <t>Аренда · Коммерческая · Коммерческая земля</t>
        </is>
      </c>
      <c r="D2427" t="inlineStr">
        <is>
          <t>Топ, ₽/сут</t>
        </is>
      </c>
      <c r="E2427" t="inlineStr">
        <is>
          <t>—</t>
        </is>
      </c>
    </row>
    <row r="2428">
      <c r="A2428" t="inlineStr">
        <is>
          <t>CIAN</t>
        </is>
      </c>
      <c r="B2428" t="inlineStr">
        <is>
          <t>Пермь</t>
        </is>
      </c>
      <c r="C2428" t="inlineStr">
        <is>
          <t>Аренда · Коммерческая · Коммерческая земля</t>
        </is>
      </c>
      <c r="D2428" t="inlineStr">
        <is>
          <t>Премиум, ₽/сут</t>
        </is>
      </c>
      <c r="E2428" t="inlineStr">
        <is>
          <t>—</t>
        </is>
      </c>
    </row>
    <row r="2429">
      <c r="A2429" t="inlineStr">
        <is>
          <t>CIAN</t>
        </is>
      </c>
      <c r="B2429" t="inlineStr">
        <is>
          <t>Пермь</t>
        </is>
      </c>
      <c r="C2429" t="inlineStr">
        <is>
          <t>Аренда · Коммерческая · Коммерческая земля</t>
        </is>
      </c>
      <c r="D2429" t="inlineStr">
        <is>
          <t>Стандарт, ₽/сут</t>
        </is>
      </c>
      <c r="E2429" t="inlineStr">
        <is>
          <t>—</t>
        </is>
      </c>
    </row>
    <row r="2430">
      <c r="A2430" t="inlineStr">
        <is>
          <t>CIAN</t>
        </is>
      </c>
      <c r="B2430" t="inlineStr">
        <is>
          <t>Волгоград</t>
        </is>
      </c>
      <c r="C2430" t="inlineStr">
        <is>
          <t>Аренда · Коммерческая · Коммерческая земля</t>
        </is>
      </c>
      <c r="D2430" t="inlineStr">
        <is>
          <t>Публикация, ₽/30 дн</t>
        </is>
      </c>
      <c r="E2430" t="n">
        <v>108</v>
      </c>
    </row>
    <row r="2431">
      <c r="A2431" t="inlineStr">
        <is>
          <t>CIAN</t>
        </is>
      </c>
      <c r="B2431" t="inlineStr">
        <is>
          <t>Волгоград</t>
        </is>
      </c>
      <c r="C2431" t="inlineStr">
        <is>
          <t>Аренда · Коммерческая · Коммерческая земля</t>
        </is>
      </c>
      <c r="D2431" t="inlineStr">
        <is>
          <t>Топ, ₽/сут</t>
        </is>
      </c>
      <c r="E2431" t="inlineStr">
        <is>
          <t>—</t>
        </is>
      </c>
    </row>
    <row r="2432">
      <c r="A2432" t="inlineStr">
        <is>
          <t>CIAN</t>
        </is>
      </c>
      <c r="B2432" t="inlineStr">
        <is>
          <t>Волгоград</t>
        </is>
      </c>
      <c r="C2432" t="inlineStr">
        <is>
          <t>Аренда · Коммерческая · Коммерческая земля</t>
        </is>
      </c>
      <c r="D2432" t="inlineStr">
        <is>
          <t>Премиум, ₽/сут</t>
        </is>
      </c>
      <c r="E2432" t="inlineStr">
        <is>
          <t>—</t>
        </is>
      </c>
    </row>
    <row r="2433">
      <c r="A2433" t="inlineStr">
        <is>
          <t>CIAN</t>
        </is>
      </c>
      <c r="B2433" t="inlineStr">
        <is>
          <t>Волгоград</t>
        </is>
      </c>
      <c r="C2433" t="inlineStr">
        <is>
          <t>Аренда · Коммерческая · Коммерческая земля</t>
        </is>
      </c>
      <c r="D2433" t="inlineStr">
        <is>
          <t>Стандарт, ₽/сут</t>
        </is>
      </c>
      <c r="E2433" t="inlineStr">
        <is>
          <t>—</t>
        </is>
      </c>
    </row>
    <row r="2434">
      <c r="A2434" t="inlineStr">
        <is>
          <t>CIAN</t>
        </is>
      </c>
      <c r="B2434" t="inlineStr">
        <is>
          <t>Москва</t>
        </is>
      </c>
      <c r="C2434" t="inlineStr">
        <is>
          <t>Посуточная аренда · Городская · Посуточная квартира</t>
        </is>
      </c>
      <c r="D2434" t="inlineStr">
        <is>
          <t>Публикация, ₽/30 дн</t>
        </is>
      </c>
      <c r="E2434" t="n">
        <v>2460</v>
      </c>
    </row>
    <row r="2435">
      <c r="A2435" t="inlineStr">
        <is>
          <t>CIAN</t>
        </is>
      </c>
      <c r="B2435" t="inlineStr">
        <is>
          <t>Москва</t>
        </is>
      </c>
      <c r="C2435" t="inlineStr">
        <is>
          <t>Посуточная аренда · Городская · Посуточная квартира</t>
        </is>
      </c>
      <c r="D2435" t="inlineStr">
        <is>
          <t>Топ, ₽/сут</t>
        </is>
      </c>
      <c r="E2435" t="n">
        <v>947</v>
      </c>
    </row>
    <row r="2436">
      <c r="A2436" t="inlineStr">
        <is>
          <t>CIAN</t>
        </is>
      </c>
      <c r="B2436" t="inlineStr">
        <is>
          <t>Москва</t>
        </is>
      </c>
      <c r="C2436" t="inlineStr">
        <is>
          <t>Посуточная аренда · Городская · Посуточная квартира</t>
        </is>
      </c>
      <c r="D2436" t="inlineStr">
        <is>
          <t>Премиум, ₽/сут</t>
        </is>
      </c>
      <c r="E2436" t="n">
        <v>432</v>
      </c>
    </row>
    <row r="2437">
      <c r="A2437" t="inlineStr">
        <is>
          <t>CIAN</t>
        </is>
      </c>
      <c r="B2437" t="inlineStr">
        <is>
          <t>Москва</t>
        </is>
      </c>
      <c r="C2437" t="inlineStr">
        <is>
          <t>Посуточная аренда · Городская · Посуточная квартира</t>
        </is>
      </c>
      <c r="D2437" t="inlineStr">
        <is>
          <t>Стандарт, ₽/сут</t>
        </is>
      </c>
      <c r="E2437" t="n">
        <v>128</v>
      </c>
    </row>
    <row r="2438">
      <c r="A2438" t="inlineStr">
        <is>
          <t>CIAN</t>
        </is>
      </c>
      <c r="B2438" t="inlineStr">
        <is>
          <t>Санкт-Петербург</t>
        </is>
      </c>
      <c r="C2438" t="inlineStr">
        <is>
          <t>Посуточная аренда · Городская · Посуточная квартира</t>
        </is>
      </c>
      <c r="D2438" t="inlineStr">
        <is>
          <t>Публикация, ₽/30 дн</t>
        </is>
      </c>
      <c r="E2438" t="n">
        <v>1173</v>
      </c>
    </row>
    <row r="2439">
      <c r="A2439" t="inlineStr">
        <is>
          <t>CIAN</t>
        </is>
      </c>
      <c r="B2439" t="inlineStr">
        <is>
          <t>Санкт-Петербург</t>
        </is>
      </c>
      <c r="C2439" t="inlineStr">
        <is>
          <t>Посуточная аренда · Городская · Посуточная квартира</t>
        </is>
      </c>
      <c r="D2439" t="inlineStr">
        <is>
          <t>Топ, ₽/сут</t>
        </is>
      </c>
      <c r="E2439" t="n">
        <v>478</v>
      </c>
    </row>
    <row r="2440">
      <c r="A2440" t="inlineStr">
        <is>
          <t>CIAN</t>
        </is>
      </c>
      <c r="B2440" t="inlineStr">
        <is>
          <t>Санкт-Петербург</t>
        </is>
      </c>
      <c r="C2440" t="inlineStr">
        <is>
          <t>Посуточная аренда · Городская · Посуточная квартира</t>
        </is>
      </c>
      <c r="D2440" t="inlineStr">
        <is>
          <t>Премиум, ₽/сут</t>
        </is>
      </c>
      <c r="E2440" t="n">
        <v>239</v>
      </c>
    </row>
    <row r="2441">
      <c r="A2441" t="inlineStr">
        <is>
          <t>CIAN</t>
        </is>
      </c>
      <c r="B2441" t="inlineStr">
        <is>
          <t>Санкт-Петербург</t>
        </is>
      </c>
      <c r="C2441" t="inlineStr">
        <is>
          <t>Посуточная аренда · Городская · Посуточная квартира</t>
        </is>
      </c>
      <c r="D2441" t="inlineStr">
        <is>
          <t>Стандарт, ₽/сут</t>
        </is>
      </c>
      <c r="E2441" t="n">
        <v>71</v>
      </c>
    </row>
    <row r="2442">
      <c r="A2442" t="inlineStr">
        <is>
          <t>CIAN</t>
        </is>
      </c>
      <c r="B2442" t="inlineStr">
        <is>
          <t>Новосибирск</t>
        </is>
      </c>
      <c r="C2442" t="inlineStr">
        <is>
          <t>Посуточная аренда · Городская · Посуточная квартира</t>
        </is>
      </c>
      <c r="D2442" t="inlineStr">
        <is>
          <t>Публикация, ₽/30 дн</t>
        </is>
      </c>
      <c r="E2442" t="n">
        <v>1530</v>
      </c>
    </row>
    <row r="2443">
      <c r="A2443" t="inlineStr">
        <is>
          <t>CIAN</t>
        </is>
      </c>
      <c r="B2443" t="inlineStr">
        <is>
          <t>Новосибирск</t>
        </is>
      </c>
      <c r="C2443" t="inlineStr">
        <is>
          <t>Посуточная аренда · Городская · Посуточная квартира</t>
        </is>
      </c>
      <c r="D2443" t="inlineStr">
        <is>
          <t>Топ, ₽/сут</t>
        </is>
      </c>
      <c r="E2443" t="n">
        <v>354</v>
      </c>
    </row>
    <row r="2444">
      <c r="A2444" t="inlineStr">
        <is>
          <t>CIAN</t>
        </is>
      </c>
      <c r="B2444" t="inlineStr">
        <is>
          <t>Новосибирск</t>
        </is>
      </c>
      <c r="C2444" t="inlineStr">
        <is>
          <t>Посуточная аренда · Городская · Посуточная квартира</t>
        </is>
      </c>
      <c r="D2444" t="inlineStr">
        <is>
          <t>Премиум, ₽/сут</t>
        </is>
      </c>
      <c r="E2444" t="n">
        <v>186</v>
      </c>
    </row>
    <row r="2445">
      <c r="A2445" t="inlineStr">
        <is>
          <t>CIAN</t>
        </is>
      </c>
      <c r="B2445" t="inlineStr">
        <is>
          <t>Новосибирск</t>
        </is>
      </c>
      <c r="C2445" t="inlineStr">
        <is>
          <t>Посуточная аренда · Городская · Посуточная квартира</t>
        </is>
      </c>
      <c r="D2445" t="inlineStr">
        <is>
          <t>Стандарт, ₽/сут</t>
        </is>
      </c>
      <c r="E2445" t="n">
        <v>55</v>
      </c>
    </row>
    <row r="2446">
      <c r="A2446" t="inlineStr">
        <is>
          <t>CIAN</t>
        </is>
      </c>
      <c r="B2446" t="inlineStr">
        <is>
          <t>Екатеринбург</t>
        </is>
      </c>
      <c r="C2446" t="inlineStr">
        <is>
          <t>Посуточная аренда · Городская · Посуточная квартира</t>
        </is>
      </c>
      <c r="D2446" t="inlineStr">
        <is>
          <t>Публикация, ₽/30 дн</t>
        </is>
      </c>
      <c r="E2446" t="n">
        <v>1155</v>
      </c>
    </row>
    <row r="2447">
      <c r="A2447" t="inlineStr">
        <is>
          <t>CIAN</t>
        </is>
      </c>
      <c r="B2447" t="inlineStr">
        <is>
          <t>Екатеринбург</t>
        </is>
      </c>
      <c r="C2447" t="inlineStr">
        <is>
          <t>Посуточная аренда · Городская · Посуточная квартира</t>
        </is>
      </c>
      <c r="D2447" t="inlineStr">
        <is>
          <t>Топ, ₽/сут</t>
        </is>
      </c>
      <c r="E2447" t="n">
        <v>333</v>
      </c>
    </row>
    <row r="2448">
      <c r="A2448" t="inlineStr">
        <is>
          <t>CIAN</t>
        </is>
      </c>
      <c r="B2448" t="inlineStr">
        <is>
          <t>Екатеринбург</t>
        </is>
      </c>
      <c r="C2448" t="inlineStr">
        <is>
          <t>Посуточная аренда · Городская · Посуточная квартира</t>
        </is>
      </c>
      <c r="D2448" t="inlineStr">
        <is>
          <t>Премиум, ₽/сут</t>
        </is>
      </c>
      <c r="E2448" t="n">
        <v>185</v>
      </c>
    </row>
    <row r="2449">
      <c r="A2449" t="inlineStr">
        <is>
          <t>CIAN</t>
        </is>
      </c>
      <c r="B2449" t="inlineStr">
        <is>
          <t>Екатеринбург</t>
        </is>
      </c>
      <c r="C2449" t="inlineStr">
        <is>
          <t>Посуточная аренда · Городская · Посуточная квартира</t>
        </is>
      </c>
      <c r="D2449" t="inlineStr">
        <is>
          <t>Стандарт, ₽/сут</t>
        </is>
      </c>
      <c r="E2449" t="n">
        <v>55</v>
      </c>
    </row>
    <row r="2450">
      <c r="A2450" t="inlineStr">
        <is>
          <t>CIAN</t>
        </is>
      </c>
      <c r="B2450" t="inlineStr">
        <is>
          <t>Казань</t>
        </is>
      </c>
      <c r="C2450" t="inlineStr">
        <is>
          <t>Посуточная аренда · Городская · Посуточная квартира</t>
        </is>
      </c>
      <c r="D2450" t="inlineStr">
        <is>
          <t>Публикация, ₽/30 дн</t>
        </is>
      </c>
      <c r="E2450" t="n">
        <v>426</v>
      </c>
    </row>
    <row r="2451">
      <c r="A2451" t="inlineStr">
        <is>
          <t>CIAN</t>
        </is>
      </c>
      <c r="B2451" t="inlineStr">
        <is>
          <t>Казань</t>
        </is>
      </c>
      <c r="C2451" t="inlineStr">
        <is>
          <t>Посуточная аренда · Городская · Посуточная квартира</t>
        </is>
      </c>
      <c r="D2451" t="inlineStr">
        <is>
          <t>Топ, ₽/сут</t>
        </is>
      </c>
      <c r="E2451" t="n">
        <v>204</v>
      </c>
    </row>
    <row r="2452">
      <c r="A2452" t="inlineStr">
        <is>
          <t>CIAN</t>
        </is>
      </c>
      <c r="B2452" t="inlineStr">
        <is>
          <t>Казань</t>
        </is>
      </c>
      <c r="C2452" t="inlineStr">
        <is>
          <t>Посуточная аренда · Городская · Посуточная квартира</t>
        </is>
      </c>
      <c r="D2452" t="inlineStr">
        <is>
          <t>Премиум, ₽/сут</t>
        </is>
      </c>
      <c r="E2452" t="n">
        <v>97</v>
      </c>
    </row>
    <row r="2453">
      <c r="A2453" t="inlineStr">
        <is>
          <t>CIAN</t>
        </is>
      </c>
      <c r="B2453" t="inlineStr">
        <is>
          <t>Казань</t>
        </is>
      </c>
      <c r="C2453" t="inlineStr">
        <is>
          <t>Посуточная аренда · Городская · Посуточная квартира</t>
        </is>
      </c>
      <c r="D2453" t="inlineStr">
        <is>
          <t>Стандарт, ₽/сут</t>
        </is>
      </c>
      <c r="E2453" t="n">
        <v>28</v>
      </c>
    </row>
    <row r="2454">
      <c r="A2454" t="inlineStr">
        <is>
          <t>CIAN</t>
        </is>
      </c>
      <c r="B2454" t="inlineStr">
        <is>
          <t>Красноярск</t>
        </is>
      </c>
      <c r="C2454" t="inlineStr">
        <is>
          <t>Посуточная аренда · Городская · Посуточная квартира</t>
        </is>
      </c>
      <c r="D2454" t="inlineStr">
        <is>
          <t>Публикация, ₽/30 дн</t>
        </is>
      </c>
      <c r="E2454" t="n">
        <v>420</v>
      </c>
    </row>
    <row r="2455">
      <c r="A2455" t="inlineStr">
        <is>
          <t>CIAN</t>
        </is>
      </c>
      <c r="B2455" t="inlineStr">
        <is>
          <t>Красноярск</t>
        </is>
      </c>
      <c r="C2455" t="inlineStr">
        <is>
          <t>Посуточная аренда · Городская · Посуточная квартира</t>
        </is>
      </c>
      <c r="D2455" t="inlineStr">
        <is>
          <t>Топ, ₽/сут</t>
        </is>
      </c>
      <c r="E2455" t="n">
        <v>193</v>
      </c>
    </row>
    <row r="2456">
      <c r="A2456" t="inlineStr">
        <is>
          <t>CIAN</t>
        </is>
      </c>
      <c r="B2456" t="inlineStr">
        <is>
          <t>Красноярск</t>
        </is>
      </c>
      <c r="C2456" t="inlineStr">
        <is>
          <t>Посуточная аренда · Городская · Посуточная квартира</t>
        </is>
      </c>
      <c r="D2456" t="inlineStr">
        <is>
          <t>Премиум, ₽/сут</t>
        </is>
      </c>
      <c r="E2456" t="n">
        <v>93</v>
      </c>
    </row>
    <row r="2457">
      <c r="A2457" t="inlineStr">
        <is>
          <t>CIAN</t>
        </is>
      </c>
      <c r="B2457" t="inlineStr">
        <is>
          <t>Красноярск</t>
        </is>
      </c>
      <c r="C2457" t="inlineStr">
        <is>
          <t>Посуточная аренда · Городская · Посуточная квартира</t>
        </is>
      </c>
      <c r="D2457" t="inlineStr">
        <is>
          <t>Стандарт, ₽/сут</t>
        </is>
      </c>
      <c r="E2457" t="n">
        <v>28</v>
      </c>
    </row>
    <row r="2458">
      <c r="A2458" t="inlineStr">
        <is>
          <t>CIAN</t>
        </is>
      </c>
      <c r="B2458" t="inlineStr">
        <is>
          <t>Нижний Новгород</t>
        </is>
      </c>
      <c r="C2458" t="inlineStr">
        <is>
          <t>Посуточная аренда · Городская · Посуточная квартира</t>
        </is>
      </c>
      <c r="D2458" t="inlineStr">
        <is>
          <t>Публикация, ₽/30 дн</t>
        </is>
      </c>
      <c r="E2458" t="n">
        <v>420</v>
      </c>
    </row>
    <row r="2459">
      <c r="A2459" t="inlineStr">
        <is>
          <t>CIAN</t>
        </is>
      </c>
      <c r="B2459" t="inlineStr">
        <is>
          <t>Нижний Новгород</t>
        </is>
      </c>
      <c r="C2459" t="inlineStr">
        <is>
          <t>Посуточная аренда · Городская · Посуточная квартира</t>
        </is>
      </c>
      <c r="D2459" t="inlineStr">
        <is>
          <t>Топ, ₽/сут</t>
        </is>
      </c>
      <c r="E2459" t="n">
        <v>183</v>
      </c>
    </row>
    <row r="2460">
      <c r="A2460" t="inlineStr">
        <is>
          <t>CIAN</t>
        </is>
      </c>
      <c r="B2460" t="inlineStr">
        <is>
          <t>Нижний Новгород</t>
        </is>
      </c>
      <c r="C2460" t="inlineStr">
        <is>
          <t>Посуточная аренда · Городская · Посуточная квартира</t>
        </is>
      </c>
      <c r="D2460" t="inlineStr">
        <is>
          <t>Премиум, ₽/сут</t>
        </is>
      </c>
      <c r="E2460" t="n">
        <v>88</v>
      </c>
    </row>
    <row r="2461">
      <c r="A2461" t="inlineStr">
        <is>
          <t>CIAN</t>
        </is>
      </c>
      <c r="B2461" t="inlineStr">
        <is>
          <t>Нижний Новгород</t>
        </is>
      </c>
      <c r="C2461" t="inlineStr">
        <is>
          <t>Посуточная аренда · Городская · Посуточная квартира</t>
        </is>
      </c>
      <c r="D2461" t="inlineStr">
        <is>
          <t>Стандарт, ₽/сут</t>
        </is>
      </c>
      <c r="E2461" t="n">
        <v>25</v>
      </c>
    </row>
    <row r="2462">
      <c r="A2462" t="inlineStr">
        <is>
          <t>CIAN</t>
        </is>
      </c>
      <c r="B2462" t="inlineStr">
        <is>
          <t>Челябинск</t>
        </is>
      </c>
      <c r="C2462" t="inlineStr">
        <is>
          <t>Посуточная аренда · Городская · Посуточная квартира</t>
        </is>
      </c>
      <c r="D2462" t="inlineStr">
        <is>
          <t>Публикация, ₽/30 дн</t>
        </is>
      </c>
      <c r="E2462" t="n">
        <v>780</v>
      </c>
    </row>
    <row r="2463">
      <c r="A2463" t="inlineStr">
        <is>
          <t>CIAN</t>
        </is>
      </c>
      <c r="B2463" t="inlineStr">
        <is>
          <t>Челябинск</t>
        </is>
      </c>
      <c r="C2463" t="inlineStr">
        <is>
          <t>Посуточная аренда · Городская · Посуточная квартира</t>
        </is>
      </c>
      <c r="D2463" t="inlineStr">
        <is>
          <t>Топ, ₽/сут</t>
        </is>
      </c>
      <c r="E2463" t="n">
        <v>267</v>
      </c>
    </row>
    <row r="2464">
      <c r="A2464" t="inlineStr">
        <is>
          <t>CIAN</t>
        </is>
      </c>
      <c r="B2464" t="inlineStr">
        <is>
          <t>Челябинск</t>
        </is>
      </c>
      <c r="C2464" t="inlineStr">
        <is>
          <t>Посуточная аренда · Городская · Посуточная квартира</t>
        </is>
      </c>
      <c r="D2464" t="inlineStr">
        <is>
          <t>Премиум, ₽/сут</t>
        </is>
      </c>
      <c r="E2464" t="n">
        <v>127</v>
      </c>
    </row>
    <row r="2465">
      <c r="A2465" t="inlineStr">
        <is>
          <t>CIAN</t>
        </is>
      </c>
      <c r="B2465" t="inlineStr">
        <is>
          <t>Челябинск</t>
        </is>
      </c>
      <c r="C2465" t="inlineStr">
        <is>
          <t>Посуточная аренда · Городская · Посуточная квартира</t>
        </is>
      </c>
      <c r="D2465" t="inlineStr">
        <is>
          <t>Стандарт, ₽/сут</t>
        </is>
      </c>
      <c r="E2465" t="n">
        <v>37</v>
      </c>
    </row>
    <row r="2466">
      <c r="A2466" t="inlineStr">
        <is>
          <t>CIAN</t>
        </is>
      </c>
      <c r="B2466" t="inlineStr">
        <is>
          <t>Уфа</t>
        </is>
      </c>
      <c r="C2466" t="inlineStr">
        <is>
          <t>Посуточная аренда · Городская · Посуточная квартира</t>
        </is>
      </c>
      <c r="D2466" t="inlineStr">
        <is>
          <t>Публикация, ₽/30 дн</t>
        </is>
      </c>
      <c r="E2466" t="n">
        <v>318</v>
      </c>
    </row>
    <row r="2467">
      <c r="A2467" t="inlineStr">
        <is>
          <t>CIAN</t>
        </is>
      </c>
      <c r="B2467" t="inlineStr">
        <is>
          <t>Уфа</t>
        </is>
      </c>
      <c r="C2467" t="inlineStr">
        <is>
          <t>Посуточная аренда · Городская · Посуточная квартира</t>
        </is>
      </c>
      <c r="D2467" t="inlineStr">
        <is>
          <t>Топ, ₽/сут</t>
        </is>
      </c>
      <c r="E2467" t="n">
        <v>158</v>
      </c>
    </row>
    <row r="2468">
      <c r="A2468" t="inlineStr">
        <is>
          <t>CIAN</t>
        </is>
      </c>
      <c r="B2468" t="inlineStr">
        <is>
          <t>Уфа</t>
        </is>
      </c>
      <c r="C2468" t="inlineStr">
        <is>
          <t>Посуточная аренда · Городская · Посуточная квартира</t>
        </is>
      </c>
      <c r="D2468" t="inlineStr">
        <is>
          <t>Премиум, ₽/сут</t>
        </is>
      </c>
      <c r="E2468" t="n">
        <v>76</v>
      </c>
    </row>
    <row r="2469">
      <c r="A2469" t="inlineStr">
        <is>
          <t>CIAN</t>
        </is>
      </c>
      <c r="B2469" t="inlineStr">
        <is>
          <t>Уфа</t>
        </is>
      </c>
      <c r="C2469" t="inlineStr">
        <is>
          <t>Посуточная аренда · Городская · Посуточная квартира</t>
        </is>
      </c>
      <c r="D2469" t="inlineStr">
        <is>
          <t>Стандарт, ₽/сут</t>
        </is>
      </c>
      <c r="E2469" t="n">
        <v>20</v>
      </c>
    </row>
    <row r="2470">
      <c r="A2470" t="inlineStr">
        <is>
          <t>CIAN</t>
        </is>
      </c>
      <c r="B2470" t="inlineStr">
        <is>
          <t>Краснодар</t>
        </is>
      </c>
      <c r="C2470" t="inlineStr">
        <is>
          <t>Посуточная аренда · Городская · Посуточная квартира</t>
        </is>
      </c>
      <c r="D2470" t="inlineStr">
        <is>
          <t>Публикация, ₽/30 дн</t>
        </is>
      </c>
      <c r="E2470" t="n">
        <v>420</v>
      </c>
    </row>
    <row r="2471">
      <c r="A2471" t="inlineStr">
        <is>
          <t>CIAN</t>
        </is>
      </c>
      <c r="B2471" t="inlineStr">
        <is>
          <t>Краснодар</t>
        </is>
      </c>
      <c r="C2471" t="inlineStr">
        <is>
          <t>Посуточная аренда · Городская · Посуточная квартира</t>
        </is>
      </c>
      <c r="D2471" t="inlineStr">
        <is>
          <t>Топ, ₽/сут</t>
        </is>
      </c>
      <c r="E2471" t="n">
        <v>258</v>
      </c>
    </row>
    <row r="2472">
      <c r="A2472" t="inlineStr">
        <is>
          <t>CIAN</t>
        </is>
      </c>
      <c r="B2472" t="inlineStr">
        <is>
          <t>Краснодар</t>
        </is>
      </c>
      <c r="C2472" t="inlineStr">
        <is>
          <t>Посуточная аренда · Городская · Посуточная квартира</t>
        </is>
      </c>
      <c r="D2472" t="inlineStr">
        <is>
          <t>Премиум, ₽/сут</t>
        </is>
      </c>
      <c r="E2472" t="n">
        <v>116</v>
      </c>
    </row>
    <row r="2473">
      <c r="A2473" t="inlineStr">
        <is>
          <t>CIAN</t>
        </is>
      </c>
      <c r="B2473" t="inlineStr">
        <is>
          <t>Краснодар</t>
        </is>
      </c>
      <c r="C2473" t="inlineStr">
        <is>
          <t>Посуточная аренда · Городская · Посуточная квартира</t>
        </is>
      </c>
      <c r="D2473" t="inlineStr">
        <is>
          <t>Стандарт, ₽/сут</t>
        </is>
      </c>
      <c r="E2473" t="n">
        <v>34</v>
      </c>
    </row>
    <row r="2474">
      <c r="A2474" t="inlineStr">
        <is>
          <t>CIAN</t>
        </is>
      </c>
      <c r="B2474" t="inlineStr">
        <is>
          <t>Самара</t>
        </is>
      </c>
      <c r="C2474" t="inlineStr">
        <is>
          <t>Посуточная аренда · Городская · Посуточная квартира</t>
        </is>
      </c>
      <c r="D2474" t="inlineStr">
        <is>
          <t>Публикация, ₽/30 дн</t>
        </is>
      </c>
      <c r="E2474" t="n">
        <v>570</v>
      </c>
    </row>
    <row r="2475">
      <c r="A2475" t="inlineStr">
        <is>
          <t>CIAN</t>
        </is>
      </c>
      <c r="B2475" t="inlineStr">
        <is>
          <t>Самара</t>
        </is>
      </c>
      <c r="C2475" t="inlineStr">
        <is>
          <t>Посуточная аренда · Городская · Посуточная квартира</t>
        </is>
      </c>
      <c r="D2475" t="inlineStr">
        <is>
          <t>Топ, ₽/сут</t>
        </is>
      </c>
      <c r="E2475" t="n">
        <v>181</v>
      </c>
    </row>
    <row r="2476">
      <c r="A2476" t="inlineStr">
        <is>
          <t>CIAN</t>
        </is>
      </c>
      <c r="B2476" t="inlineStr">
        <is>
          <t>Самара</t>
        </is>
      </c>
      <c r="C2476" t="inlineStr">
        <is>
          <t>Посуточная аренда · Городская · Посуточная квартира</t>
        </is>
      </c>
      <c r="D2476" t="inlineStr">
        <is>
          <t>Премиум, ₽/сут</t>
        </is>
      </c>
      <c r="E2476" t="n">
        <v>79</v>
      </c>
    </row>
    <row r="2477">
      <c r="A2477" t="inlineStr">
        <is>
          <t>CIAN</t>
        </is>
      </c>
      <c r="B2477" t="inlineStr">
        <is>
          <t>Самара</t>
        </is>
      </c>
      <c r="C2477" t="inlineStr">
        <is>
          <t>Посуточная аренда · Городская · Посуточная квартира</t>
        </is>
      </c>
      <c r="D2477" t="inlineStr">
        <is>
          <t>Стандарт, ₽/сут</t>
        </is>
      </c>
      <c r="E2477" t="n">
        <v>24</v>
      </c>
    </row>
    <row r="2478">
      <c r="A2478" t="inlineStr">
        <is>
          <t>CIAN</t>
        </is>
      </c>
      <c r="B2478" t="inlineStr">
        <is>
          <t>Ростов-на-Дону</t>
        </is>
      </c>
      <c r="C2478" t="inlineStr">
        <is>
          <t>Посуточная аренда · Городская · Посуточная квартира</t>
        </is>
      </c>
      <c r="D2478" t="inlineStr">
        <is>
          <t>Публикация, ₽/30 дн</t>
        </is>
      </c>
      <c r="E2478" t="n">
        <v>369</v>
      </c>
    </row>
    <row r="2479">
      <c r="A2479" t="inlineStr">
        <is>
          <t>CIAN</t>
        </is>
      </c>
      <c r="B2479" t="inlineStr">
        <is>
          <t>Ростов-на-Дону</t>
        </is>
      </c>
      <c r="C2479" t="inlineStr">
        <is>
          <t>Посуточная аренда · Городская · Посуточная квартира</t>
        </is>
      </c>
      <c r="D2479" t="inlineStr">
        <is>
          <t>Топ, ₽/сут</t>
        </is>
      </c>
      <c r="E2479" t="n">
        <v>190</v>
      </c>
    </row>
    <row r="2480">
      <c r="A2480" t="inlineStr">
        <is>
          <t>CIAN</t>
        </is>
      </c>
      <c r="B2480" t="inlineStr">
        <is>
          <t>Ростов-на-Дону</t>
        </is>
      </c>
      <c r="C2480" t="inlineStr">
        <is>
          <t>Посуточная аренда · Городская · Посуточная квартира</t>
        </is>
      </c>
      <c r="D2480" t="inlineStr">
        <is>
          <t>Премиум, ₽/сут</t>
        </is>
      </c>
      <c r="E2480" t="n">
        <v>90</v>
      </c>
    </row>
    <row r="2481">
      <c r="A2481" t="inlineStr">
        <is>
          <t>CIAN</t>
        </is>
      </c>
      <c r="B2481" t="inlineStr">
        <is>
          <t>Ростов-на-Дону</t>
        </is>
      </c>
      <c r="C2481" t="inlineStr">
        <is>
          <t>Посуточная аренда · Городская · Посуточная квартира</t>
        </is>
      </c>
      <c r="D2481" t="inlineStr">
        <is>
          <t>Стандарт, ₽/сут</t>
        </is>
      </c>
      <c r="E2481" t="n">
        <v>26</v>
      </c>
    </row>
    <row r="2482">
      <c r="A2482" t="inlineStr">
        <is>
          <t>CIAN</t>
        </is>
      </c>
      <c r="B2482" t="inlineStr">
        <is>
          <t>Омск</t>
        </is>
      </c>
      <c r="C2482" t="inlineStr">
        <is>
          <t>Посуточная аренда · Городская · Посуточная квартира</t>
        </is>
      </c>
      <c r="D2482" t="inlineStr">
        <is>
          <t>Публикация, ₽/30 дн</t>
        </is>
      </c>
      <c r="E2482" t="n">
        <v>780</v>
      </c>
    </row>
    <row r="2483">
      <c r="A2483" t="inlineStr">
        <is>
          <t>CIAN</t>
        </is>
      </c>
      <c r="B2483" t="inlineStr">
        <is>
          <t>Омск</t>
        </is>
      </c>
      <c r="C2483" t="inlineStr">
        <is>
          <t>Посуточная аренда · Городская · Посуточная квартира</t>
        </is>
      </c>
      <c r="D2483" t="inlineStr">
        <is>
          <t>Топ, ₽/сут</t>
        </is>
      </c>
      <c r="E2483" t="n">
        <v>198</v>
      </c>
    </row>
    <row r="2484">
      <c r="A2484" t="inlineStr">
        <is>
          <t>CIAN</t>
        </is>
      </c>
      <c r="B2484" t="inlineStr">
        <is>
          <t>Омск</t>
        </is>
      </c>
      <c r="C2484" t="inlineStr">
        <is>
          <t>Посуточная аренда · Городская · Посуточная квартира</t>
        </is>
      </c>
      <c r="D2484" t="inlineStr">
        <is>
          <t>Премиум, ₽/сут</t>
        </is>
      </c>
      <c r="E2484" t="n">
        <v>121</v>
      </c>
    </row>
    <row r="2485">
      <c r="A2485" t="inlineStr">
        <is>
          <t>CIAN</t>
        </is>
      </c>
      <c r="B2485" t="inlineStr">
        <is>
          <t>Омск</t>
        </is>
      </c>
      <c r="C2485" t="inlineStr">
        <is>
          <t>Посуточная аренда · Городская · Посуточная квартира</t>
        </is>
      </c>
      <c r="D2485" t="inlineStr">
        <is>
          <t>Стандарт, ₽/сут</t>
        </is>
      </c>
      <c r="E2485" t="n">
        <v>40</v>
      </c>
    </row>
    <row r="2486">
      <c r="A2486" t="inlineStr">
        <is>
          <t>CIAN</t>
        </is>
      </c>
      <c r="B2486" t="inlineStr">
        <is>
          <t>Воронеж</t>
        </is>
      </c>
      <c r="C2486" t="inlineStr">
        <is>
          <t>Посуточная аренда · Городская · Посуточная квартира</t>
        </is>
      </c>
      <c r="D2486" t="inlineStr">
        <is>
          <t>Публикация, ₽/30 дн</t>
        </is>
      </c>
      <c r="E2486" t="n">
        <v>318</v>
      </c>
    </row>
    <row r="2487">
      <c r="A2487" t="inlineStr">
        <is>
          <t>CIAN</t>
        </is>
      </c>
      <c r="B2487" t="inlineStr">
        <is>
          <t>Воронеж</t>
        </is>
      </c>
      <c r="C2487" t="inlineStr">
        <is>
          <t>Посуточная аренда · Городская · Посуточная квартира</t>
        </is>
      </c>
      <c r="D2487" t="inlineStr">
        <is>
          <t>Топ, ₽/сут</t>
        </is>
      </c>
      <c r="E2487" t="n">
        <v>92</v>
      </c>
    </row>
    <row r="2488">
      <c r="A2488" t="inlineStr">
        <is>
          <t>CIAN</t>
        </is>
      </c>
      <c r="B2488" t="inlineStr">
        <is>
          <t>Воронеж</t>
        </is>
      </c>
      <c r="C2488" t="inlineStr">
        <is>
          <t>Посуточная аренда · Городская · Посуточная квартира</t>
        </is>
      </c>
      <c r="D2488" t="inlineStr">
        <is>
          <t>Премиум, ₽/сут</t>
        </is>
      </c>
      <c r="E2488" t="n">
        <v>28</v>
      </c>
    </row>
    <row r="2489">
      <c r="A2489" t="inlineStr">
        <is>
          <t>CIAN</t>
        </is>
      </c>
      <c r="B2489" t="inlineStr">
        <is>
          <t>Воронеж</t>
        </is>
      </c>
      <c r="C2489" t="inlineStr">
        <is>
          <t>Посуточная аренда · Городская · Посуточная квартира</t>
        </is>
      </c>
      <c r="D2489" t="inlineStr">
        <is>
          <t>Стандарт, ₽/сут</t>
        </is>
      </c>
      <c r="E2489" t="n">
        <v>8</v>
      </c>
    </row>
    <row r="2490">
      <c r="A2490" t="inlineStr">
        <is>
          <t>CIAN</t>
        </is>
      </c>
      <c r="B2490" t="inlineStr">
        <is>
          <t>Пермь</t>
        </is>
      </c>
      <c r="C2490" t="inlineStr">
        <is>
          <t>Посуточная аренда · Городская · Посуточная квартира</t>
        </is>
      </c>
      <c r="D2490" t="inlineStr">
        <is>
          <t>Публикация, ₽/30 дн</t>
        </is>
      </c>
      <c r="E2490" t="n">
        <v>207</v>
      </c>
    </row>
    <row r="2491">
      <c r="A2491" t="inlineStr">
        <is>
          <t>CIAN</t>
        </is>
      </c>
      <c r="B2491" t="inlineStr">
        <is>
          <t>Пермь</t>
        </is>
      </c>
      <c r="C2491" t="inlineStr">
        <is>
          <t>Посуточная аренда · Городская · Посуточная квартира</t>
        </is>
      </c>
      <c r="D2491" t="inlineStr">
        <is>
          <t>Топ, ₽/сут</t>
        </is>
      </c>
      <c r="E2491" t="n">
        <v>119</v>
      </c>
    </row>
    <row r="2492">
      <c r="A2492" t="inlineStr">
        <is>
          <t>CIAN</t>
        </is>
      </c>
      <c r="B2492" t="inlineStr">
        <is>
          <t>Пермь</t>
        </is>
      </c>
      <c r="C2492" t="inlineStr">
        <is>
          <t>Посуточная аренда · Городская · Посуточная квартира</t>
        </is>
      </c>
      <c r="D2492" t="inlineStr">
        <is>
          <t>Премиум, ₽/сут</t>
        </is>
      </c>
      <c r="E2492" t="n">
        <v>87</v>
      </c>
    </row>
    <row r="2493">
      <c r="A2493" t="inlineStr">
        <is>
          <t>CIAN</t>
        </is>
      </c>
      <c r="B2493" t="inlineStr">
        <is>
          <t>Пермь</t>
        </is>
      </c>
      <c r="C2493" t="inlineStr">
        <is>
          <t>Посуточная аренда · Городская · Посуточная квартира</t>
        </is>
      </c>
      <c r="D2493" t="inlineStr">
        <is>
          <t>Стандарт, ₽/сут</t>
        </is>
      </c>
      <c r="E2493" t="n">
        <v>27</v>
      </c>
    </row>
    <row r="2494">
      <c r="A2494" t="inlineStr">
        <is>
          <t>CIAN</t>
        </is>
      </c>
      <c r="B2494" t="inlineStr">
        <is>
          <t>Волгоград</t>
        </is>
      </c>
      <c r="C2494" t="inlineStr">
        <is>
          <t>Посуточная аренда · Городская · Посуточная квартира</t>
        </is>
      </c>
      <c r="D2494" t="inlineStr">
        <is>
          <t>Публикация, ₽/30 дн</t>
        </is>
      </c>
      <c r="E2494" t="n">
        <v>342</v>
      </c>
    </row>
    <row r="2495">
      <c r="A2495" t="inlineStr">
        <is>
          <t>CIAN</t>
        </is>
      </c>
      <c r="B2495" t="inlineStr">
        <is>
          <t>Волгоград</t>
        </is>
      </c>
      <c r="C2495" t="inlineStr">
        <is>
          <t>Посуточная аренда · Городская · Посуточная квартира</t>
        </is>
      </c>
      <c r="D2495" t="inlineStr">
        <is>
          <t>Топ, ₽/сут</t>
        </is>
      </c>
      <c r="E2495" t="n">
        <v>92</v>
      </c>
    </row>
    <row r="2496">
      <c r="A2496" t="inlineStr">
        <is>
          <t>CIAN</t>
        </is>
      </c>
      <c r="B2496" t="inlineStr">
        <is>
          <t>Волгоград</t>
        </is>
      </c>
      <c r="C2496" t="inlineStr">
        <is>
          <t>Посуточная аренда · Городская · Посуточная квартира</t>
        </is>
      </c>
      <c r="D2496" t="inlineStr">
        <is>
          <t>Премиум, ₽/сут</t>
        </is>
      </c>
      <c r="E2496" t="n">
        <v>28</v>
      </c>
    </row>
    <row r="2497">
      <c r="A2497" t="inlineStr">
        <is>
          <t>CIAN</t>
        </is>
      </c>
      <c r="B2497" t="inlineStr">
        <is>
          <t>Волгоград</t>
        </is>
      </c>
      <c r="C2497" t="inlineStr">
        <is>
          <t>Посуточная аренда · Городская · Посуточная квартира</t>
        </is>
      </c>
      <c r="D2497" t="inlineStr">
        <is>
          <t>Стандарт, ₽/сут</t>
        </is>
      </c>
      <c r="E2497" t="n">
        <v>8</v>
      </c>
    </row>
    <row r="2498">
      <c r="A2498" t="inlineStr">
        <is>
          <t>CIAN</t>
        </is>
      </c>
      <c r="B2498" t="inlineStr">
        <is>
          <t>Москва</t>
        </is>
      </c>
      <c r="C2498" t="inlineStr">
        <is>
          <t>Посуточная аренда · Городская · Посуточная комната</t>
        </is>
      </c>
      <c r="D2498" t="inlineStr">
        <is>
          <t>Публикация, ₽/30 дн</t>
        </is>
      </c>
      <c r="E2498" t="n">
        <v>2460</v>
      </c>
    </row>
    <row r="2499">
      <c r="A2499" t="inlineStr">
        <is>
          <t>CIAN</t>
        </is>
      </c>
      <c r="B2499" t="inlineStr">
        <is>
          <t>Москва</t>
        </is>
      </c>
      <c r="C2499" t="inlineStr">
        <is>
          <t>Посуточная аренда · Городская · Посуточная комната</t>
        </is>
      </c>
      <c r="D2499" t="inlineStr">
        <is>
          <t>Топ, ₽/сут</t>
        </is>
      </c>
      <c r="E2499" t="n">
        <v>909</v>
      </c>
    </row>
    <row r="2500">
      <c r="A2500" t="inlineStr">
        <is>
          <t>CIAN</t>
        </is>
      </c>
      <c r="B2500" t="inlineStr">
        <is>
          <t>Москва</t>
        </is>
      </c>
      <c r="C2500" t="inlineStr">
        <is>
          <t>Посуточная аренда · Городская · Посуточная комната</t>
        </is>
      </c>
      <c r="D2500" t="inlineStr">
        <is>
          <t>Премиум, ₽/сут</t>
        </is>
      </c>
      <c r="E2500" t="n">
        <v>415</v>
      </c>
    </row>
    <row r="2501">
      <c r="A2501" t="inlineStr">
        <is>
          <t>CIAN</t>
        </is>
      </c>
      <c r="B2501" t="inlineStr">
        <is>
          <t>Москва</t>
        </is>
      </c>
      <c r="C2501" t="inlineStr">
        <is>
          <t>Посуточная аренда · Городская · Посуточная комната</t>
        </is>
      </c>
      <c r="D2501" t="inlineStr">
        <is>
          <t>Стандарт, ₽/сут</t>
        </is>
      </c>
      <c r="E2501" t="n">
        <v>122</v>
      </c>
    </row>
    <row r="2502">
      <c r="A2502" t="inlineStr">
        <is>
          <t>CIAN</t>
        </is>
      </c>
      <c r="B2502" t="inlineStr">
        <is>
          <t>Санкт-Петербург</t>
        </is>
      </c>
      <c r="C2502" t="inlineStr">
        <is>
          <t>Посуточная аренда · Городская · Посуточная комната</t>
        </is>
      </c>
      <c r="D2502" t="inlineStr">
        <is>
          <t>Публикация, ₽/30 дн</t>
        </is>
      </c>
      <c r="E2502" t="n">
        <v>1173</v>
      </c>
    </row>
    <row r="2503">
      <c r="A2503" t="inlineStr">
        <is>
          <t>CIAN</t>
        </is>
      </c>
      <c r="B2503" t="inlineStr">
        <is>
          <t>Санкт-Петербург</t>
        </is>
      </c>
      <c r="C2503" t="inlineStr">
        <is>
          <t>Посуточная аренда · Городская · Посуточная комната</t>
        </is>
      </c>
      <c r="D2503" t="inlineStr">
        <is>
          <t>Топ, ₽/сут</t>
        </is>
      </c>
      <c r="E2503" t="n">
        <v>478</v>
      </c>
    </row>
    <row r="2504">
      <c r="A2504" t="inlineStr">
        <is>
          <t>CIAN</t>
        </is>
      </c>
      <c r="B2504" t="inlineStr">
        <is>
          <t>Санкт-Петербург</t>
        </is>
      </c>
      <c r="C2504" t="inlineStr">
        <is>
          <t>Посуточная аренда · Городская · Посуточная комната</t>
        </is>
      </c>
      <c r="D2504" t="inlineStr">
        <is>
          <t>Премиум, ₽/сут</t>
        </is>
      </c>
      <c r="E2504" t="n">
        <v>230</v>
      </c>
    </row>
    <row r="2505">
      <c r="A2505" t="inlineStr">
        <is>
          <t>CIAN</t>
        </is>
      </c>
      <c r="B2505" t="inlineStr">
        <is>
          <t>Санкт-Петербург</t>
        </is>
      </c>
      <c r="C2505" t="inlineStr">
        <is>
          <t>Посуточная аренда · Городская · Посуточная комната</t>
        </is>
      </c>
      <c r="D2505" t="inlineStr">
        <is>
          <t>Стандарт, ₽/сут</t>
        </is>
      </c>
      <c r="E2505" t="n">
        <v>68</v>
      </c>
    </row>
    <row r="2506">
      <c r="A2506" t="inlineStr">
        <is>
          <t>CIAN</t>
        </is>
      </c>
      <c r="B2506" t="inlineStr">
        <is>
          <t>Новосибирск</t>
        </is>
      </c>
      <c r="C2506" t="inlineStr">
        <is>
          <t>Посуточная аренда · Городская · Посуточная комната</t>
        </is>
      </c>
      <c r="D2506" t="inlineStr">
        <is>
          <t>Публикация, ₽/30 дн</t>
        </is>
      </c>
      <c r="E2506" t="n">
        <v>1530</v>
      </c>
    </row>
    <row r="2507">
      <c r="A2507" t="inlineStr">
        <is>
          <t>CIAN</t>
        </is>
      </c>
      <c r="B2507" t="inlineStr">
        <is>
          <t>Новосибирск</t>
        </is>
      </c>
      <c r="C2507" t="inlineStr">
        <is>
          <t>Посуточная аренда · Городская · Посуточная комната</t>
        </is>
      </c>
      <c r="D2507" t="inlineStr">
        <is>
          <t>Топ, ₽/сут</t>
        </is>
      </c>
      <c r="E2507" t="n">
        <v>276</v>
      </c>
    </row>
    <row r="2508">
      <c r="A2508" t="inlineStr">
        <is>
          <t>CIAN</t>
        </is>
      </c>
      <c r="B2508" t="inlineStr">
        <is>
          <t>Новосибирск</t>
        </is>
      </c>
      <c r="C2508" t="inlineStr">
        <is>
          <t>Посуточная аренда · Городская · Посуточная комната</t>
        </is>
      </c>
      <c r="D2508" t="inlineStr">
        <is>
          <t>Премиум, ₽/сут</t>
        </is>
      </c>
      <c r="E2508" t="n">
        <v>143</v>
      </c>
    </row>
    <row r="2509">
      <c r="A2509" t="inlineStr">
        <is>
          <t>CIAN</t>
        </is>
      </c>
      <c r="B2509" t="inlineStr">
        <is>
          <t>Новосибирск</t>
        </is>
      </c>
      <c r="C2509" t="inlineStr">
        <is>
          <t>Посуточная аренда · Городская · Посуточная комната</t>
        </is>
      </c>
      <c r="D2509" t="inlineStr">
        <is>
          <t>Стандарт, ₽/сут</t>
        </is>
      </c>
      <c r="E2509" t="n">
        <v>41</v>
      </c>
    </row>
    <row r="2510">
      <c r="A2510" t="inlineStr">
        <is>
          <t>CIAN</t>
        </is>
      </c>
      <c r="B2510" t="inlineStr">
        <is>
          <t>Екатеринбург</t>
        </is>
      </c>
      <c r="C2510" t="inlineStr">
        <is>
          <t>Посуточная аренда · Городская · Посуточная комната</t>
        </is>
      </c>
      <c r="D2510" t="inlineStr">
        <is>
          <t>Публикация, ₽/30 дн</t>
        </is>
      </c>
      <c r="E2510" t="n">
        <v>1155</v>
      </c>
    </row>
    <row r="2511">
      <c r="A2511" t="inlineStr">
        <is>
          <t>CIAN</t>
        </is>
      </c>
      <c r="B2511" t="inlineStr">
        <is>
          <t>Екатеринбург</t>
        </is>
      </c>
      <c r="C2511" t="inlineStr">
        <is>
          <t>Посуточная аренда · Городская · Посуточная комната</t>
        </is>
      </c>
      <c r="D2511" t="inlineStr">
        <is>
          <t>Топ, ₽/сут</t>
        </is>
      </c>
      <c r="E2511" t="n">
        <v>289</v>
      </c>
    </row>
    <row r="2512">
      <c r="A2512" t="inlineStr">
        <is>
          <t>CIAN</t>
        </is>
      </c>
      <c r="B2512" t="inlineStr">
        <is>
          <t>Екатеринбург</t>
        </is>
      </c>
      <c r="C2512" t="inlineStr">
        <is>
          <t>Посуточная аренда · Городская · Посуточная комната</t>
        </is>
      </c>
      <c r="D2512" t="inlineStr">
        <is>
          <t>Премиум, ₽/сут</t>
        </is>
      </c>
      <c r="E2512" t="n">
        <v>161</v>
      </c>
    </row>
    <row r="2513">
      <c r="A2513" t="inlineStr">
        <is>
          <t>CIAN</t>
        </is>
      </c>
      <c r="B2513" t="inlineStr">
        <is>
          <t>Екатеринбург</t>
        </is>
      </c>
      <c r="C2513" t="inlineStr">
        <is>
          <t>Посуточная аренда · Городская · Посуточная комната</t>
        </is>
      </c>
      <c r="D2513" t="inlineStr">
        <is>
          <t>Стандарт, ₽/сут</t>
        </is>
      </c>
      <c r="E2513" t="n">
        <v>47</v>
      </c>
    </row>
    <row r="2514">
      <c r="A2514" t="inlineStr">
        <is>
          <t>CIAN</t>
        </is>
      </c>
      <c r="B2514" t="inlineStr">
        <is>
          <t>Казань</t>
        </is>
      </c>
      <c r="C2514" t="inlineStr">
        <is>
          <t>Посуточная аренда · Городская · Посуточная комната</t>
        </is>
      </c>
      <c r="D2514" t="inlineStr">
        <is>
          <t>Публикация, ₽/30 дн</t>
        </is>
      </c>
      <c r="E2514" t="n">
        <v>426</v>
      </c>
    </row>
    <row r="2515">
      <c r="A2515" t="inlineStr">
        <is>
          <t>CIAN</t>
        </is>
      </c>
      <c r="B2515" t="inlineStr">
        <is>
          <t>Казань</t>
        </is>
      </c>
      <c r="C2515" t="inlineStr">
        <is>
          <t>Посуточная аренда · Городская · Посуточная комната</t>
        </is>
      </c>
      <c r="D2515" t="inlineStr">
        <is>
          <t>Топ, ₽/сут</t>
        </is>
      </c>
      <c r="E2515" t="n">
        <v>167</v>
      </c>
    </row>
    <row r="2516">
      <c r="A2516" t="inlineStr">
        <is>
          <t>CIAN</t>
        </is>
      </c>
      <c r="B2516" t="inlineStr">
        <is>
          <t>Казань</t>
        </is>
      </c>
      <c r="C2516" t="inlineStr">
        <is>
          <t>Посуточная аренда · Городская · Посуточная комната</t>
        </is>
      </c>
      <c r="D2516" t="inlineStr">
        <is>
          <t>Премиум, ₽/сут</t>
        </is>
      </c>
      <c r="E2516" t="n">
        <v>76</v>
      </c>
    </row>
    <row r="2517">
      <c r="A2517" t="inlineStr">
        <is>
          <t>CIAN</t>
        </is>
      </c>
      <c r="B2517" t="inlineStr">
        <is>
          <t>Казань</t>
        </is>
      </c>
      <c r="C2517" t="inlineStr">
        <is>
          <t>Посуточная аренда · Городская · Посуточная комната</t>
        </is>
      </c>
      <c r="D2517" t="inlineStr">
        <is>
          <t>Стандарт, ₽/сут</t>
        </is>
      </c>
      <c r="E2517" t="n">
        <v>23</v>
      </c>
    </row>
    <row r="2518">
      <c r="A2518" t="inlineStr">
        <is>
          <t>CIAN</t>
        </is>
      </c>
      <c r="B2518" t="inlineStr">
        <is>
          <t>Красноярск</t>
        </is>
      </c>
      <c r="C2518" t="inlineStr">
        <is>
          <t>Посуточная аренда · Городская · Посуточная комната</t>
        </is>
      </c>
      <c r="D2518" t="inlineStr">
        <is>
          <t>Публикация, ₽/30 дн</t>
        </is>
      </c>
      <c r="E2518" t="n">
        <v>420</v>
      </c>
    </row>
    <row r="2519">
      <c r="A2519" t="inlineStr">
        <is>
          <t>CIAN</t>
        </is>
      </c>
      <c r="B2519" t="inlineStr">
        <is>
          <t>Красноярск</t>
        </is>
      </c>
      <c r="C2519" t="inlineStr">
        <is>
          <t>Посуточная аренда · Городская · Посуточная комната</t>
        </is>
      </c>
      <c r="D2519" t="inlineStr">
        <is>
          <t>Топ, ₽/сут</t>
        </is>
      </c>
      <c r="E2519" t="n">
        <v>161</v>
      </c>
    </row>
    <row r="2520">
      <c r="A2520" t="inlineStr">
        <is>
          <t>CIAN</t>
        </is>
      </c>
      <c r="B2520" t="inlineStr">
        <is>
          <t>Красноярск</t>
        </is>
      </c>
      <c r="C2520" t="inlineStr">
        <is>
          <t>Посуточная аренда · Городская · Посуточная комната</t>
        </is>
      </c>
      <c r="D2520" t="inlineStr">
        <is>
          <t>Премиум, ₽/сут</t>
        </is>
      </c>
      <c r="E2520" t="n">
        <v>79</v>
      </c>
    </row>
    <row r="2521">
      <c r="A2521" t="inlineStr">
        <is>
          <t>CIAN</t>
        </is>
      </c>
      <c r="B2521" t="inlineStr">
        <is>
          <t>Красноярск</t>
        </is>
      </c>
      <c r="C2521" t="inlineStr">
        <is>
          <t>Посуточная аренда · Городская · Посуточная комната</t>
        </is>
      </c>
      <c r="D2521" t="inlineStr">
        <is>
          <t>Стандарт, ₽/сут</t>
        </is>
      </c>
      <c r="E2521" t="n">
        <v>23</v>
      </c>
    </row>
    <row r="2522">
      <c r="A2522" t="inlineStr">
        <is>
          <t>CIAN</t>
        </is>
      </c>
      <c r="B2522" t="inlineStr">
        <is>
          <t>Нижний Новгород</t>
        </is>
      </c>
      <c r="C2522" t="inlineStr">
        <is>
          <t>Посуточная аренда · Городская · Посуточная комната</t>
        </is>
      </c>
      <c r="D2522" t="inlineStr">
        <is>
          <t>Публикация, ₽/30 дн</t>
        </is>
      </c>
      <c r="E2522" t="n">
        <v>420</v>
      </c>
    </row>
    <row r="2523">
      <c r="A2523" t="inlineStr">
        <is>
          <t>CIAN</t>
        </is>
      </c>
      <c r="B2523" t="inlineStr">
        <is>
          <t>Нижний Новгород</t>
        </is>
      </c>
      <c r="C2523" t="inlineStr">
        <is>
          <t>Посуточная аренда · Городская · Посуточная комната</t>
        </is>
      </c>
      <c r="D2523" t="inlineStr">
        <is>
          <t>Топ, ₽/сут</t>
        </is>
      </c>
      <c r="E2523" t="n">
        <v>176</v>
      </c>
    </row>
    <row r="2524">
      <c r="A2524" t="inlineStr">
        <is>
          <t>CIAN</t>
        </is>
      </c>
      <c r="B2524" t="inlineStr">
        <is>
          <t>Нижний Новгород</t>
        </is>
      </c>
      <c r="C2524" t="inlineStr">
        <is>
          <t>Посуточная аренда · Городская · Посуточная комната</t>
        </is>
      </c>
      <c r="D2524" t="inlineStr">
        <is>
          <t>Премиум, ₽/сут</t>
        </is>
      </c>
      <c r="E2524" t="n">
        <v>85</v>
      </c>
    </row>
    <row r="2525">
      <c r="A2525" t="inlineStr">
        <is>
          <t>CIAN</t>
        </is>
      </c>
      <c r="B2525" t="inlineStr">
        <is>
          <t>Нижний Новгород</t>
        </is>
      </c>
      <c r="C2525" t="inlineStr">
        <is>
          <t>Посуточная аренда · Городская · Посуточная комната</t>
        </is>
      </c>
      <c r="D2525" t="inlineStr">
        <is>
          <t>Стандарт, ₽/сут</t>
        </is>
      </c>
      <c r="E2525" t="n">
        <v>24</v>
      </c>
    </row>
    <row r="2526">
      <c r="A2526" t="inlineStr">
        <is>
          <t>CIAN</t>
        </is>
      </c>
      <c r="B2526" t="inlineStr">
        <is>
          <t>Челябинск</t>
        </is>
      </c>
      <c r="C2526" t="inlineStr">
        <is>
          <t>Посуточная аренда · Городская · Посуточная комната</t>
        </is>
      </c>
      <c r="D2526" t="inlineStr">
        <is>
          <t>Публикация, ₽/30 дн</t>
        </is>
      </c>
      <c r="E2526" t="n">
        <v>0</v>
      </c>
    </row>
    <row r="2527">
      <c r="A2527" t="inlineStr">
        <is>
          <t>CIAN</t>
        </is>
      </c>
      <c r="B2527" t="inlineStr">
        <is>
          <t>Челябинск</t>
        </is>
      </c>
      <c r="C2527" t="inlineStr">
        <is>
          <t>Посуточная аренда · Городская · Посуточная комната</t>
        </is>
      </c>
      <c r="D2527" t="inlineStr">
        <is>
          <t>Топ, ₽/сут</t>
        </is>
      </c>
      <c r="E2527" t="n">
        <v>233</v>
      </c>
    </row>
    <row r="2528">
      <c r="A2528" t="inlineStr">
        <is>
          <t>CIAN</t>
        </is>
      </c>
      <c r="B2528" t="inlineStr">
        <is>
          <t>Челябинск</t>
        </is>
      </c>
      <c r="C2528" t="inlineStr">
        <is>
          <t>Посуточная аренда · Городская · Посуточная комната</t>
        </is>
      </c>
      <c r="D2528" t="inlineStr">
        <is>
          <t>Премиум, ₽/сут</t>
        </is>
      </c>
      <c r="E2528" t="n">
        <v>111</v>
      </c>
    </row>
    <row r="2529">
      <c r="A2529" t="inlineStr">
        <is>
          <t>CIAN</t>
        </is>
      </c>
      <c r="B2529" t="inlineStr">
        <is>
          <t>Челябинск</t>
        </is>
      </c>
      <c r="C2529" t="inlineStr">
        <is>
          <t>Посуточная аренда · Городская · Посуточная комната</t>
        </is>
      </c>
      <c r="D2529" t="inlineStr">
        <is>
          <t>Стандарт, ₽/сут</t>
        </is>
      </c>
      <c r="E2529" t="n">
        <v>32</v>
      </c>
    </row>
    <row r="2530">
      <c r="A2530" t="inlineStr">
        <is>
          <t>CIAN</t>
        </is>
      </c>
      <c r="B2530" t="inlineStr">
        <is>
          <t>Уфа</t>
        </is>
      </c>
      <c r="C2530" t="inlineStr">
        <is>
          <t>Посуточная аренда · Городская · Посуточная комната</t>
        </is>
      </c>
      <c r="D2530" t="inlineStr">
        <is>
          <t>Публикация, ₽/30 дн</t>
        </is>
      </c>
      <c r="E2530" t="n">
        <v>318</v>
      </c>
    </row>
    <row r="2531">
      <c r="A2531" t="inlineStr">
        <is>
          <t>CIAN</t>
        </is>
      </c>
      <c r="B2531" t="inlineStr">
        <is>
          <t>Уфа</t>
        </is>
      </c>
      <c r="C2531" t="inlineStr">
        <is>
          <t>Посуточная аренда · Городская · Посуточная комната</t>
        </is>
      </c>
      <c r="D2531" t="inlineStr">
        <is>
          <t>Топ, ₽/сут</t>
        </is>
      </c>
      <c r="E2531" t="n">
        <v>128</v>
      </c>
    </row>
    <row r="2532">
      <c r="A2532" t="inlineStr">
        <is>
          <t>CIAN</t>
        </is>
      </c>
      <c r="B2532" t="inlineStr">
        <is>
          <t>Уфа</t>
        </is>
      </c>
      <c r="C2532" t="inlineStr">
        <is>
          <t>Посуточная аренда · Городская · Посуточная комната</t>
        </is>
      </c>
      <c r="D2532" t="inlineStr">
        <is>
          <t>Премиум, ₽/сут</t>
        </is>
      </c>
      <c r="E2532" t="n">
        <v>62</v>
      </c>
    </row>
    <row r="2533">
      <c r="A2533" t="inlineStr">
        <is>
          <t>CIAN</t>
        </is>
      </c>
      <c r="B2533" t="inlineStr">
        <is>
          <t>Уфа</t>
        </is>
      </c>
      <c r="C2533" t="inlineStr">
        <is>
          <t>Посуточная аренда · Городская · Посуточная комната</t>
        </is>
      </c>
      <c r="D2533" t="inlineStr">
        <is>
          <t>Стандарт, ₽/сут</t>
        </is>
      </c>
      <c r="E2533" t="n">
        <v>18</v>
      </c>
    </row>
    <row r="2534">
      <c r="A2534" t="inlineStr">
        <is>
          <t>CIAN</t>
        </is>
      </c>
      <c r="B2534" t="inlineStr">
        <is>
          <t>Краснодар</t>
        </is>
      </c>
      <c r="C2534" t="inlineStr">
        <is>
          <t>Посуточная аренда · Городская · Посуточная комната</t>
        </is>
      </c>
      <c r="D2534" t="inlineStr">
        <is>
          <t>Публикация, ₽/30 дн</t>
        </is>
      </c>
      <c r="E2534" t="n">
        <v>420</v>
      </c>
    </row>
    <row r="2535">
      <c r="A2535" t="inlineStr">
        <is>
          <t>CIAN</t>
        </is>
      </c>
      <c r="B2535" t="inlineStr">
        <is>
          <t>Краснодар</t>
        </is>
      </c>
      <c r="C2535" t="inlineStr">
        <is>
          <t>Посуточная аренда · Городская · Посуточная комната</t>
        </is>
      </c>
      <c r="D2535" t="inlineStr">
        <is>
          <t>Топ, ₽/сут</t>
        </is>
      </c>
      <c r="E2535" t="n">
        <v>225</v>
      </c>
    </row>
    <row r="2536">
      <c r="A2536" t="inlineStr">
        <is>
          <t>CIAN</t>
        </is>
      </c>
      <c r="B2536" t="inlineStr">
        <is>
          <t>Краснодар</t>
        </is>
      </c>
      <c r="C2536" t="inlineStr">
        <is>
          <t>Посуточная аренда · Городская · Посуточная комната</t>
        </is>
      </c>
      <c r="D2536" t="inlineStr">
        <is>
          <t>Премиум, ₽/сут</t>
        </is>
      </c>
      <c r="E2536" t="n">
        <v>101</v>
      </c>
    </row>
    <row r="2537">
      <c r="A2537" t="inlineStr">
        <is>
          <t>CIAN</t>
        </is>
      </c>
      <c r="B2537" t="inlineStr">
        <is>
          <t>Краснодар</t>
        </is>
      </c>
      <c r="C2537" t="inlineStr">
        <is>
          <t>Посуточная аренда · Городская · Посуточная комната</t>
        </is>
      </c>
      <c r="D2537" t="inlineStr">
        <is>
          <t>Стандарт, ₽/сут</t>
        </is>
      </c>
      <c r="E2537" t="n">
        <v>29</v>
      </c>
    </row>
    <row r="2538">
      <c r="A2538" t="inlineStr">
        <is>
          <t>CIAN</t>
        </is>
      </c>
      <c r="B2538" t="inlineStr">
        <is>
          <t>Самара</t>
        </is>
      </c>
      <c r="C2538" t="inlineStr">
        <is>
          <t>Посуточная аренда · Городская · Посуточная комната</t>
        </is>
      </c>
      <c r="D2538" t="inlineStr">
        <is>
          <t>Публикация, ₽/30 дн</t>
        </is>
      </c>
      <c r="E2538" t="n">
        <v>570</v>
      </c>
    </row>
    <row r="2539">
      <c r="A2539" t="inlineStr">
        <is>
          <t>CIAN</t>
        </is>
      </c>
      <c r="B2539" t="inlineStr">
        <is>
          <t>Самара</t>
        </is>
      </c>
      <c r="C2539" t="inlineStr">
        <is>
          <t>Посуточная аренда · Городская · Посуточная комната</t>
        </is>
      </c>
      <c r="D2539" t="inlineStr">
        <is>
          <t>Топ, ₽/сут</t>
        </is>
      </c>
      <c r="E2539" t="n">
        <v>159</v>
      </c>
    </row>
    <row r="2540">
      <c r="A2540" t="inlineStr">
        <is>
          <t>CIAN</t>
        </is>
      </c>
      <c r="B2540" t="inlineStr">
        <is>
          <t>Самара</t>
        </is>
      </c>
      <c r="C2540" t="inlineStr">
        <is>
          <t>Посуточная аренда · Городская · Посуточная комната</t>
        </is>
      </c>
      <c r="D2540" t="inlineStr">
        <is>
          <t>Премиум, ₽/сут</t>
        </is>
      </c>
      <c r="E2540" t="n">
        <v>72</v>
      </c>
    </row>
    <row r="2541">
      <c r="A2541" t="inlineStr">
        <is>
          <t>CIAN</t>
        </is>
      </c>
      <c r="B2541" t="inlineStr">
        <is>
          <t>Самара</t>
        </is>
      </c>
      <c r="C2541" t="inlineStr">
        <is>
          <t>Посуточная аренда · Городская · Посуточная комната</t>
        </is>
      </c>
      <c r="D2541" t="inlineStr">
        <is>
          <t>Стандарт, ₽/сут</t>
        </is>
      </c>
      <c r="E2541" t="n">
        <v>21</v>
      </c>
    </row>
    <row r="2542">
      <c r="A2542" t="inlineStr">
        <is>
          <t>CIAN</t>
        </is>
      </c>
      <c r="B2542" t="inlineStr">
        <is>
          <t>Ростов-на-Дону</t>
        </is>
      </c>
      <c r="C2542" t="inlineStr">
        <is>
          <t>Посуточная аренда · Городская · Посуточная комната</t>
        </is>
      </c>
      <c r="D2542" t="inlineStr">
        <is>
          <t>Публикация, ₽/30 дн</t>
        </is>
      </c>
      <c r="E2542" t="n">
        <v>369</v>
      </c>
    </row>
    <row r="2543">
      <c r="A2543" t="inlineStr">
        <is>
          <t>CIAN</t>
        </is>
      </c>
      <c r="B2543" t="inlineStr">
        <is>
          <t>Ростов-на-Дону</t>
        </is>
      </c>
      <c r="C2543" t="inlineStr">
        <is>
          <t>Посуточная аренда · Городская · Посуточная комната</t>
        </is>
      </c>
      <c r="D2543" t="inlineStr">
        <is>
          <t>Топ, ₽/сут</t>
        </is>
      </c>
      <c r="E2543" t="n">
        <v>167</v>
      </c>
    </row>
    <row r="2544">
      <c r="A2544" t="inlineStr">
        <is>
          <t>CIAN</t>
        </is>
      </c>
      <c r="B2544" t="inlineStr">
        <is>
          <t>Ростов-на-Дону</t>
        </is>
      </c>
      <c r="C2544" t="inlineStr">
        <is>
          <t>Посуточная аренда · Городская · Посуточная комната</t>
        </is>
      </c>
      <c r="D2544" t="inlineStr">
        <is>
          <t>Премиум, ₽/сут</t>
        </is>
      </c>
      <c r="E2544" t="n">
        <v>80</v>
      </c>
    </row>
    <row r="2545">
      <c r="A2545" t="inlineStr">
        <is>
          <t>CIAN</t>
        </is>
      </c>
      <c r="B2545" t="inlineStr">
        <is>
          <t>Ростов-на-Дону</t>
        </is>
      </c>
      <c r="C2545" t="inlineStr">
        <is>
          <t>Посуточная аренда · Городская · Посуточная комната</t>
        </is>
      </c>
      <c r="D2545" t="inlineStr">
        <is>
          <t>Стандарт, ₽/сут</t>
        </is>
      </c>
      <c r="E2545" t="n">
        <v>23</v>
      </c>
    </row>
    <row r="2546">
      <c r="A2546" t="inlineStr">
        <is>
          <t>CIAN</t>
        </is>
      </c>
      <c r="B2546" t="inlineStr">
        <is>
          <t>Омск</t>
        </is>
      </c>
      <c r="C2546" t="inlineStr">
        <is>
          <t>Посуточная аренда · Городская · Посуточная комната</t>
        </is>
      </c>
      <c r="D2546" t="inlineStr">
        <is>
          <t>Публикация, ₽/30 дн</t>
        </is>
      </c>
      <c r="E2546" t="n">
        <v>780</v>
      </c>
    </row>
    <row r="2547">
      <c r="A2547" t="inlineStr">
        <is>
          <t>CIAN</t>
        </is>
      </c>
      <c r="B2547" t="inlineStr">
        <is>
          <t>Омск</t>
        </is>
      </c>
      <c r="C2547" t="inlineStr">
        <is>
          <t>Посуточная аренда · Городская · Посуточная комната</t>
        </is>
      </c>
      <c r="D2547" t="inlineStr">
        <is>
          <t>Топ, ₽/сут</t>
        </is>
      </c>
      <c r="E2547" t="n">
        <v>173</v>
      </c>
    </row>
    <row r="2548">
      <c r="A2548" t="inlineStr">
        <is>
          <t>CIAN</t>
        </is>
      </c>
      <c r="B2548" t="inlineStr">
        <is>
          <t>Омск</t>
        </is>
      </c>
      <c r="C2548" t="inlineStr">
        <is>
          <t>Посуточная аренда · Городская · Посуточная комната</t>
        </is>
      </c>
      <c r="D2548" t="inlineStr">
        <is>
          <t>Премиум, ₽/сут</t>
        </is>
      </c>
      <c r="E2548" t="n">
        <v>111</v>
      </c>
    </row>
    <row r="2549">
      <c r="A2549" t="inlineStr">
        <is>
          <t>CIAN</t>
        </is>
      </c>
      <c r="B2549" t="inlineStr">
        <is>
          <t>Омск</t>
        </is>
      </c>
      <c r="C2549" t="inlineStr">
        <is>
          <t>Посуточная аренда · Городская · Посуточная комната</t>
        </is>
      </c>
      <c r="D2549" t="inlineStr">
        <is>
          <t>Стандарт, ₽/сут</t>
        </is>
      </c>
      <c r="E2549" t="n">
        <v>36</v>
      </c>
    </row>
    <row r="2550">
      <c r="A2550" t="inlineStr">
        <is>
          <t>CIAN</t>
        </is>
      </c>
      <c r="B2550" t="inlineStr">
        <is>
          <t>Воронеж</t>
        </is>
      </c>
      <c r="C2550" t="inlineStr">
        <is>
          <t>Посуточная аренда · Городская · Посуточная комната</t>
        </is>
      </c>
      <c r="D2550" t="inlineStr">
        <is>
          <t>Публикация, ₽/30 дн</t>
        </is>
      </c>
      <c r="E2550" t="n">
        <v>318</v>
      </c>
    </row>
    <row r="2551">
      <c r="A2551" t="inlineStr">
        <is>
          <t>CIAN</t>
        </is>
      </c>
      <c r="B2551" t="inlineStr">
        <is>
          <t>Воронеж</t>
        </is>
      </c>
      <c r="C2551" t="inlineStr">
        <is>
          <t>Посуточная аренда · Городская · Посуточная комната</t>
        </is>
      </c>
      <c r="D2551" t="inlineStr">
        <is>
          <t>Топ, ₽/сут</t>
        </is>
      </c>
      <c r="E2551" t="n">
        <v>67</v>
      </c>
    </row>
    <row r="2552">
      <c r="A2552" t="inlineStr">
        <is>
          <t>CIAN</t>
        </is>
      </c>
      <c r="B2552" t="inlineStr">
        <is>
          <t>Воронеж</t>
        </is>
      </c>
      <c r="C2552" t="inlineStr">
        <is>
          <t>Посуточная аренда · Городская · Посуточная комната</t>
        </is>
      </c>
      <c r="D2552" t="inlineStr">
        <is>
          <t>Премиум, ₽/сут</t>
        </is>
      </c>
      <c r="E2552" t="n">
        <v>21</v>
      </c>
    </row>
    <row r="2553">
      <c r="A2553" t="inlineStr">
        <is>
          <t>CIAN</t>
        </is>
      </c>
      <c r="B2553" t="inlineStr">
        <is>
          <t>Воронеж</t>
        </is>
      </c>
      <c r="C2553" t="inlineStr">
        <is>
          <t>Посуточная аренда · Городская · Посуточная комната</t>
        </is>
      </c>
      <c r="D2553" t="inlineStr">
        <is>
          <t>Стандарт, ₽/сут</t>
        </is>
      </c>
      <c r="E2553" t="n">
        <v>6</v>
      </c>
    </row>
    <row r="2554">
      <c r="A2554" t="inlineStr">
        <is>
          <t>CIAN</t>
        </is>
      </c>
      <c r="B2554" t="inlineStr">
        <is>
          <t>Пермь</t>
        </is>
      </c>
      <c r="C2554" t="inlineStr">
        <is>
          <t>Посуточная аренда · Городская · Посуточная комната</t>
        </is>
      </c>
      <c r="D2554" t="inlineStr">
        <is>
          <t>Публикация, ₽/30 дн</t>
        </is>
      </c>
      <c r="E2554" t="n">
        <v>207</v>
      </c>
    </row>
    <row r="2555">
      <c r="A2555" t="inlineStr">
        <is>
          <t>CIAN</t>
        </is>
      </c>
      <c r="B2555" t="inlineStr">
        <is>
          <t>Пермь</t>
        </is>
      </c>
      <c r="C2555" t="inlineStr">
        <is>
          <t>Посуточная аренда · Городская · Посуточная комната</t>
        </is>
      </c>
      <c r="D2555" t="inlineStr">
        <is>
          <t>Топ, ₽/сут</t>
        </is>
      </c>
      <c r="E2555" t="n">
        <v>96</v>
      </c>
    </row>
    <row r="2556">
      <c r="A2556" t="inlineStr">
        <is>
          <t>CIAN</t>
        </is>
      </c>
      <c r="B2556" t="inlineStr">
        <is>
          <t>Пермь</t>
        </is>
      </c>
      <c r="C2556" t="inlineStr">
        <is>
          <t>Посуточная аренда · Городская · Посуточная комната</t>
        </is>
      </c>
      <c r="D2556" t="inlineStr">
        <is>
          <t>Премиум, ₽/сут</t>
        </is>
      </c>
      <c r="E2556" t="n">
        <v>71</v>
      </c>
    </row>
    <row r="2557">
      <c r="A2557" t="inlineStr">
        <is>
          <t>CIAN</t>
        </is>
      </c>
      <c r="B2557" t="inlineStr">
        <is>
          <t>Пермь</t>
        </is>
      </c>
      <c r="C2557" t="inlineStr">
        <is>
          <t>Посуточная аренда · Городская · Посуточная комната</t>
        </is>
      </c>
      <c r="D2557" t="inlineStr">
        <is>
          <t>Стандарт, ₽/сут</t>
        </is>
      </c>
      <c r="E2557" t="n">
        <v>21</v>
      </c>
    </row>
    <row r="2558">
      <c r="A2558" t="inlineStr">
        <is>
          <t>CIAN</t>
        </is>
      </c>
      <c r="B2558" t="inlineStr">
        <is>
          <t>Волгоград</t>
        </is>
      </c>
      <c r="C2558" t="inlineStr">
        <is>
          <t>Посуточная аренда · Городская · Посуточная комната</t>
        </is>
      </c>
      <c r="D2558" t="inlineStr">
        <is>
          <t>Публикация, ₽/30 дн</t>
        </is>
      </c>
      <c r="E2558" t="n">
        <v>342</v>
      </c>
    </row>
    <row r="2559">
      <c r="A2559" t="inlineStr">
        <is>
          <t>CIAN</t>
        </is>
      </c>
      <c r="B2559" t="inlineStr">
        <is>
          <t>Волгоград</t>
        </is>
      </c>
      <c r="C2559" t="inlineStr">
        <is>
          <t>Посуточная аренда · Городская · Посуточная комната</t>
        </is>
      </c>
      <c r="D2559" t="inlineStr">
        <is>
          <t>Топ, ₽/сут</t>
        </is>
      </c>
      <c r="E2559" t="n">
        <v>67</v>
      </c>
    </row>
    <row r="2560">
      <c r="A2560" t="inlineStr">
        <is>
          <t>CIAN</t>
        </is>
      </c>
      <c r="B2560" t="inlineStr">
        <is>
          <t>Волгоград</t>
        </is>
      </c>
      <c r="C2560" t="inlineStr">
        <is>
          <t>Посуточная аренда · Городская · Посуточная комната</t>
        </is>
      </c>
      <c r="D2560" t="inlineStr">
        <is>
          <t>Премиум, ₽/сут</t>
        </is>
      </c>
      <c r="E2560" t="n">
        <v>21</v>
      </c>
    </row>
    <row r="2561">
      <c r="A2561" t="inlineStr">
        <is>
          <t>CIAN</t>
        </is>
      </c>
      <c r="B2561" t="inlineStr">
        <is>
          <t>Волгоград</t>
        </is>
      </c>
      <c r="C2561" t="inlineStr">
        <is>
          <t>Посуточная аренда · Городская · Посуточная комната</t>
        </is>
      </c>
      <c r="D2561" t="inlineStr">
        <is>
          <t>Стандарт, ₽/сут</t>
        </is>
      </c>
      <c r="E2561" t="n">
        <v>6</v>
      </c>
    </row>
    <row r="2562">
      <c r="A2562" t="inlineStr">
        <is>
          <t>CIAN</t>
        </is>
      </c>
      <c r="B2562" t="inlineStr">
        <is>
          <t>Москва</t>
        </is>
      </c>
      <c r="C2562" t="inlineStr">
        <is>
          <t>Посуточная аренда · Городская · Посуточное койко-место</t>
        </is>
      </c>
      <c r="D2562" t="inlineStr">
        <is>
          <t>Публикация, ₽/30 дн</t>
        </is>
      </c>
      <c r="E2562" t="n">
        <v>2343</v>
      </c>
    </row>
    <row r="2563">
      <c r="A2563" t="inlineStr">
        <is>
          <t>CIAN</t>
        </is>
      </c>
      <c r="B2563" t="inlineStr">
        <is>
          <t>Москва</t>
        </is>
      </c>
      <c r="C2563" t="inlineStr">
        <is>
          <t>Посуточная аренда · Городская · Посуточное койко-место</t>
        </is>
      </c>
      <c r="D2563" t="inlineStr">
        <is>
          <t>Топ, ₽/сут</t>
        </is>
      </c>
      <c r="E2563" t="n">
        <v>947</v>
      </c>
    </row>
    <row r="2564">
      <c r="A2564" t="inlineStr">
        <is>
          <t>CIAN</t>
        </is>
      </c>
      <c r="B2564" t="inlineStr">
        <is>
          <t>Москва</t>
        </is>
      </c>
      <c r="C2564" t="inlineStr">
        <is>
          <t>Посуточная аренда · Городская · Посуточное койко-место</t>
        </is>
      </c>
      <c r="D2564" t="inlineStr">
        <is>
          <t>Премиум, ₽/сут</t>
        </is>
      </c>
      <c r="E2564" t="n">
        <v>415</v>
      </c>
    </row>
    <row r="2565">
      <c r="A2565" t="inlineStr">
        <is>
          <t>CIAN</t>
        </is>
      </c>
      <c r="B2565" t="inlineStr">
        <is>
          <t>Москва</t>
        </is>
      </c>
      <c r="C2565" t="inlineStr">
        <is>
          <t>Посуточная аренда · Городская · Посуточное койко-место</t>
        </is>
      </c>
      <c r="D2565" t="inlineStr">
        <is>
          <t>Стандарт, ₽/сут</t>
        </is>
      </c>
      <c r="E2565" t="n">
        <v>122</v>
      </c>
    </row>
    <row r="2566">
      <c r="A2566" t="inlineStr">
        <is>
          <t>CIAN</t>
        </is>
      </c>
      <c r="B2566" t="inlineStr">
        <is>
          <t>Санкт-Петербург</t>
        </is>
      </c>
      <c r="C2566" t="inlineStr">
        <is>
          <t>Посуточная аренда · Городская · Посуточное койко-место</t>
        </is>
      </c>
      <c r="D2566" t="inlineStr">
        <is>
          <t>Публикация, ₽/30 дн</t>
        </is>
      </c>
      <c r="E2566" t="n">
        <v>1032</v>
      </c>
    </row>
    <row r="2567">
      <c r="A2567" t="inlineStr">
        <is>
          <t>CIAN</t>
        </is>
      </c>
      <c r="B2567" t="inlineStr">
        <is>
          <t>Санкт-Петербург</t>
        </is>
      </c>
      <c r="C2567" t="inlineStr">
        <is>
          <t>Посуточная аренда · Городская · Посуточное койко-место</t>
        </is>
      </c>
      <c r="D2567" t="inlineStr">
        <is>
          <t>Топ, ₽/сут</t>
        </is>
      </c>
      <c r="E2567" t="n">
        <v>421</v>
      </c>
    </row>
    <row r="2568">
      <c r="A2568" t="inlineStr">
        <is>
          <t>CIAN</t>
        </is>
      </c>
      <c r="B2568" t="inlineStr">
        <is>
          <t>Санкт-Петербург</t>
        </is>
      </c>
      <c r="C2568" t="inlineStr">
        <is>
          <t>Посуточная аренда · Городская · Посуточное койко-место</t>
        </is>
      </c>
      <c r="D2568" t="inlineStr">
        <is>
          <t>Премиум, ₽/сут</t>
        </is>
      </c>
      <c r="E2568" t="n">
        <v>202</v>
      </c>
    </row>
    <row r="2569">
      <c r="A2569" t="inlineStr">
        <is>
          <t>CIAN</t>
        </is>
      </c>
      <c r="B2569" t="inlineStr">
        <is>
          <t>Санкт-Петербург</t>
        </is>
      </c>
      <c r="C2569" t="inlineStr">
        <is>
          <t>Посуточная аренда · Городская · Посуточное койко-место</t>
        </is>
      </c>
      <c r="D2569" t="inlineStr">
        <is>
          <t>Стандарт, ₽/сут</t>
        </is>
      </c>
      <c r="E2569" t="n">
        <v>60</v>
      </c>
    </row>
    <row r="2570">
      <c r="A2570" t="inlineStr">
        <is>
          <t>CIAN</t>
        </is>
      </c>
      <c r="B2570" t="inlineStr">
        <is>
          <t>Новосибирск</t>
        </is>
      </c>
      <c r="C2570" t="inlineStr">
        <is>
          <t>Посуточная аренда · Городская · Посуточное койко-место</t>
        </is>
      </c>
      <c r="D2570" t="inlineStr">
        <is>
          <t>Публикация, ₽/30 дн</t>
        </is>
      </c>
      <c r="E2570" t="n">
        <v>1530</v>
      </c>
    </row>
    <row r="2571">
      <c r="A2571" t="inlineStr">
        <is>
          <t>CIAN</t>
        </is>
      </c>
      <c r="B2571" t="inlineStr">
        <is>
          <t>Новосибирск</t>
        </is>
      </c>
      <c r="C2571" t="inlineStr">
        <is>
          <t>Посуточная аренда · Городская · Посуточное койко-место</t>
        </is>
      </c>
      <c r="D2571" t="inlineStr">
        <is>
          <t>Топ, ₽/сут</t>
        </is>
      </c>
      <c r="E2571" t="n">
        <v>276</v>
      </c>
    </row>
    <row r="2572">
      <c r="A2572" t="inlineStr">
        <is>
          <t>CIAN</t>
        </is>
      </c>
      <c r="B2572" t="inlineStr">
        <is>
          <t>Новосибирск</t>
        </is>
      </c>
      <c r="C2572" t="inlineStr">
        <is>
          <t>Посуточная аренда · Городская · Посуточное койко-место</t>
        </is>
      </c>
      <c r="D2572" t="inlineStr">
        <is>
          <t>Премиум, ₽/сут</t>
        </is>
      </c>
      <c r="E2572" t="n">
        <v>143</v>
      </c>
    </row>
    <row r="2573">
      <c r="A2573" t="inlineStr">
        <is>
          <t>CIAN</t>
        </is>
      </c>
      <c r="B2573" t="inlineStr">
        <is>
          <t>Новосибирск</t>
        </is>
      </c>
      <c r="C2573" t="inlineStr">
        <is>
          <t>Посуточная аренда · Городская · Посуточное койко-место</t>
        </is>
      </c>
      <c r="D2573" t="inlineStr">
        <is>
          <t>Стандарт, ₽/сут</t>
        </is>
      </c>
      <c r="E2573" t="n">
        <v>41</v>
      </c>
    </row>
    <row r="2574">
      <c r="A2574" t="inlineStr">
        <is>
          <t>CIAN</t>
        </is>
      </c>
      <c r="B2574" t="inlineStr">
        <is>
          <t>Екатеринбург</t>
        </is>
      </c>
      <c r="C2574" t="inlineStr">
        <is>
          <t>Посуточная аренда · Городская · Посуточное койко-место</t>
        </is>
      </c>
      <c r="D2574" t="inlineStr">
        <is>
          <t>Публикация, ₽/30 дн</t>
        </is>
      </c>
      <c r="E2574" t="n">
        <v>1155</v>
      </c>
    </row>
    <row r="2575">
      <c r="A2575" t="inlineStr">
        <is>
          <t>CIAN</t>
        </is>
      </c>
      <c r="B2575" t="inlineStr">
        <is>
          <t>Екатеринбург</t>
        </is>
      </c>
      <c r="C2575" t="inlineStr">
        <is>
          <t>Посуточная аренда · Городская · Посуточное койко-место</t>
        </is>
      </c>
      <c r="D2575" t="inlineStr">
        <is>
          <t>Топ, ₽/сут</t>
        </is>
      </c>
      <c r="E2575" t="n">
        <v>289</v>
      </c>
    </row>
    <row r="2576">
      <c r="A2576" t="inlineStr">
        <is>
          <t>CIAN</t>
        </is>
      </c>
      <c r="B2576" t="inlineStr">
        <is>
          <t>Екатеринбург</t>
        </is>
      </c>
      <c r="C2576" t="inlineStr">
        <is>
          <t>Посуточная аренда · Городская · Посуточное койко-место</t>
        </is>
      </c>
      <c r="D2576" t="inlineStr">
        <is>
          <t>Премиум, ₽/сут</t>
        </is>
      </c>
      <c r="E2576" t="n">
        <v>161</v>
      </c>
    </row>
    <row r="2577">
      <c r="A2577" t="inlineStr">
        <is>
          <t>CIAN</t>
        </is>
      </c>
      <c r="B2577" t="inlineStr">
        <is>
          <t>Екатеринбург</t>
        </is>
      </c>
      <c r="C2577" t="inlineStr">
        <is>
          <t>Посуточная аренда · Городская · Посуточное койко-место</t>
        </is>
      </c>
      <c r="D2577" t="inlineStr">
        <is>
          <t>Стандарт, ₽/сут</t>
        </is>
      </c>
      <c r="E2577" t="n">
        <v>47</v>
      </c>
    </row>
    <row r="2578">
      <c r="A2578" t="inlineStr">
        <is>
          <t>CIAN</t>
        </is>
      </c>
      <c r="B2578" t="inlineStr">
        <is>
          <t>Казань</t>
        </is>
      </c>
      <c r="C2578" t="inlineStr">
        <is>
          <t>Посуточная аренда · Городская · Посуточное койко-место</t>
        </is>
      </c>
      <c r="D2578" t="inlineStr">
        <is>
          <t>Публикация, ₽/30 дн</t>
        </is>
      </c>
      <c r="E2578" t="n">
        <v>0</v>
      </c>
    </row>
    <row r="2579">
      <c r="A2579" t="inlineStr">
        <is>
          <t>CIAN</t>
        </is>
      </c>
      <c r="B2579" t="inlineStr">
        <is>
          <t>Казань</t>
        </is>
      </c>
      <c r="C2579" t="inlineStr">
        <is>
          <t>Посуточная аренда · Городская · Посуточное койко-место</t>
        </is>
      </c>
      <c r="D2579" t="inlineStr">
        <is>
          <t>Топ, ₽/сут</t>
        </is>
      </c>
      <c r="E2579" t="n">
        <v>199</v>
      </c>
    </row>
    <row r="2580">
      <c r="A2580" t="inlineStr">
        <is>
          <t>CIAN</t>
        </is>
      </c>
      <c r="B2580" t="inlineStr">
        <is>
          <t>Казань</t>
        </is>
      </c>
      <c r="C2580" t="inlineStr">
        <is>
          <t>Посуточная аренда · Городская · Посуточное койко-место</t>
        </is>
      </c>
      <c r="D2580" t="inlineStr">
        <is>
          <t>Премиум, ₽/сут</t>
        </is>
      </c>
      <c r="E2580" t="n">
        <v>96</v>
      </c>
    </row>
    <row r="2581">
      <c r="A2581" t="inlineStr">
        <is>
          <t>CIAN</t>
        </is>
      </c>
      <c r="B2581" t="inlineStr">
        <is>
          <t>Казань</t>
        </is>
      </c>
      <c r="C2581" t="inlineStr">
        <is>
          <t>Посуточная аренда · Городская · Посуточное койко-место</t>
        </is>
      </c>
      <c r="D2581" t="inlineStr">
        <is>
          <t>Стандарт, ₽/сут</t>
        </is>
      </c>
      <c r="E2581" t="n">
        <v>28</v>
      </c>
    </row>
    <row r="2582">
      <c r="A2582" t="inlineStr">
        <is>
          <t>CIAN</t>
        </is>
      </c>
      <c r="B2582" t="inlineStr">
        <is>
          <t>Красноярск</t>
        </is>
      </c>
      <c r="C2582" t="inlineStr">
        <is>
          <t>Посуточная аренда · Городская · Посуточное койко-место</t>
        </is>
      </c>
      <c r="D2582" t="inlineStr">
        <is>
          <t>Публикация, ₽/30 дн</t>
        </is>
      </c>
      <c r="E2582" t="n">
        <v>420</v>
      </c>
    </row>
    <row r="2583">
      <c r="A2583" t="inlineStr">
        <is>
          <t>CIAN</t>
        </is>
      </c>
      <c r="B2583" t="inlineStr">
        <is>
          <t>Красноярск</t>
        </is>
      </c>
      <c r="C2583" t="inlineStr">
        <is>
          <t>Посуточная аренда · Городская · Посуточное койко-место</t>
        </is>
      </c>
      <c r="D2583" t="inlineStr">
        <is>
          <t>Топ, ₽/сут</t>
        </is>
      </c>
      <c r="E2583" t="n">
        <v>161</v>
      </c>
    </row>
    <row r="2584">
      <c r="A2584" t="inlineStr">
        <is>
          <t>CIAN</t>
        </is>
      </c>
      <c r="B2584" t="inlineStr">
        <is>
          <t>Красноярск</t>
        </is>
      </c>
      <c r="C2584" t="inlineStr">
        <is>
          <t>Посуточная аренда · Городская · Посуточное койко-место</t>
        </is>
      </c>
      <c r="D2584" t="inlineStr">
        <is>
          <t>Премиум, ₽/сут</t>
        </is>
      </c>
      <c r="E2584" t="n">
        <v>79</v>
      </c>
    </row>
    <row r="2585">
      <c r="A2585" t="inlineStr">
        <is>
          <t>CIAN</t>
        </is>
      </c>
      <c r="B2585" t="inlineStr">
        <is>
          <t>Красноярск</t>
        </is>
      </c>
      <c r="C2585" t="inlineStr">
        <is>
          <t>Посуточная аренда · Городская · Посуточное койко-место</t>
        </is>
      </c>
      <c r="D2585" t="inlineStr">
        <is>
          <t>Стандарт, ₽/сут</t>
        </is>
      </c>
      <c r="E2585" t="n">
        <v>23</v>
      </c>
    </row>
    <row r="2586">
      <c r="A2586" t="inlineStr">
        <is>
          <t>CIAN</t>
        </is>
      </c>
      <c r="B2586" t="inlineStr">
        <is>
          <t>Нижний Новгород</t>
        </is>
      </c>
      <c r="C2586" t="inlineStr">
        <is>
          <t>Посуточная аренда · Городская · Посуточное койко-место</t>
        </is>
      </c>
      <c r="D2586" t="inlineStr">
        <is>
          <t>Публикация, ₽/30 дн</t>
        </is>
      </c>
      <c r="E2586" t="n">
        <v>420</v>
      </c>
    </row>
    <row r="2587">
      <c r="A2587" t="inlineStr">
        <is>
          <t>CIAN</t>
        </is>
      </c>
      <c r="B2587" t="inlineStr">
        <is>
          <t>Нижний Новгород</t>
        </is>
      </c>
      <c r="C2587" t="inlineStr">
        <is>
          <t>Посуточная аренда · Городская · Посуточное койко-место</t>
        </is>
      </c>
      <c r="D2587" t="inlineStr">
        <is>
          <t>Топ, ₽/сут</t>
        </is>
      </c>
      <c r="E2587" t="n">
        <v>191</v>
      </c>
    </row>
    <row r="2588">
      <c r="A2588" t="inlineStr">
        <is>
          <t>CIAN</t>
        </is>
      </c>
      <c r="B2588" t="inlineStr">
        <is>
          <t>Нижний Новгород</t>
        </is>
      </c>
      <c r="C2588" t="inlineStr">
        <is>
          <t>Посуточная аренда · Городская · Посуточное койко-место</t>
        </is>
      </c>
      <c r="D2588" t="inlineStr">
        <is>
          <t>Премиум, ₽/сут</t>
        </is>
      </c>
      <c r="E2588" t="n">
        <v>93</v>
      </c>
    </row>
    <row r="2589">
      <c r="A2589" t="inlineStr">
        <is>
          <t>CIAN</t>
        </is>
      </c>
      <c r="B2589" t="inlineStr">
        <is>
          <t>Нижний Новгород</t>
        </is>
      </c>
      <c r="C2589" t="inlineStr">
        <is>
          <t>Посуточная аренда · Городская · Посуточное койко-место</t>
        </is>
      </c>
      <c r="D2589" t="inlineStr">
        <is>
          <t>Стандарт, ₽/сут</t>
        </is>
      </c>
      <c r="E2589" t="n">
        <v>25</v>
      </c>
    </row>
    <row r="2590">
      <c r="A2590" t="inlineStr">
        <is>
          <t>CIAN</t>
        </is>
      </c>
      <c r="B2590" t="inlineStr">
        <is>
          <t>Челябинск</t>
        </is>
      </c>
      <c r="C2590" t="inlineStr">
        <is>
          <t>Посуточная аренда · Городская · Посуточное койко-место</t>
        </is>
      </c>
      <c r="D2590" t="inlineStr">
        <is>
          <t>Публикация, ₽/30 дн</t>
        </is>
      </c>
      <c r="E2590" t="n">
        <v>0</v>
      </c>
    </row>
    <row r="2591">
      <c r="A2591" t="inlineStr">
        <is>
          <t>CIAN</t>
        </is>
      </c>
      <c r="B2591" t="inlineStr">
        <is>
          <t>Челябинск</t>
        </is>
      </c>
      <c r="C2591" t="inlineStr">
        <is>
          <t>Посуточная аренда · Городская · Посуточное койко-место</t>
        </is>
      </c>
      <c r="D2591" t="inlineStr">
        <is>
          <t>Топ, ₽/сут</t>
        </is>
      </c>
      <c r="E2591" t="n">
        <v>233</v>
      </c>
    </row>
    <row r="2592">
      <c r="A2592" t="inlineStr">
        <is>
          <t>CIAN</t>
        </is>
      </c>
      <c r="B2592" t="inlineStr">
        <is>
          <t>Челябинск</t>
        </is>
      </c>
      <c r="C2592" t="inlineStr">
        <is>
          <t>Посуточная аренда · Городская · Посуточное койко-место</t>
        </is>
      </c>
      <c r="D2592" t="inlineStr">
        <is>
          <t>Премиум, ₽/сут</t>
        </is>
      </c>
      <c r="E2592" t="n">
        <v>111</v>
      </c>
    </row>
    <row r="2593">
      <c r="A2593" t="inlineStr">
        <is>
          <t>CIAN</t>
        </is>
      </c>
      <c r="B2593" t="inlineStr">
        <is>
          <t>Челябинск</t>
        </is>
      </c>
      <c r="C2593" t="inlineStr">
        <is>
          <t>Посуточная аренда · Городская · Посуточное койко-место</t>
        </is>
      </c>
      <c r="D2593" t="inlineStr">
        <is>
          <t>Стандарт, ₽/сут</t>
        </is>
      </c>
      <c r="E2593" t="n">
        <v>32</v>
      </c>
    </row>
    <row r="2594">
      <c r="A2594" t="inlineStr">
        <is>
          <t>CIAN</t>
        </is>
      </c>
      <c r="B2594" t="inlineStr">
        <is>
          <t>Уфа</t>
        </is>
      </c>
      <c r="C2594" t="inlineStr">
        <is>
          <t>Посуточная аренда · Городская · Посуточное койко-место</t>
        </is>
      </c>
      <c r="D2594" t="inlineStr">
        <is>
          <t>Публикация, ₽/30 дн</t>
        </is>
      </c>
      <c r="E2594" t="n">
        <v>0</v>
      </c>
    </row>
    <row r="2595">
      <c r="A2595" t="inlineStr">
        <is>
          <t>CIAN</t>
        </is>
      </c>
      <c r="B2595" t="inlineStr">
        <is>
          <t>Уфа</t>
        </is>
      </c>
      <c r="C2595" t="inlineStr">
        <is>
          <t>Посуточная аренда · Городская · Посуточное койко-место</t>
        </is>
      </c>
      <c r="D2595" t="inlineStr">
        <is>
          <t>Топ, ₽/сут</t>
        </is>
      </c>
      <c r="E2595" t="n">
        <v>128</v>
      </c>
    </row>
    <row r="2596">
      <c r="A2596" t="inlineStr">
        <is>
          <t>CIAN</t>
        </is>
      </c>
      <c r="B2596" t="inlineStr">
        <is>
          <t>Уфа</t>
        </is>
      </c>
      <c r="C2596" t="inlineStr">
        <is>
          <t>Посуточная аренда · Городская · Посуточное койко-место</t>
        </is>
      </c>
      <c r="D2596" t="inlineStr">
        <is>
          <t>Премиум, ₽/сут</t>
        </is>
      </c>
      <c r="E2596" t="n">
        <v>62</v>
      </c>
    </row>
    <row r="2597">
      <c r="A2597" t="inlineStr">
        <is>
          <t>CIAN</t>
        </is>
      </c>
      <c r="B2597" t="inlineStr">
        <is>
          <t>Уфа</t>
        </is>
      </c>
      <c r="C2597" t="inlineStr">
        <is>
          <t>Посуточная аренда · Городская · Посуточное койко-место</t>
        </is>
      </c>
      <c r="D2597" t="inlineStr">
        <is>
          <t>Стандарт, ₽/сут</t>
        </is>
      </c>
      <c r="E2597" t="n">
        <v>18</v>
      </c>
    </row>
    <row r="2598">
      <c r="A2598" t="inlineStr">
        <is>
          <t>CIAN</t>
        </is>
      </c>
      <c r="B2598" t="inlineStr">
        <is>
          <t>Краснодар</t>
        </is>
      </c>
      <c r="C2598" t="inlineStr">
        <is>
          <t>Посуточная аренда · Городская · Посуточное койко-место</t>
        </is>
      </c>
      <c r="D2598" t="inlineStr">
        <is>
          <t>Публикация, ₽/30 дн</t>
        </is>
      </c>
      <c r="E2598" t="n">
        <v>420</v>
      </c>
    </row>
    <row r="2599">
      <c r="A2599" t="inlineStr">
        <is>
          <t>CIAN</t>
        </is>
      </c>
      <c r="B2599" t="inlineStr">
        <is>
          <t>Краснодар</t>
        </is>
      </c>
      <c r="C2599" t="inlineStr">
        <is>
          <t>Посуточная аренда · Городская · Посуточное койко-место</t>
        </is>
      </c>
      <c r="D2599" t="inlineStr">
        <is>
          <t>Топ, ₽/сут</t>
        </is>
      </c>
      <c r="E2599" t="n">
        <v>225</v>
      </c>
    </row>
    <row r="2600">
      <c r="A2600" t="inlineStr">
        <is>
          <t>CIAN</t>
        </is>
      </c>
      <c r="B2600" t="inlineStr">
        <is>
          <t>Краснодар</t>
        </is>
      </c>
      <c r="C2600" t="inlineStr">
        <is>
          <t>Посуточная аренда · Городская · Посуточное койко-место</t>
        </is>
      </c>
      <c r="D2600" t="inlineStr">
        <is>
          <t>Премиум, ₽/сут</t>
        </is>
      </c>
      <c r="E2600" t="n">
        <v>101</v>
      </c>
    </row>
    <row r="2601">
      <c r="A2601" t="inlineStr">
        <is>
          <t>CIAN</t>
        </is>
      </c>
      <c r="B2601" t="inlineStr">
        <is>
          <t>Краснодар</t>
        </is>
      </c>
      <c r="C2601" t="inlineStr">
        <is>
          <t>Посуточная аренда · Городская · Посуточное койко-место</t>
        </is>
      </c>
      <c r="D2601" t="inlineStr">
        <is>
          <t>Стандарт, ₽/сут</t>
        </is>
      </c>
      <c r="E2601" t="n">
        <v>29</v>
      </c>
    </row>
    <row r="2602">
      <c r="A2602" t="inlineStr">
        <is>
          <t>CIAN</t>
        </is>
      </c>
      <c r="B2602" t="inlineStr">
        <is>
          <t>Самара</t>
        </is>
      </c>
      <c r="C2602" t="inlineStr">
        <is>
          <t>Посуточная аренда · Городская · Посуточное койко-место</t>
        </is>
      </c>
      <c r="D2602" t="inlineStr">
        <is>
          <t>Публикация, ₽/30 дн</t>
        </is>
      </c>
      <c r="E2602" t="n">
        <v>0</v>
      </c>
    </row>
    <row r="2603">
      <c r="A2603" t="inlineStr">
        <is>
          <t>CIAN</t>
        </is>
      </c>
      <c r="B2603" t="inlineStr">
        <is>
          <t>Самара</t>
        </is>
      </c>
      <c r="C2603" t="inlineStr">
        <is>
          <t>Посуточная аренда · Городская · Посуточное койко-место</t>
        </is>
      </c>
      <c r="D2603" t="inlineStr">
        <is>
          <t>Топ, ₽/сут</t>
        </is>
      </c>
      <c r="E2603" t="n">
        <v>159</v>
      </c>
    </row>
    <row r="2604">
      <c r="A2604" t="inlineStr">
        <is>
          <t>CIAN</t>
        </is>
      </c>
      <c r="B2604" t="inlineStr">
        <is>
          <t>Самара</t>
        </is>
      </c>
      <c r="C2604" t="inlineStr">
        <is>
          <t>Посуточная аренда · Городская · Посуточное койко-место</t>
        </is>
      </c>
      <c r="D2604" t="inlineStr">
        <is>
          <t>Премиум, ₽/сут</t>
        </is>
      </c>
      <c r="E2604" t="n">
        <v>72</v>
      </c>
    </row>
    <row r="2605">
      <c r="A2605" t="inlineStr">
        <is>
          <t>CIAN</t>
        </is>
      </c>
      <c r="B2605" t="inlineStr">
        <is>
          <t>Самара</t>
        </is>
      </c>
      <c r="C2605" t="inlineStr">
        <is>
          <t>Посуточная аренда · Городская · Посуточное койко-место</t>
        </is>
      </c>
      <c r="D2605" t="inlineStr">
        <is>
          <t>Стандарт, ₽/сут</t>
        </is>
      </c>
      <c r="E2605" t="n">
        <v>21</v>
      </c>
    </row>
    <row r="2606">
      <c r="A2606" t="inlineStr">
        <is>
          <t>CIAN</t>
        </is>
      </c>
      <c r="B2606" t="inlineStr">
        <is>
          <t>Ростов-на-Дону</t>
        </is>
      </c>
      <c r="C2606" t="inlineStr">
        <is>
          <t>Посуточная аренда · Городская · Посуточное койко-место</t>
        </is>
      </c>
      <c r="D2606" t="inlineStr">
        <is>
          <t>Публикация, ₽/30 дн</t>
        </is>
      </c>
      <c r="E2606" t="n">
        <v>369</v>
      </c>
    </row>
    <row r="2607">
      <c r="A2607" t="inlineStr">
        <is>
          <t>CIAN</t>
        </is>
      </c>
      <c r="B2607" t="inlineStr">
        <is>
          <t>Ростов-на-Дону</t>
        </is>
      </c>
      <c r="C2607" t="inlineStr">
        <is>
          <t>Посуточная аренда · Городская · Посуточное койко-место</t>
        </is>
      </c>
      <c r="D2607" t="inlineStr">
        <is>
          <t>Топ, ₽/сут</t>
        </is>
      </c>
      <c r="E2607" t="n">
        <v>167</v>
      </c>
    </row>
    <row r="2608">
      <c r="A2608" t="inlineStr">
        <is>
          <t>CIAN</t>
        </is>
      </c>
      <c r="B2608" t="inlineStr">
        <is>
          <t>Ростов-на-Дону</t>
        </is>
      </c>
      <c r="C2608" t="inlineStr">
        <is>
          <t>Посуточная аренда · Городская · Посуточное койко-место</t>
        </is>
      </c>
      <c r="D2608" t="inlineStr">
        <is>
          <t>Премиум, ₽/сут</t>
        </is>
      </c>
      <c r="E2608" t="n">
        <v>80</v>
      </c>
    </row>
    <row r="2609">
      <c r="A2609" t="inlineStr">
        <is>
          <t>CIAN</t>
        </is>
      </c>
      <c r="B2609" t="inlineStr">
        <is>
          <t>Ростов-на-Дону</t>
        </is>
      </c>
      <c r="C2609" t="inlineStr">
        <is>
          <t>Посуточная аренда · Городская · Посуточное койко-место</t>
        </is>
      </c>
      <c r="D2609" t="inlineStr">
        <is>
          <t>Стандарт, ₽/сут</t>
        </is>
      </c>
      <c r="E2609" t="n">
        <v>23</v>
      </c>
    </row>
    <row r="2610">
      <c r="A2610" t="inlineStr">
        <is>
          <t>CIAN</t>
        </is>
      </c>
      <c r="B2610" t="inlineStr">
        <is>
          <t>Омск</t>
        </is>
      </c>
      <c r="C2610" t="inlineStr">
        <is>
          <t>Посуточная аренда · Городская · Посуточное койко-место</t>
        </is>
      </c>
      <c r="D2610" t="inlineStr">
        <is>
          <t>Публикация, ₽/30 дн</t>
        </is>
      </c>
      <c r="E2610" t="n">
        <v>0</v>
      </c>
    </row>
    <row r="2611">
      <c r="A2611" t="inlineStr">
        <is>
          <t>CIAN</t>
        </is>
      </c>
      <c r="B2611" t="inlineStr">
        <is>
          <t>Омск</t>
        </is>
      </c>
      <c r="C2611" t="inlineStr">
        <is>
          <t>Посуточная аренда · Городская · Посуточное койко-место</t>
        </is>
      </c>
      <c r="D2611" t="inlineStr">
        <is>
          <t>Топ, ₽/сут</t>
        </is>
      </c>
      <c r="E2611" t="n">
        <v>173</v>
      </c>
    </row>
    <row r="2612">
      <c r="A2612" t="inlineStr">
        <is>
          <t>CIAN</t>
        </is>
      </c>
      <c r="B2612" t="inlineStr">
        <is>
          <t>Омск</t>
        </is>
      </c>
      <c r="C2612" t="inlineStr">
        <is>
          <t>Посуточная аренда · Городская · Посуточное койко-место</t>
        </is>
      </c>
      <c r="D2612" t="inlineStr">
        <is>
          <t>Премиум, ₽/сут</t>
        </is>
      </c>
      <c r="E2612" t="n">
        <v>111</v>
      </c>
    </row>
    <row r="2613">
      <c r="A2613" t="inlineStr">
        <is>
          <t>CIAN</t>
        </is>
      </c>
      <c r="B2613" t="inlineStr">
        <is>
          <t>Омск</t>
        </is>
      </c>
      <c r="C2613" t="inlineStr">
        <is>
          <t>Посуточная аренда · Городская · Посуточное койко-место</t>
        </is>
      </c>
      <c r="D2613" t="inlineStr">
        <is>
          <t>Стандарт, ₽/сут</t>
        </is>
      </c>
      <c r="E2613" t="n">
        <v>36</v>
      </c>
    </row>
    <row r="2614">
      <c r="A2614" t="inlineStr">
        <is>
          <t>CIAN</t>
        </is>
      </c>
      <c r="B2614" t="inlineStr">
        <is>
          <t>Воронеж</t>
        </is>
      </c>
      <c r="C2614" t="inlineStr">
        <is>
          <t>Посуточная аренда · Городская · Посуточное койко-место</t>
        </is>
      </c>
      <c r="D2614" t="inlineStr">
        <is>
          <t>Публикация, ₽/30 дн</t>
        </is>
      </c>
      <c r="E2614" t="n">
        <v>0</v>
      </c>
    </row>
    <row r="2615">
      <c r="A2615" t="inlineStr">
        <is>
          <t>CIAN</t>
        </is>
      </c>
      <c r="B2615" t="inlineStr">
        <is>
          <t>Воронеж</t>
        </is>
      </c>
      <c r="C2615" t="inlineStr">
        <is>
          <t>Посуточная аренда · Городская · Посуточное койко-место</t>
        </is>
      </c>
      <c r="D2615" t="inlineStr">
        <is>
          <t>Топ, ₽/сут</t>
        </is>
      </c>
      <c r="E2615" t="n">
        <v>67</v>
      </c>
    </row>
    <row r="2616">
      <c r="A2616" t="inlineStr">
        <is>
          <t>CIAN</t>
        </is>
      </c>
      <c r="B2616" t="inlineStr">
        <is>
          <t>Воронеж</t>
        </is>
      </c>
      <c r="C2616" t="inlineStr">
        <is>
          <t>Посуточная аренда · Городская · Посуточное койко-место</t>
        </is>
      </c>
      <c r="D2616" t="inlineStr">
        <is>
          <t>Премиум, ₽/сут</t>
        </is>
      </c>
      <c r="E2616" t="n">
        <v>21</v>
      </c>
    </row>
    <row r="2617">
      <c r="A2617" t="inlineStr">
        <is>
          <t>CIAN</t>
        </is>
      </c>
      <c r="B2617" t="inlineStr">
        <is>
          <t>Воронеж</t>
        </is>
      </c>
      <c r="C2617" t="inlineStr">
        <is>
          <t>Посуточная аренда · Городская · Посуточное койко-место</t>
        </is>
      </c>
      <c r="D2617" t="inlineStr">
        <is>
          <t>Стандарт, ₽/сут</t>
        </is>
      </c>
      <c r="E2617" t="n">
        <v>6</v>
      </c>
    </row>
    <row r="2618">
      <c r="A2618" t="inlineStr">
        <is>
          <t>CIAN</t>
        </is>
      </c>
      <c r="B2618" t="inlineStr">
        <is>
          <t>Пермь</t>
        </is>
      </c>
      <c r="C2618" t="inlineStr">
        <is>
          <t>Посуточная аренда · Городская · Посуточное койко-место</t>
        </is>
      </c>
      <c r="D2618" t="inlineStr">
        <is>
          <t>Публикация, ₽/30 дн</t>
        </is>
      </c>
      <c r="E2618" t="n">
        <v>0</v>
      </c>
    </row>
    <row r="2619">
      <c r="A2619" t="inlineStr">
        <is>
          <t>CIAN</t>
        </is>
      </c>
      <c r="B2619" t="inlineStr">
        <is>
          <t>Пермь</t>
        </is>
      </c>
      <c r="C2619" t="inlineStr">
        <is>
          <t>Посуточная аренда · Городская · Посуточное койко-место</t>
        </is>
      </c>
      <c r="D2619" t="inlineStr">
        <is>
          <t>Топ, ₽/сут</t>
        </is>
      </c>
      <c r="E2619" t="n">
        <v>96</v>
      </c>
    </row>
    <row r="2620">
      <c r="A2620" t="inlineStr">
        <is>
          <t>CIAN</t>
        </is>
      </c>
      <c r="B2620" t="inlineStr">
        <is>
          <t>Пермь</t>
        </is>
      </c>
      <c r="C2620" t="inlineStr">
        <is>
          <t>Посуточная аренда · Городская · Посуточное койко-место</t>
        </is>
      </c>
      <c r="D2620" t="inlineStr">
        <is>
          <t>Премиум, ₽/сут</t>
        </is>
      </c>
      <c r="E2620" t="n">
        <v>68</v>
      </c>
    </row>
    <row r="2621">
      <c r="A2621" t="inlineStr">
        <is>
          <t>CIAN</t>
        </is>
      </c>
      <c r="B2621" t="inlineStr">
        <is>
          <t>Пермь</t>
        </is>
      </c>
      <c r="C2621" t="inlineStr">
        <is>
          <t>Посуточная аренда · Городская · Посуточное койко-место</t>
        </is>
      </c>
      <c r="D2621" t="inlineStr">
        <is>
          <t>Стандарт, ₽/сут</t>
        </is>
      </c>
      <c r="E2621" t="n">
        <v>20</v>
      </c>
    </row>
    <row r="2622">
      <c r="A2622" t="inlineStr">
        <is>
          <t>CIAN</t>
        </is>
      </c>
      <c r="B2622" t="inlineStr">
        <is>
          <t>Волгоград</t>
        </is>
      </c>
      <c r="C2622" t="inlineStr">
        <is>
          <t>Посуточная аренда · Городская · Посуточное койко-место</t>
        </is>
      </c>
      <c r="D2622" t="inlineStr">
        <is>
          <t>Публикация, ₽/30 дн</t>
        </is>
      </c>
      <c r="E2622" t="n">
        <v>0</v>
      </c>
    </row>
    <row r="2623">
      <c r="A2623" t="inlineStr">
        <is>
          <t>CIAN</t>
        </is>
      </c>
      <c r="B2623" t="inlineStr">
        <is>
          <t>Волгоград</t>
        </is>
      </c>
      <c r="C2623" t="inlineStr">
        <is>
          <t>Посуточная аренда · Городская · Посуточное койко-место</t>
        </is>
      </c>
      <c r="D2623" t="inlineStr">
        <is>
          <t>Топ, ₽/сут</t>
        </is>
      </c>
      <c r="E2623" t="n">
        <v>80</v>
      </c>
    </row>
    <row r="2624">
      <c r="A2624" t="inlineStr">
        <is>
          <t>CIAN</t>
        </is>
      </c>
      <c r="B2624" t="inlineStr">
        <is>
          <t>Волгоград</t>
        </is>
      </c>
      <c r="C2624" t="inlineStr">
        <is>
          <t>Посуточная аренда · Городская · Посуточное койко-место</t>
        </is>
      </c>
      <c r="D2624" t="inlineStr">
        <is>
          <t>Премиум, ₽/сут</t>
        </is>
      </c>
      <c r="E2624" t="n">
        <v>25</v>
      </c>
    </row>
    <row r="2625">
      <c r="A2625" t="inlineStr">
        <is>
          <t>CIAN</t>
        </is>
      </c>
      <c r="B2625" t="inlineStr">
        <is>
          <t>Волгоград</t>
        </is>
      </c>
      <c r="C2625" t="inlineStr">
        <is>
          <t>Посуточная аренда · Городская · Посуточное койко-место</t>
        </is>
      </c>
      <c r="D2625" t="inlineStr">
        <is>
          <t>Стандарт, ₽/сут</t>
        </is>
      </c>
      <c r="E2625" t="n">
        <v>8</v>
      </c>
    </row>
    <row r="2626">
      <c r="A2626" t="inlineStr">
        <is>
          <t>CIAN</t>
        </is>
      </c>
      <c r="B2626" t="inlineStr">
        <is>
          <t>Москва</t>
        </is>
      </c>
      <c r="C2626" t="inlineStr">
        <is>
          <t>Посуточная аренда · Загородная · Посуточный дом/дача</t>
        </is>
      </c>
      <c r="D2626" t="inlineStr">
        <is>
          <t>Публикация, ₽/30 дн</t>
        </is>
      </c>
      <c r="E2626" t="n">
        <v>1770</v>
      </c>
    </row>
    <row r="2627">
      <c r="A2627" t="inlineStr">
        <is>
          <t>CIAN</t>
        </is>
      </c>
      <c r="B2627" t="inlineStr">
        <is>
          <t>Москва</t>
        </is>
      </c>
      <c r="C2627" t="inlineStr">
        <is>
          <t>Посуточная аренда · Загородная · Посуточный дом/дача</t>
        </is>
      </c>
      <c r="D2627" t="inlineStr">
        <is>
          <t>Топ, ₽/сут</t>
        </is>
      </c>
      <c r="E2627" t="n">
        <v>854</v>
      </c>
    </row>
    <row r="2628">
      <c r="A2628" t="inlineStr">
        <is>
          <t>CIAN</t>
        </is>
      </c>
      <c r="B2628" t="inlineStr">
        <is>
          <t>Москва</t>
        </is>
      </c>
      <c r="C2628" t="inlineStr">
        <is>
          <t>Посуточная аренда · Загородная · Посуточный дом/дача</t>
        </is>
      </c>
      <c r="D2628" t="inlineStr">
        <is>
          <t>Премиум, ₽/сут</t>
        </is>
      </c>
      <c r="E2628" t="n">
        <v>362</v>
      </c>
    </row>
    <row r="2629">
      <c r="A2629" t="inlineStr">
        <is>
          <t>CIAN</t>
        </is>
      </c>
      <c r="B2629" t="inlineStr">
        <is>
          <t>Москва</t>
        </is>
      </c>
      <c r="C2629" t="inlineStr">
        <is>
          <t>Посуточная аренда · Загородная · Посуточный дом/дача</t>
        </is>
      </c>
      <c r="D2629" t="inlineStr">
        <is>
          <t>Стандарт, ₽/сут</t>
        </is>
      </c>
      <c r="E2629" t="n">
        <v>107</v>
      </c>
    </row>
    <row r="2630">
      <c r="A2630" t="inlineStr">
        <is>
          <t>CIAN</t>
        </is>
      </c>
      <c r="B2630" t="inlineStr">
        <is>
          <t>Санкт-Петербург</t>
        </is>
      </c>
      <c r="C2630" t="inlineStr">
        <is>
          <t>Посуточная аренда · Загородная · Посуточный дом/дача</t>
        </is>
      </c>
      <c r="D2630" t="inlineStr">
        <is>
          <t>Публикация, ₽/30 дн</t>
        </is>
      </c>
      <c r="E2630" t="n">
        <v>765</v>
      </c>
    </row>
    <row r="2631">
      <c r="A2631" t="inlineStr">
        <is>
          <t>CIAN</t>
        </is>
      </c>
      <c r="B2631" t="inlineStr">
        <is>
          <t>Санкт-Петербург</t>
        </is>
      </c>
      <c r="C2631" t="inlineStr">
        <is>
          <t>Посуточная аренда · Загородная · Посуточный дом/дача</t>
        </is>
      </c>
      <c r="D2631" t="inlineStr">
        <is>
          <t>Топ, ₽/сут</t>
        </is>
      </c>
      <c r="E2631" t="n">
        <v>342</v>
      </c>
    </row>
    <row r="2632">
      <c r="A2632" t="inlineStr">
        <is>
          <t>CIAN</t>
        </is>
      </c>
      <c r="B2632" t="inlineStr">
        <is>
          <t>Санкт-Петербург</t>
        </is>
      </c>
      <c r="C2632" t="inlineStr">
        <is>
          <t>Посуточная аренда · Загородная · Посуточный дом/дача</t>
        </is>
      </c>
      <c r="D2632" t="inlineStr">
        <is>
          <t>Премиум, ₽/сут</t>
        </is>
      </c>
      <c r="E2632" t="n">
        <v>153</v>
      </c>
    </row>
    <row r="2633">
      <c r="A2633" t="inlineStr">
        <is>
          <t>CIAN</t>
        </is>
      </c>
      <c r="B2633" t="inlineStr">
        <is>
          <t>Санкт-Петербург</t>
        </is>
      </c>
      <c r="C2633" t="inlineStr">
        <is>
          <t>Посуточная аренда · Загородная · Посуточный дом/дача</t>
        </is>
      </c>
      <c r="D2633" t="inlineStr">
        <is>
          <t>Стандарт, ₽/сут</t>
        </is>
      </c>
      <c r="E2633" t="n">
        <v>47</v>
      </c>
    </row>
    <row r="2634">
      <c r="A2634" t="inlineStr">
        <is>
          <t>CIAN</t>
        </is>
      </c>
      <c r="B2634" t="inlineStr">
        <is>
          <t>Новосибирск</t>
        </is>
      </c>
      <c r="C2634" t="inlineStr">
        <is>
          <t>Посуточная аренда · Загородная · Посуточный дом/дача</t>
        </is>
      </c>
      <c r="D2634" t="inlineStr">
        <is>
          <t>Публикация, ₽/30 дн</t>
        </is>
      </c>
      <c r="E2634" t="n">
        <v>1455</v>
      </c>
    </row>
    <row r="2635">
      <c r="A2635" t="inlineStr">
        <is>
          <t>CIAN</t>
        </is>
      </c>
      <c r="B2635" t="inlineStr">
        <is>
          <t>Новосибирск</t>
        </is>
      </c>
      <c r="C2635" t="inlineStr">
        <is>
          <t>Посуточная аренда · Загородная · Посуточный дом/дача</t>
        </is>
      </c>
      <c r="D2635" t="inlineStr">
        <is>
          <t>Топ, ₽/сут</t>
        </is>
      </c>
      <c r="E2635" t="n">
        <v>344</v>
      </c>
    </row>
    <row r="2636">
      <c r="A2636" t="inlineStr">
        <is>
          <t>CIAN</t>
        </is>
      </c>
      <c r="B2636" t="inlineStr">
        <is>
          <t>Новосибирск</t>
        </is>
      </c>
      <c r="C2636" t="inlineStr">
        <is>
          <t>Посуточная аренда · Загородная · Посуточный дом/дача</t>
        </is>
      </c>
      <c r="D2636" t="inlineStr">
        <is>
          <t>Премиум, ₽/сут</t>
        </is>
      </c>
      <c r="E2636" t="n">
        <v>169</v>
      </c>
    </row>
    <row r="2637">
      <c r="A2637" t="inlineStr">
        <is>
          <t>CIAN</t>
        </is>
      </c>
      <c r="B2637" t="inlineStr">
        <is>
          <t>Новосибирск</t>
        </is>
      </c>
      <c r="C2637" t="inlineStr">
        <is>
          <t>Посуточная аренда · Загородная · Посуточный дом/дача</t>
        </is>
      </c>
      <c r="D2637" t="inlineStr">
        <is>
          <t>Стандарт, ₽/сут</t>
        </is>
      </c>
      <c r="E2637" t="n">
        <v>47</v>
      </c>
    </row>
    <row r="2638">
      <c r="A2638" t="inlineStr">
        <is>
          <t>CIAN</t>
        </is>
      </c>
      <c r="B2638" t="inlineStr">
        <is>
          <t>Екатеринбург</t>
        </is>
      </c>
      <c r="C2638" t="inlineStr">
        <is>
          <t>Посуточная аренда · Загородная · Посуточный дом/дача</t>
        </is>
      </c>
      <c r="D2638" t="inlineStr">
        <is>
          <t>Публикация, ₽/30 дн</t>
        </is>
      </c>
      <c r="E2638" t="n">
        <v>1110</v>
      </c>
    </row>
    <row r="2639">
      <c r="A2639" t="inlineStr">
        <is>
          <t>CIAN</t>
        </is>
      </c>
      <c r="B2639" t="inlineStr">
        <is>
          <t>Екатеринбург</t>
        </is>
      </c>
      <c r="C2639" t="inlineStr">
        <is>
          <t>Посуточная аренда · Загородная · Посуточный дом/дача</t>
        </is>
      </c>
      <c r="D2639" t="inlineStr">
        <is>
          <t>Топ, ₽/сут</t>
        </is>
      </c>
      <c r="E2639" t="n">
        <v>392</v>
      </c>
    </row>
    <row r="2640">
      <c r="A2640" t="inlineStr">
        <is>
          <t>CIAN</t>
        </is>
      </c>
      <c r="B2640" t="inlineStr">
        <is>
          <t>Екатеринбург</t>
        </is>
      </c>
      <c r="C2640" t="inlineStr">
        <is>
          <t>Посуточная аренда · Загородная · Посуточный дом/дача</t>
        </is>
      </c>
      <c r="D2640" t="inlineStr">
        <is>
          <t>Премиум, ₽/сут</t>
        </is>
      </c>
      <c r="E2640" t="n">
        <v>203</v>
      </c>
    </row>
    <row r="2641">
      <c r="A2641" t="inlineStr">
        <is>
          <t>CIAN</t>
        </is>
      </c>
      <c r="B2641" t="inlineStr">
        <is>
          <t>Екатеринбург</t>
        </is>
      </c>
      <c r="C2641" t="inlineStr">
        <is>
          <t>Посуточная аренда · Загородная · Посуточный дом/дача</t>
        </is>
      </c>
      <c r="D2641" t="inlineStr">
        <is>
          <t>Стандарт, ₽/сут</t>
        </is>
      </c>
      <c r="E2641" t="n">
        <v>60</v>
      </c>
    </row>
    <row r="2642">
      <c r="A2642" t="inlineStr">
        <is>
          <t>CIAN</t>
        </is>
      </c>
      <c r="B2642" t="inlineStr">
        <is>
          <t>Казань</t>
        </is>
      </c>
      <c r="C2642" t="inlineStr">
        <is>
          <t>Посуточная аренда · Загородная · Посуточный дом/дача</t>
        </is>
      </c>
      <c r="D2642" t="inlineStr">
        <is>
          <t>Публикация, ₽/30 дн</t>
        </is>
      </c>
      <c r="E2642" t="n">
        <v>426</v>
      </c>
    </row>
    <row r="2643">
      <c r="A2643" t="inlineStr">
        <is>
          <t>CIAN</t>
        </is>
      </c>
      <c r="B2643" t="inlineStr">
        <is>
          <t>Казань</t>
        </is>
      </c>
      <c r="C2643" t="inlineStr">
        <is>
          <t>Посуточная аренда · Загородная · Посуточный дом/дача</t>
        </is>
      </c>
      <c r="D2643" t="inlineStr">
        <is>
          <t>Топ, ₽/сут</t>
        </is>
      </c>
      <c r="E2643" t="n">
        <v>189</v>
      </c>
    </row>
    <row r="2644">
      <c r="A2644" t="inlineStr">
        <is>
          <t>CIAN</t>
        </is>
      </c>
      <c r="B2644" t="inlineStr">
        <is>
          <t>Казань</t>
        </is>
      </c>
      <c r="C2644" t="inlineStr">
        <is>
          <t>Посуточная аренда · Загородная · Посуточный дом/дача</t>
        </is>
      </c>
      <c r="D2644" t="inlineStr">
        <is>
          <t>Премиум, ₽/сут</t>
        </is>
      </c>
      <c r="E2644" t="n">
        <v>85</v>
      </c>
    </row>
    <row r="2645">
      <c r="A2645" t="inlineStr">
        <is>
          <t>CIAN</t>
        </is>
      </c>
      <c r="B2645" t="inlineStr">
        <is>
          <t>Казань</t>
        </is>
      </c>
      <c r="C2645" t="inlineStr">
        <is>
          <t>Посуточная аренда · Загородная · Посуточный дом/дача</t>
        </is>
      </c>
      <c r="D2645" t="inlineStr">
        <is>
          <t>Стандарт, ₽/сут</t>
        </is>
      </c>
      <c r="E2645" t="n">
        <v>26</v>
      </c>
    </row>
    <row r="2646">
      <c r="A2646" t="inlineStr">
        <is>
          <t>CIAN</t>
        </is>
      </c>
      <c r="B2646" t="inlineStr">
        <is>
          <t>Красноярск</t>
        </is>
      </c>
      <c r="C2646" t="inlineStr">
        <is>
          <t>Посуточная аренда · Загородная · Посуточный дом/дача</t>
        </is>
      </c>
      <c r="D2646" t="inlineStr">
        <is>
          <t>Публикация, ₽/30 дн</t>
        </is>
      </c>
      <c r="E2646" t="n">
        <v>420</v>
      </c>
    </row>
    <row r="2647">
      <c r="A2647" t="inlineStr">
        <is>
          <t>CIAN</t>
        </is>
      </c>
      <c r="B2647" t="inlineStr">
        <is>
          <t>Красноярск</t>
        </is>
      </c>
      <c r="C2647" t="inlineStr">
        <is>
          <t>Посуточная аренда · Загородная · Посуточный дом/дача</t>
        </is>
      </c>
      <c r="D2647" t="inlineStr">
        <is>
          <t>Топ, ₽/сут</t>
        </is>
      </c>
      <c r="E2647" t="n">
        <v>200</v>
      </c>
    </row>
    <row r="2648">
      <c r="A2648" t="inlineStr">
        <is>
          <t>CIAN</t>
        </is>
      </c>
      <c r="B2648" t="inlineStr">
        <is>
          <t>Красноярск</t>
        </is>
      </c>
      <c r="C2648" t="inlineStr">
        <is>
          <t>Посуточная аренда · Загородная · Посуточный дом/дача</t>
        </is>
      </c>
      <c r="D2648" t="inlineStr">
        <is>
          <t>Премиум, ₽/сут</t>
        </is>
      </c>
      <c r="E2648" t="n">
        <v>93</v>
      </c>
    </row>
    <row r="2649">
      <c r="A2649" t="inlineStr">
        <is>
          <t>CIAN</t>
        </is>
      </c>
      <c r="B2649" t="inlineStr">
        <is>
          <t>Красноярск</t>
        </is>
      </c>
      <c r="C2649" t="inlineStr">
        <is>
          <t>Посуточная аренда · Загородная · Посуточный дом/дача</t>
        </is>
      </c>
      <c r="D2649" t="inlineStr">
        <is>
          <t>Стандарт, ₽/сут</t>
        </is>
      </c>
      <c r="E2649" t="n">
        <v>28</v>
      </c>
    </row>
    <row r="2650">
      <c r="A2650" t="inlineStr">
        <is>
          <t>CIAN</t>
        </is>
      </c>
      <c r="B2650" t="inlineStr">
        <is>
          <t>Нижний Новгород</t>
        </is>
      </c>
      <c r="C2650" t="inlineStr">
        <is>
          <t>Посуточная аренда · Загородная · Посуточный дом/дача</t>
        </is>
      </c>
      <c r="D2650" t="inlineStr">
        <is>
          <t>Публикация, ₽/30 дн</t>
        </is>
      </c>
      <c r="E2650" t="n">
        <v>420</v>
      </c>
    </row>
    <row r="2651">
      <c r="A2651" t="inlineStr">
        <is>
          <t>CIAN</t>
        </is>
      </c>
      <c r="B2651" t="inlineStr">
        <is>
          <t>Нижний Новгород</t>
        </is>
      </c>
      <c r="C2651" t="inlineStr">
        <is>
          <t>Посуточная аренда · Загородная · Посуточный дом/дача</t>
        </is>
      </c>
      <c r="D2651" t="inlineStr">
        <is>
          <t>Топ, ₽/сут</t>
        </is>
      </c>
      <c r="E2651" t="n">
        <v>167</v>
      </c>
    </row>
    <row r="2652">
      <c r="A2652" t="inlineStr">
        <is>
          <t>CIAN</t>
        </is>
      </c>
      <c r="B2652" t="inlineStr">
        <is>
          <t>Нижний Новгород</t>
        </is>
      </c>
      <c r="C2652" t="inlineStr">
        <is>
          <t>Посуточная аренда · Загородная · Посуточный дом/дача</t>
        </is>
      </c>
      <c r="D2652" t="inlineStr">
        <is>
          <t>Премиум, ₽/сут</t>
        </is>
      </c>
      <c r="E2652" t="n">
        <v>75</v>
      </c>
    </row>
    <row r="2653">
      <c r="A2653" t="inlineStr">
        <is>
          <t>CIAN</t>
        </is>
      </c>
      <c r="B2653" t="inlineStr">
        <is>
          <t>Нижний Новгород</t>
        </is>
      </c>
      <c r="C2653" t="inlineStr">
        <is>
          <t>Посуточная аренда · Загородная · Посуточный дом/дача</t>
        </is>
      </c>
      <c r="D2653" t="inlineStr">
        <is>
          <t>Стандарт, ₽/сут</t>
        </is>
      </c>
      <c r="E2653" t="n">
        <v>23</v>
      </c>
    </row>
    <row r="2654">
      <c r="A2654" t="inlineStr">
        <is>
          <t>CIAN</t>
        </is>
      </c>
      <c r="B2654" t="inlineStr">
        <is>
          <t>Челябинск</t>
        </is>
      </c>
      <c r="C2654" t="inlineStr">
        <is>
          <t>Посуточная аренда · Загородная · Посуточный дом/дача</t>
        </is>
      </c>
      <c r="D2654" t="inlineStr">
        <is>
          <t>Публикация, ₽/30 дн</t>
        </is>
      </c>
      <c r="E2654" t="n">
        <v>750</v>
      </c>
    </row>
    <row r="2655">
      <c r="A2655" t="inlineStr">
        <is>
          <t>CIAN</t>
        </is>
      </c>
      <c r="B2655" t="inlineStr">
        <is>
          <t>Челябинск</t>
        </is>
      </c>
      <c r="C2655" t="inlineStr">
        <is>
          <t>Посуточная аренда · Загородная · Посуточный дом/дача</t>
        </is>
      </c>
      <c r="D2655" t="inlineStr">
        <is>
          <t>Топ, ₽/сут</t>
        </is>
      </c>
      <c r="E2655" t="n">
        <v>292</v>
      </c>
    </row>
    <row r="2656">
      <c r="A2656" t="inlineStr">
        <is>
          <t>CIAN</t>
        </is>
      </c>
      <c r="B2656" t="inlineStr">
        <is>
          <t>Челябинск</t>
        </is>
      </c>
      <c r="C2656" t="inlineStr">
        <is>
          <t>Посуточная аренда · Загородная · Посуточный дом/дача</t>
        </is>
      </c>
      <c r="D2656" t="inlineStr">
        <is>
          <t>Премиум, ₽/сут</t>
        </is>
      </c>
      <c r="E2656" t="n">
        <v>130</v>
      </c>
    </row>
    <row r="2657">
      <c r="A2657" t="inlineStr">
        <is>
          <t>CIAN</t>
        </is>
      </c>
      <c r="B2657" t="inlineStr">
        <is>
          <t>Челябинск</t>
        </is>
      </c>
      <c r="C2657" t="inlineStr">
        <is>
          <t>Посуточная аренда · Загородная · Посуточный дом/дача</t>
        </is>
      </c>
      <c r="D2657" t="inlineStr">
        <is>
          <t>Стандарт, ₽/сут</t>
        </is>
      </c>
      <c r="E2657" t="n">
        <v>39</v>
      </c>
    </row>
    <row r="2658">
      <c r="A2658" t="inlineStr">
        <is>
          <t>CIAN</t>
        </is>
      </c>
      <c r="B2658" t="inlineStr">
        <is>
          <t>Уфа</t>
        </is>
      </c>
      <c r="C2658" t="inlineStr">
        <is>
          <t>Посуточная аренда · Загородная · Посуточный дом/дача</t>
        </is>
      </c>
      <c r="D2658" t="inlineStr">
        <is>
          <t>Публикация, ₽/30 дн</t>
        </is>
      </c>
      <c r="E2658" t="n">
        <v>318</v>
      </c>
    </row>
    <row r="2659">
      <c r="A2659" t="inlineStr">
        <is>
          <t>CIAN</t>
        </is>
      </c>
      <c r="B2659" t="inlineStr">
        <is>
          <t>Уфа</t>
        </is>
      </c>
      <c r="C2659" t="inlineStr">
        <is>
          <t>Посуточная аренда · Загородная · Посуточный дом/дача</t>
        </is>
      </c>
      <c r="D2659" t="inlineStr">
        <is>
          <t>Топ, ₽/сут</t>
        </is>
      </c>
      <c r="E2659" t="n">
        <v>155</v>
      </c>
    </row>
    <row r="2660">
      <c r="A2660" t="inlineStr">
        <is>
          <t>CIAN</t>
        </is>
      </c>
      <c r="B2660" t="inlineStr">
        <is>
          <t>Уфа</t>
        </is>
      </c>
      <c r="C2660" t="inlineStr">
        <is>
          <t>Посуточная аренда · Загородная · Посуточный дом/дача</t>
        </is>
      </c>
      <c r="D2660" t="inlineStr">
        <is>
          <t>Премиум, ₽/сут</t>
        </is>
      </c>
      <c r="E2660" t="n">
        <v>71</v>
      </c>
    </row>
    <row r="2661">
      <c r="A2661" t="inlineStr">
        <is>
          <t>CIAN</t>
        </is>
      </c>
      <c r="B2661" t="inlineStr">
        <is>
          <t>Уфа</t>
        </is>
      </c>
      <c r="C2661" t="inlineStr">
        <is>
          <t>Посуточная аренда · Загородная · Посуточный дом/дача</t>
        </is>
      </c>
      <c r="D2661" t="inlineStr">
        <is>
          <t>Стандарт, ₽/сут</t>
        </is>
      </c>
      <c r="E2661" t="n">
        <v>23</v>
      </c>
    </row>
    <row r="2662">
      <c r="A2662" t="inlineStr">
        <is>
          <t>CIAN</t>
        </is>
      </c>
      <c r="B2662" t="inlineStr">
        <is>
          <t>Краснодар</t>
        </is>
      </c>
      <c r="C2662" t="inlineStr">
        <is>
          <t>Посуточная аренда · Загородная · Посуточный дом/дача</t>
        </is>
      </c>
      <c r="D2662" t="inlineStr">
        <is>
          <t>Публикация, ₽/30 дн</t>
        </is>
      </c>
      <c r="E2662" t="n">
        <v>420</v>
      </c>
    </row>
    <row r="2663">
      <c r="A2663" t="inlineStr">
        <is>
          <t>CIAN</t>
        </is>
      </c>
      <c r="B2663" t="inlineStr">
        <is>
          <t>Краснодар</t>
        </is>
      </c>
      <c r="C2663" t="inlineStr">
        <is>
          <t>Посуточная аренда · Загородная · Посуточный дом/дача</t>
        </is>
      </c>
      <c r="D2663" t="inlineStr">
        <is>
          <t>Топ, ₽/сут</t>
        </is>
      </c>
      <c r="E2663" t="n">
        <v>207</v>
      </c>
    </row>
    <row r="2664">
      <c r="A2664" t="inlineStr">
        <is>
          <t>CIAN</t>
        </is>
      </c>
      <c r="B2664" t="inlineStr">
        <is>
          <t>Краснодар</t>
        </is>
      </c>
      <c r="C2664" t="inlineStr">
        <is>
          <t>Посуточная аренда · Загородная · Посуточный дом/дача</t>
        </is>
      </c>
      <c r="D2664" t="inlineStr">
        <is>
          <t>Премиум, ₽/сут</t>
        </is>
      </c>
      <c r="E2664" t="n">
        <v>84</v>
      </c>
    </row>
    <row r="2665">
      <c r="A2665" t="inlineStr">
        <is>
          <t>CIAN</t>
        </is>
      </c>
      <c r="B2665" t="inlineStr">
        <is>
          <t>Краснодар</t>
        </is>
      </c>
      <c r="C2665" t="inlineStr">
        <is>
          <t>Посуточная аренда · Загородная · Посуточный дом/дача</t>
        </is>
      </c>
      <c r="D2665" t="inlineStr">
        <is>
          <t>Стандарт, ₽/сут</t>
        </is>
      </c>
      <c r="E2665" t="n">
        <v>25</v>
      </c>
    </row>
    <row r="2666">
      <c r="A2666" t="inlineStr">
        <is>
          <t>CIAN</t>
        </is>
      </c>
      <c r="B2666" t="inlineStr">
        <is>
          <t>Самара</t>
        </is>
      </c>
      <c r="C2666" t="inlineStr">
        <is>
          <t>Посуточная аренда · Загородная · Посуточный дом/дача</t>
        </is>
      </c>
      <c r="D2666" t="inlineStr">
        <is>
          <t>Публикация, ₽/30 дн</t>
        </is>
      </c>
      <c r="E2666" t="n">
        <v>570</v>
      </c>
    </row>
    <row r="2667">
      <c r="A2667" t="inlineStr">
        <is>
          <t>CIAN</t>
        </is>
      </c>
      <c r="B2667" t="inlineStr">
        <is>
          <t>Самара</t>
        </is>
      </c>
      <c r="C2667" t="inlineStr">
        <is>
          <t>Посуточная аренда · Загородная · Посуточный дом/дача</t>
        </is>
      </c>
      <c r="D2667" t="inlineStr">
        <is>
          <t>Топ, ₽/сут</t>
        </is>
      </c>
      <c r="E2667" t="n">
        <v>179</v>
      </c>
    </row>
    <row r="2668">
      <c r="A2668" t="inlineStr">
        <is>
          <t>CIAN</t>
        </is>
      </c>
      <c r="B2668" t="inlineStr">
        <is>
          <t>Самара</t>
        </is>
      </c>
      <c r="C2668" t="inlineStr">
        <is>
          <t>Посуточная аренда · Загородная · Посуточный дом/дача</t>
        </is>
      </c>
      <c r="D2668" t="inlineStr">
        <is>
          <t>Премиум, ₽/сут</t>
        </is>
      </c>
      <c r="E2668" t="n">
        <v>86</v>
      </c>
    </row>
    <row r="2669">
      <c r="A2669" t="inlineStr">
        <is>
          <t>CIAN</t>
        </is>
      </c>
      <c r="B2669" t="inlineStr">
        <is>
          <t>Самара</t>
        </is>
      </c>
      <c r="C2669" t="inlineStr">
        <is>
          <t>Посуточная аренда · Загородная · Посуточный дом/дача</t>
        </is>
      </c>
      <c r="D2669" t="inlineStr">
        <is>
          <t>Стандарт, ₽/сут</t>
        </is>
      </c>
      <c r="E2669" t="n">
        <v>26</v>
      </c>
    </row>
    <row r="2670">
      <c r="A2670" t="inlineStr">
        <is>
          <t>CIAN</t>
        </is>
      </c>
      <c r="B2670" t="inlineStr">
        <is>
          <t>Ростов-на-Дону</t>
        </is>
      </c>
      <c r="C2670" t="inlineStr">
        <is>
          <t>Посуточная аренда · Загородная · Посуточный дом/дача</t>
        </is>
      </c>
      <c r="D2670" t="inlineStr">
        <is>
          <t>Публикация, ₽/30 дн</t>
        </is>
      </c>
      <c r="E2670" t="n">
        <v>369</v>
      </c>
    </row>
    <row r="2671">
      <c r="A2671" t="inlineStr">
        <is>
          <t>CIAN</t>
        </is>
      </c>
      <c r="B2671" t="inlineStr">
        <is>
          <t>Ростов-на-Дону</t>
        </is>
      </c>
      <c r="C2671" t="inlineStr">
        <is>
          <t>Посуточная аренда · Загородная · Посуточный дом/дача</t>
        </is>
      </c>
      <c r="D2671" t="inlineStr">
        <is>
          <t>Топ, ₽/сут</t>
        </is>
      </c>
      <c r="E2671" t="n">
        <v>191</v>
      </c>
    </row>
    <row r="2672">
      <c r="A2672" t="inlineStr">
        <is>
          <t>CIAN</t>
        </is>
      </c>
      <c r="B2672" t="inlineStr">
        <is>
          <t>Ростов-на-Дону</t>
        </is>
      </c>
      <c r="C2672" t="inlineStr">
        <is>
          <t>Посуточная аренда · Загородная · Посуточный дом/дача</t>
        </is>
      </c>
      <c r="D2672" t="inlineStr">
        <is>
          <t>Премиум, ₽/сут</t>
        </is>
      </c>
      <c r="E2672" t="n">
        <v>83</v>
      </c>
    </row>
    <row r="2673">
      <c r="A2673" t="inlineStr">
        <is>
          <t>CIAN</t>
        </is>
      </c>
      <c r="B2673" t="inlineStr">
        <is>
          <t>Ростов-на-Дону</t>
        </is>
      </c>
      <c r="C2673" t="inlineStr">
        <is>
          <t>Посуточная аренда · Загородная · Посуточный дом/дача</t>
        </is>
      </c>
      <c r="D2673" t="inlineStr">
        <is>
          <t>Стандарт, ₽/сут</t>
        </is>
      </c>
      <c r="E2673" t="n">
        <v>24</v>
      </c>
    </row>
    <row r="2674">
      <c r="A2674" t="inlineStr">
        <is>
          <t>CIAN</t>
        </is>
      </c>
      <c r="B2674" t="inlineStr">
        <is>
          <t>Омск</t>
        </is>
      </c>
      <c r="C2674" t="inlineStr">
        <is>
          <t>Посуточная аренда · Загородная · Посуточный дом/дача</t>
        </is>
      </c>
      <c r="D2674" t="inlineStr">
        <is>
          <t>Публикация, ₽/30 дн</t>
        </is>
      </c>
      <c r="E2674" t="n">
        <v>750</v>
      </c>
    </row>
    <row r="2675">
      <c r="A2675" t="inlineStr">
        <is>
          <t>CIAN</t>
        </is>
      </c>
      <c r="B2675" t="inlineStr">
        <is>
          <t>Омск</t>
        </is>
      </c>
      <c r="C2675" t="inlineStr">
        <is>
          <t>Посуточная аренда · Загородная · Посуточный дом/дача</t>
        </is>
      </c>
      <c r="D2675" t="inlineStr">
        <is>
          <t>Топ, ₽/сут</t>
        </is>
      </c>
      <c r="E2675" t="n">
        <v>190</v>
      </c>
    </row>
    <row r="2676">
      <c r="A2676" t="inlineStr">
        <is>
          <t>CIAN</t>
        </is>
      </c>
      <c r="B2676" t="inlineStr">
        <is>
          <t>Омск</t>
        </is>
      </c>
      <c r="C2676" t="inlineStr">
        <is>
          <t>Посуточная аренда · Загородная · Посуточный дом/дача</t>
        </is>
      </c>
      <c r="D2676" t="inlineStr">
        <is>
          <t>Премиум, ₽/сут</t>
        </is>
      </c>
      <c r="E2676" t="n">
        <v>115</v>
      </c>
    </row>
    <row r="2677">
      <c r="A2677" t="inlineStr">
        <is>
          <t>CIAN</t>
        </is>
      </c>
      <c r="B2677" t="inlineStr">
        <is>
          <t>Омск</t>
        </is>
      </c>
      <c r="C2677" t="inlineStr">
        <is>
          <t>Посуточная аренда · Загородная · Посуточный дом/дача</t>
        </is>
      </c>
      <c r="D2677" t="inlineStr">
        <is>
          <t>Стандарт, ₽/сут</t>
        </is>
      </c>
      <c r="E2677" t="n">
        <v>37</v>
      </c>
    </row>
    <row r="2678">
      <c r="A2678" t="inlineStr">
        <is>
          <t>CIAN</t>
        </is>
      </c>
      <c r="B2678" t="inlineStr">
        <is>
          <t>Воронеж</t>
        </is>
      </c>
      <c r="C2678" t="inlineStr">
        <is>
          <t>Посуточная аренда · Загородная · Посуточный дом/дача</t>
        </is>
      </c>
      <c r="D2678" t="inlineStr">
        <is>
          <t>Публикация, ₽/30 дн</t>
        </is>
      </c>
      <c r="E2678" t="n">
        <v>318</v>
      </c>
    </row>
    <row r="2679">
      <c r="A2679" t="inlineStr">
        <is>
          <t>CIAN</t>
        </is>
      </c>
      <c r="B2679" t="inlineStr">
        <is>
          <t>Воронеж</t>
        </is>
      </c>
      <c r="C2679" t="inlineStr">
        <is>
          <t>Посуточная аренда · Загородная · Посуточный дом/дача</t>
        </is>
      </c>
      <c r="D2679" t="inlineStr">
        <is>
          <t>Топ, ₽/сут</t>
        </is>
      </c>
      <c r="E2679" t="n">
        <v>77</v>
      </c>
    </row>
    <row r="2680">
      <c r="A2680" t="inlineStr">
        <is>
          <t>CIAN</t>
        </is>
      </c>
      <c r="B2680" t="inlineStr">
        <is>
          <t>Воронеж</t>
        </is>
      </c>
      <c r="C2680" t="inlineStr">
        <is>
          <t>Посуточная аренда · Загородная · Посуточный дом/дача</t>
        </is>
      </c>
      <c r="D2680" t="inlineStr">
        <is>
          <t>Премиум, ₽/сут</t>
        </is>
      </c>
      <c r="E2680" t="n">
        <v>23</v>
      </c>
    </row>
    <row r="2681">
      <c r="A2681" t="inlineStr">
        <is>
          <t>CIAN</t>
        </is>
      </c>
      <c r="B2681" t="inlineStr">
        <is>
          <t>Воронеж</t>
        </is>
      </c>
      <c r="C2681" t="inlineStr">
        <is>
          <t>Посуточная аренда · Загородная · Посуточный дом/дача</t>
        </is>
      </c>
      <c r="D2681" t="inlineStr">
        <is>
          <t>Стандарт, ₽/сут</t>
        </is>
      </c>
      <c r="E2681" t="n">
        <v>8</v>
      </c>
    </row>
    <row r="2682">
      <c r="A2682" t="inlineStr">
        <is>
          <t>CIAN</t>
        </is>
      </c>
      <c r="B2682" t="inlineStr">
        <is>
          <t>Пермь</t>
        </is>
      </c>
      <c r="C2682" t="inlineStr">
        <is>
          <t>Посуточная аренда · Загородная · Посуточный дом/дача</t>
        </is>
      </c>
      <c r="D2682" t="inlineStr">
        <is>
          <t>Публикация, ₽/30 дн</t>
        </is>
      </c>
      <c r="E2682" t="n">
        <v>207</v>
      </c>
    </row>
    <row r="2683">
      <c r="A2683" t="inlineStr">
        <is>
          <t>CIAN</t>
        </is>
      </c>
      <c r="B2683" t="inlineStr">
        <is>
          <t>Пермь</t>
        </is>
      </c>
      <c r="C2683" t="inlineStr">
        <is>
          <t>Посуточная аренда · Загородная · Посуточный дом/дача</t>
        </is>
      </c>
      <c r="D2683" t="inlineStr">
        <is>
          <t>Топ, ₽/сут</t>
        </is>
      </c>
      <c r="E2683" t="n">
        <v>115</v>
      </c>
    </row>
    <row r="2684">
      <c r="A2684" t="inlineStr">
        <is>
          <t>CIAN</t>
        </is>
      </c>
      <c r="B2684" t="inlineStr">
        <is>
          <t>Пермь</t>
        </is>
      </c>
      <c r="C2684" t="inlineStr">
        <is>
          <t>Посуточная аренда · Загородная · Посуточный дом/дача</t>
        </is>
      </c>
      <c r="D2684" t="inlineStr">
        <is>
          <t>Премиум, ₽/сут</t>
        </is>
      </c>
      <c r="E2684" t="n">
        <v>79</v>
      </c>
    </row>
    <row r="2685">
      <c r="A2685" t="inlineStr">
        <is>
          <t>CIAN</t>
        </is>
      </c>
      <c r="B2685" t="inlineStr">
        <is>
          <t>Пермь</t>
        </is>
      </c>
      <c r="C2685" t="inlineStr">
        <is>
          <t>Посуточная аренда · Загородная · Посуточный дом/дача</t>
        </is>
      </c>
      <c r="D2685" t="inlineStr">
        <is>
          <t>Стандарт, ₽/сут</t>
        </is>
      </c>
      <c r="E2685" t="n">
        <v>23</v>
      </c>
    </row>
    <row r="2686">
      <c r="A2686" t="inlineStr">
        <is>
          <t>CIAN</t>
        </is>
      </c>
      <c r="B2686" t="inlineStr">
        <is>
          <t>Волгоград</t>
        </is>
      </c>
      <c r="C2686" t="inlineStr">
        <is>
          <t>Посуточная аренда · Загородная · Посуточный дом/дача</t>
        </is>
      </c>
      <c r="D2686" t="inlineStr">
        <is>
          <t>Публикация, ₽/30 дн</t>
        </is>
      </c>
      <c r="E2686" t="n">
        <v>342</v>
      </c>
    </row>
    <row r="2687">
      <c r="A2687" t="inlineStr">
        <is>
          <t>CIAN</t>
        </is>
      </c>
      <c r="B2687" t="inlineStr">
        <is>
          <t>Волгоград</t>
        </is>
      </c>
      <c r="C2687" t="inlineStr">
        <is>
          <t>Посуточная аренда · Загородная · Посуточный дом/дача</t>
        </is>
      </c>
      <c r="D2687" t="inlineStr">
        <is>
          <t>Топ, ₽/сут</t>
        </is>
      </c>
      <c r="E2687" t="n">
        <v>67</v>
      </c>
    </row>
    <row r="2688">
      <c r="A2688" t="inlineStr">
        <is>
          <t>CIAN</t>
        </is>
      </c>
      <c r="B2688" t="inlineStr">
        <is>
          <t>Волгоград</t>
        </is>
      </c>
      <c r="C2688" t="inlineStr">
        <is>
          <t>Посуточная аренда · Загородная · Посуточный дом/дача</t>
        </is>
      </c>
      <c r="D2688" t="inlineStr">
        <is>
          <t>Премиум, ₽/сут</t>
        </is>
      </c>
      <c r="E2688" t="n">
        <v>20</v>
      </c>
    </row>
    <row r="2689">
      <c r="A2689" t="inlineStr">
        <is>
          <t>CIAN</t>
        </is>
      </c>
      <c r="B2689" t="inlineStr">
        <is>
          <t>Волгоград</t>
        </is>
      </c>
      <c r="C2689" t="inlineStr">
        <is>
          <t>Посуточная аренда · Загородная · Посуточный дом/дача</t>
        </is>
      </c>
      <c r="D2689" t="inlineStr">
        <is>
          <t>Стандарт, ₽/сут</t>
        </is>
      </c>
      <c r="E2689" t="n">
        <v>8</v>
      </c>
    </row>
  </sheetData>
  <autoFilter ref="A1:G2689"/>
  <conditionalFormatting sqref="F2:F129">
    <cfRule type="cellIs" priority="1" operator="greaterThan" dxfId="1">
      <formula>0</formula>
    </cfRule>
    <cfRule type="cellIs" priority="2" operator="lessThan" dxfId="2">
      <formula>0</formula>
    </cfRule>
  </conditionalFormatting>
  <conditionalFormatting sqref="G2:G2689">
    <cfRule type="cellIs" priority="3" operator="greaterThan" dxfId="1">
      <formula>0</formula>
    </cfRule>
    <cfRule type="cellIs" priority="4" operator="lessThan" dxfId="2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2026-06-10T09:54:50Z</dcterms:created>
  <dcterms:modified xmlns:dcterms="http://purl.org/dc/terms/" xmlns:xsi="http://www.w3.org/2001/XMLSchema-instance" xsi:type="dcterms:W3CDTF">2026-06-16T15:01:45Z</dcterms:modified>
  <cp:lastModifiedBy>Глеб Минасян</cp:lastModifiedBy>
</cp:coreProperties>
</file>